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01" codeName="{530CD6A5-0E62-55A6-17B6-8EE4857F3A0B}"/>
  <workbookPr codeName="ThisWorkbook" defaultThemeVersion="153222"/>
  <mc:AlternateContent xmlns:mc="http://schemas.openxmlformats.org/markup-compatibility/2006">
    <mc:Choice Requires="x15">
      <x15ac:absPath xmlns:x15ac="http://schemas.microsoft.com/office/spreadsheetml/2010/11/ac" url="C:\Users\vnprintroom\Documents\Thinh\Management Data\"/>
    </mc:Choice>
  </mc:AlternateContent>
  <bookViews>
    <workbookView xWindow="0" yWindow="0" windowWidth="17970" windowHeight="6135" activeTab="1"/>
  </bookViews>
  <sheets>
    <sheet name="Leave Management" sheetId="1" r:id="rId1"/>
    <sheet name="Detail" sheetId="11" r:id="rId2"/>
    <sheet name="Summary" sheetId="10" r:id="rId3"/>
    <sheet name="KPI Tracker" sheetId="12" r:id="rId4"/>
  </sheets>
  <definedNames>
    <definedName name="_xlnm._FilterDatabase" localSheetId="1" hidden="1">Detail!$A$2:$O$725</definedName>
    <definedName name="_xlnm._FilterDatabase" localSheetId="0" hidden="1">'Leave Management'!$A$1:$M$138</definedName>
  </definedNames>
  <calcPr calcId="17102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725" i="11" l="1"/>
  <c r="L724" i="11"/>
  <c r="L723" i="11"/>
  <c r="L722" i="11"/>
  <c r="L721" i="11"/>
  <c r="L720" i="11"/>
  <c r="L719" i="11"/>
  <c r="L718" i="11"/>
  <c r="L717" i="11"/>
  <c r="L716" i="11"/>
  <c r="L715" i="11"/>
  <c r="L714" i="11"/>
  <c r="L713" i="11"/>
  <c r="L712" i="11"/>
  <c r="L711" i="11"/>
  <c r="L710" i="11"/>
  <c r="L709" i="11"/>
  <c r="L708" i="11"/>
  <c r="L707" i="11"/>
  <c r="L706" i="11"/>
  <c r="L705" i="11"/>
  <c r="L704" i="11"/>
  <c r="L703" i="11"/>
  <c r="L702" i="11"/>
  <c r="L701" i="11"/>
  <c r="L700" i="11"/>
  <c r="L699" i="11"/>
  <c r="L698" i="11"/>
  <c r="L697" i="11"/>
  <c r="L696" i="11"/>
  <c r="L695" i="11"/>
  <c r="L694" i="11"/>
  <c r="L693" i="11"/>
  <c r="L692" i="11"/>
  <c r="L691" i="11"/>
  <c r="L690" i="11"/>
  <c r="L689" i="11"/>
  <c r="L688" i="11"/>
  <c r="L687" i="11"/>
  <c r="L686" i="11"/>
  <c r="L685" i="11"/>
  <c r="L684" i="11"/>
  <c r="L683" i="11"/>
  <c r="L682" i="11"/>
  <c r="L681" i="11"/>
  <c r="L680" i="11"/>
  <c r="L679" i="11"/>
  <c r="L678" i="11"/>
  <c r="L677" i="11"/>
  <c r="L676" i="11"/>
  <c r="L675" i="11"/>
  <c r="L674" i="11"/>
  <c r="L673" i="11"/>
  <c r="L672" i="11"/>
  <c r="L671" i="11"/>
  <c r="L670" i="11"/>
  <c r="L669" i="11"/>
  <c r="L668" i="11"/>
  <c r="L667" i="11"/>
  <c r="L666" i="11"/>
  <c r="L665" i="11"/>
  <c r="L664" i="11"/>
  <c r="L663" i="11"/>
  <c r="L662" i="11"/>
  <c r="L661" i="11"/>
  <c r="L660" i="11"/>
  <c r="L659" i="11"/>
  <c r="L658" i="11"/>
  <c r="L657" i="11"/>
  <c r="L656" i="11"/>
  <c r="L655" i="11"/>
  <c r="L654" i="11"/>
  <c r="L653" i="11"/>
  <c r="L652" i="11"/>
  <c r="L651" i="11"/>
  <c r="L650" i="11"/>
  <c r="L649" i="11"/>
  <c r="L648" i="11"/>
  <c r="L647" i="11"/>
  <c r="L646" i="11"/>
  <c r="L645" i="11"/>
  <c r="L644" i="11"/>
  <c r="L643" i="11"/>
  <c r="L642" i="11"/>
  <c r="L641" i="11"/>
  <c r="L640" i="11"/>
  <c r="L639" i="11"/>
  <c r="L638" i="11"/>
  <c r="L637" i="11"/>
  <c r="L636" i="11"/>
  <c r="L635" i="11"/>
  <c r="L634" i="11"/>
  <c r="L633" i="11"/>
  <c r="L632" i="11"/>
  <c r="L631" i="11"/>
  <c r="L630" i="11"/>
  <c r="L629" i="11"/>
  <c r="L628" i="11"/>
  <c r="L627" i="11"/>
  <c r="L626" i="11"/>
  <c r="L625" i="11"/>
  <c r="L624" i="11"/>
  <c r="L623" i="11"/>
  <c r="L622" i="11"/>
  <c r="L621" i="11"/>
  <c r="L620" i="11"/>
  <c r="L619" i="11"/>
  <c r="L618" i="11"/>
  <c r="L617" i="11"/>
  <c r="L612" i="11"/>
  <c r="L611" i="11"/>
  <c r="L610" i="11"/>
  <c r="L609" i="11"/>
  <c r="L608" i="11"/>
  <c r="L607" i="11"/>
  <c r="L606" i="11"/>
  <c r="L605" i="11"/>
  <c r="L604" i="11"/>
  <c r="L603" i="11"/>
  <c r="L602" i="11"/>
  <c r="L601" i="11"/>
  <c r="L600" i="11"/>
  <c r="L599" i="11"/>
  <c r="L598" i="11"/>
  <c r="L597" i="11"/>
  <c r="L596" i="11"/>
  <c r="L595" i="11"/>
  <c r="L594" i="11"/>
  <c r="L593" i="11"/>
  <c r="L592" i="11"/>
  <c r="L591" i="11"/>
  <c r="L590" i="11"/>
  <c r="L589" i="11"/>
  <c r="L588" i="11"/>
  <c r="L587" i="11"/>
  <c r="L586" i="11"/>
  <c r="L585" i="11"/>
  <c r="L583" i="11"/>
  <c r="L582" i="11"/>
  <c r="L581" i="11"/>
  <c r="L580" i="11"/>
  <c r="L579" i="11"/>
  <c r="L578" i="11"/>
  <c r="L577" i="11"/>
  <c r="L576" i="11"/>
  <c r="L575" i="11"/>
  <c r="L574" i="11"/>
  <c r="L573" i="11"/>
  <c r="L572" i="11"/>
  <c r="L571" i="11"/>
  <c r="L570" i="11"/>
  <c r="L569" i="11"/>
  <c r="L568" i="11"/>
  <c r="L567" i="11"/>
  <c r="L566" i="11"/>
  <c r="L565" i="11"/>
  <c r="L564" i="11"/>
  <c r="L563" i="11"/>
  <c r="L562" i="11"/>
  <c r="L561" i="11"/>
  <c r="L560"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L532" i="11"/>
  <c r="L531" i="11"/>
  <c r="L530" i="11"/>
  <c r="L529" i="11"/>
  <c r="L528" i="11"/>
  <c r="L527" i="11"/>
  <c r="L526" i="11"/>
  <c r="L525" i="11"/>
  <c r="L524" i="11"/>
  <c r="L523" i="11"/>
  <c r="L522" i="11"/>
  <c r="L521" i="11"/>
  <c r="L520" i="11"/>
  <c r="L519" i="11"/>
  <c r="L518" i="11"/>
  <c r="L517" i="11"/>
  <c r="L516" i="11"/>
  <c r="L515" i="11"/>
  <c r="L514" i="11"/>
  <c r="L513" i="11"/>
  <c r="L512" i="11"/>
  <c r="L511" i="11"/>
  <c r="L510" i="11"/>
  <c r="L509" i="11"/>
  <c r="L508" i="11"/>
  <c r="L507" i="11"/>
  <c r="L506" i="11"/>
  <c r="L505" i="11"/>
  <c r="L504" i="11"/>
  <c r="L503" i="11"/>
  <c r="L502" i="11"/>
  <c r="L501" i="11"/>
  <c r="L500" i="11"/>
  <c r="L499" i="11"/>
  <c r="L498" i="11"/>
  <c r="L497" i="11"/>
  <c r="L496" i="11"/>
  <c r="L495" i="11"/>
  <c r="L494" i="11"/>
  <c r="L493" i="11"/>
  <c r="L492" i="11"/>
  <c r="L491" i="11"/>
  <c r="L490" i="11"/>
  <c r="L489" i="11"/>
  <c r="L488" i="11"/>
  <c r="L487" i="11"/>
  <c r="L486" i="11"/>
  <c r="L485" i="11"/>
  <c r="L484" i="11"/>
  <c r="L483" i="11"/>
  <c r="L482" i="11"/>
  <c r="L481" i="11"/>
  <c r="L480" i="11"/>
  <c r="L479" i="11"/>
  <c r="L478" i="11"/>
  <c r="L477" i="11"/>
  <c r="L476" i="11"/>
  <c r="L475" i="11"/>
  <c r="L474" i="11"/>
  <c r="L473" i="11"/>
  <c r="L472" i="11"/>
  <c r="L471" i="11"/>
  <c r="L470" i="11"/>
  <c r="L469" i="11"/>
  <c r="L468" i="11"/>
  <c r="L467" i="11"/>
  <c r="L466" i="11"/>
  <c r="L465" i="11"/>
  <c r="L464" i="11"/>
  <c r="L463" i="11"/>
  <c r="L462" i="11"/>
  <c r="L461" i="11"/>
  <c r="L460" i="11"/>
  <c r="L459" i="11"/>
  <c r="L458" i="11"/>
  <c r="L457" i="11"/>
  <c r="L456" i="11"/>
  <c r="L455" i="11"/>
  <c r="L454" i="11"/>
  <c r="L453" i="11"/>
  <c r="L452" i="11"/>
  <c r="L451" i="11"/>
  <c r="L450" i="11"/>
  <c r="L449" i="11"/>
  <c r="L448" i="11"/>
  <c r="L447" i="11"/>
  <c r="L446" i="11"/>
  <c r="L445" i="11"/>
  <c r="L444" i="11"/>
  <c r="L443" i="11"/>
  <c r="L442" i="11"/>
  <c r="L441" i="11"/>
  <c r="L440" i="11"/>
  <c r="L439" i="11"/>
  <c r="L438" i="11"/>
  <c r="L437" i="11"/>
  <c r="L436" i="11"/>
  <c r="L435" i="11"/>
  <c r="L434" i="11"/>
  <c r="L433" i="11"/>
  <c r="L432" i="11"/>
  <c r="L431" i="11"/>
  <c r="L430" i="11"/>
  <c r="L429" i="11"/>
  <c r="L428" i="11"/>
  <c r="L427" i="11"/>
  <c r="L426" i="11"/>
  <c r="L425" i="11"/>
  <c r="L424" i="11"/>
  <c r="L423" i="11"/>
  <c r="L422" i="11"/>
  <c r="L421" i="11"/>
  <c r="L420" i="11"/>
  <c r="L419" i="11"/>
  <c r="L418" i="11"/>
  <c r="L417" i="11"/>
  <c r="L416" i="11"/>
  <c r="L415" i="11"/>
  <c r="L414" i="11"/>
  <c r="L413" i="11"/>
  <c r="L412" i="11"/>
  <c r="L411" i="11"/>
  <c r="L410" i="11"/>
  <c r="L409" i="11"/>
  <c r="L408" i="11"/>
  <c r="L407" i="11"/>
  <c r="L406" i="11"/>
  <c r="L405" i="11"/>
  <c r="L404" i="11"/>
  <c r="L403" i="11"/>
  <c r="L402" i="11"/>
  <c r="L401" i="11"/>
  <c r="L400" i="11"/>
  <c r="L399" i="11"/>
  <c r="L398" i="11"/>
  <c r="L397" i="11"/>
  <c r="L396" i="11"/>
  <c r="L395" i="11"/>
  <c r="L394" i="11"/>
  <c r="L393" i="11"/>
  <c r="L392" i="11"/>
  <c r="L391" i="11"/>
  <c r="L390" i="11"/>
  <c r="L389" i="11"/>
  <c r="L388" i="11"/>
  <c r="L387" i="11"/>
  <c r="L386" i="11"/>
  <c r="L385" i="11"/>
  <c r="L384" i="11"/>
  <c r="L383" i="11"/>
  <c r="L382" i="11"/>
  <c r="L381" i="11"/>
  <c r="L380" i="11"/>
  <c r="L379" i="11"/>
  <c r="L378" i="11"/>
  <c r="L377" i="11"/>
  <c r="L376" i="11"/>
  <c r="L375" i="11"/>
  <c r="L374" i="11"/>
  <c r="L373" i="11"/>
  <c r="L372" i="11"/>
  <c r="L371" i="11"/>
  <c r="L370" i="11"/>
  <c r="L369" i="11"/>
  <c r="L368" i="11"/>
  <c r="L367" i="11"/>
  <c r="L366" i="11"/>
  <c r="L365" i="11"/>
  <c r="L364" i="11"/>
  <c r="L363" i="11"/>
  <c r="L362" i="11"/>
  <c r="L361" i="11"/>
  <c r="L360" i="11"/>
  <c r="L359" i="11"/>
  <c r="L358" i="11"/>
  <c r="L357" i="11"/>
  <c r="L356" i="11"/>
  <c r="L355" i="11"/>
  <c r="L354" i="11"/>
  <c r="L353" i="11"/>
  <c r="L352" i="11"/>
  <c r="L351" i="11"/>
  <c r="L350" i="11"/>
  <c r="L349" i="11"/>
  <c r="L348" i="11"/>
  <c r="L347" i="11"/>
  <c r="L346" i="11"/>
  <c r="L345" i="11"/>
  <c r="L344" i="11"/>
  <c r="L343" i="11"/>
  <c r="L342" i="11"/>
  <c r="L341" i="11"/>
  <c r="L340" i="11"/>
  <c r="L339" i="11"/>
  <c r="L338" i="11"/>
  <c r="L337" i="11"/>
  <c r="L336" i="11"/>
  <c r="L335" i="11"/>
  <c r="L334" i="11"/>
  <c r="L333" i="11"/>
  <c r="L332" i="11"/>
  <c r="L331" i="11"/>
  <c r="L330" i="11"/>
  <c r="L329" i="11"/>
  <c r="L328" i="11"/>
  <c r="L327" i="11"/>
  <c r="L326" i="11"/>
  <c r="L325" i="11"/>
  <c r="L324" i="11"/>
  <c r="L323" i="11"/>
  <c r="L322" i="11"/>
  <c r="L321" i="11"/>
  <c r="L320" i="11"/>
  <c r="L319" i="11"/>
  <c r="L318" i="11"/>
  <c r="L317" i="11"/>
  <c r="L316" i="11"/>
  <c r="L315" i="11"/>
  <c r="L314" i="11"/>
  <c r="L313" i="11"/>
  <c r="L312" i="11"/>
  <c r="L311" i="11"/>
  <c r="L310" i="11"/>
  <c r="L309" i="11"/>
  <c r="L308" i="11"/>
  <c r="L307" i="11"/>
  <c r="L306" i="11"/>
  <c r="L305" i="11"/>
  <c r="L304" i="11"/>
  <c r="L303" i="11"/>
  <c r="L302" i="11"/>
  <c r="L301" i="11"/>
  <c r="L300" i="11"/>
  <c r="L299" i="11"/>
  <c r="L298" i="11"/>
  <c r="L297" i="11"/>
  <c r="L296" i="11"/>
  <c r="L295" i="11"/>
  <c r="L294" i="11"/>
  <c r="L293" i="11"/>
  <c r="L292" i="11"/>
  <c r="L291" i="11"/>
  <c r="L290" i="11"/>
  <c r="L289" i="11"/>
  <c r="L288" i="11"/>
  <c r="L287" i="11"/>
  <c r="L286" i="11"/>
  <c r="L285" i="11"/>
  <c r="L284" i="11"/>
  <c r="L283" i="11"/>
  <c r="L282" i="11"/>
  <c r="L281" i="11"/>
  <c r="L280" i="11"/>
  <c r="L279" i="11"/>
  <c r="L278" i="11"/>
  <c r="L277" i="11"/>
  <c r="L276" i="11"/>
  <c r="L275" i="11"/>
  <c r="L274" i="11"/>
  <c r="L273" i="11"/>
  <c r="L272" i="11"/>
  <c r="L271" i="11"/>
  <c r="L270" i="11"/>
  <c r="L269" i="11"/>
  <c r="L268" i="11"/>
  <c r="L267" i="11"/>
  <c r="L266" i="11"/>
  <c r="L265" i="11"/>
  <c r="L264" i="11"/>
  <c r="L263" i="11"/>
  <c r="L262" i="11"/>
  <c r="L261" i="11"/>
  <c r="L260" i="11"/>
  <c r="L259" i="11"/>
  <c r="L258" i="11"/>
  <c r="L257" i="11"/>
  <c r="L256" i="11"/>
  <c r="L255" i="11"/>
  <c r="L254" i="11"/>
  <c r="L253" i="11"/>
  <c r="L252" i="11"/>
  <c r="L251" i="11"/>
  <c r="L250" i="11"/>
  <c r="L249" i="11"/>
  <c r="L248" i="11"/>
  <c r="L247" i="11"/>
  <c r="L246" i="11"/>
  <c r="L245" i="11"/>
  <c r="L244" i="11"/>
  <c r="L243" i="11"/>
  <c r="L242" i="11"/>
  <c r="L241" i="11"/>
  <c r="L240" i="11"/>
  <c r="L239" i="11"/>
  <c r="L238" i="11"/>
  <c r="L237" i="11"/>
  <c r="L236" i="11"/>
  <c r="L235" i="11"/>
  <c r="L234" i="11"/>
  <c r="L233" i="11"/>
  <c r="L232" i="11"/>
  <c r="L231" i="11"/>
  <c r="L230" i="11"/>
  <c r="L229" i="11"/>
  <c r="L228" i="11"/>
  <c r="L227" i="11"/>
  <c r="L226" i="11"/>
  <c r="L225" i="11"/>
  <c r="L224" i="11"/>
  <c r="L223" i="11"/>
  <c r="L222" i="11"/>
  <c r="L221" i="11"/>
  <c r="L220" i="11"/>
  <c r="L219" i="11"/>
  <c r="L218" i="11"/>
  <c r="L217" i="11"/>
  <c r="L216" i="11"/>
  <c r="L215" i="11"/>
  <c r="L214" i="11"/>
  <c r="L213" i="11"/>
  <c r="L212" i="11"/>
  <c r="L211" i="11"/>
  <c r="L210" i="11"/>
  <c r="L209" i="11"/>
  <c r="L208" i="11"/>
  <c r="L207" i="11"/>
  <c r="L206" i="11"/>
  <c r="L205" i="11"/>
  <c r="L204" i="11"/>
  <c r="L203" i="11"/>
  <c r="L202" i="11"/>
  <c r="L201" i="11"/>
  <c r="L200" i="11"/>
  <c r="L199" i="11"/>
  <c r="L198" i="11"/>
  <c r="L197" i="11"/>
  <c r="L196" i="11"/>
  <c r="L195" i="11"/>
  <c r="L194" i="11"/>
  <c r="L193" i="11"/>
  <c r="L192" i="11"/>
  <c r="L191" i="11"/>
  <c r="L190" i="11"/>
  <c r="L189" i="11"/>
  <c r="L188" i="11"/>
  <c r="L187" i="11"/>
  <c r="L186" i="11"/>
  <c r="L185" i="11"/>
  <c r="L184" i="11"/>
  <c r="L183" i="11"/>
  <c r="L182" i="11"/>
  <c r="L181" i="11"/>
  <c r="L180" i="11"/>
  <c r="L179" i="11"/>
  <c r="L178" i="11"/>
  <c r="L177" i="11"/>
  <c r="L176" i="11"/>
  <c r="L175" i="11"/>
  <c r="L174" i="11"/>
  <c r="L173" i="11"/>
  <c r="L172" i="11"/>
  <c r="L171" i="11"/>
  <c r="L170" i="11"/>
  <c r="L169" i="11"/>
  <c r="L168" i="11"/>
  <c r="L167" i="11"/>
  <c r="L166" i="11"/>
  <c r="L165" i="11"/>
  <c r="L164" i="11"/>
  <c r="L163" i="11"/>
  <c r="L162" i="11"/>
  <c r="L161" i="11"/>
  <c r="L160" i="11"/>
  <c r="L159" i="11"/>
  <c r="L158" i="11"/>
  <c r="L157" i="11"/>
  <c r="L156" i="11"/>
  <c r="L155" i="11"/>
  <c r="L154" i="11"/>
  <c r="L153" i="11"/>
  <c r="L152" i="11"/>
  <c r="L151" i="11"/>
  <c r="L150" i="11"/>
  <c r="L149" i="11"/>
  <c r="L148" i="11"/>
  <c r="L147" i="11"/>
  <c r="L146" i="11"/>
  <c r="L145" i="11"/>
  <c r="L144" i="11"/>
  <c r="L143" i="11"/>
  <c r="L142" i="11"/>
  <c r="L141" i="11"/>
  <c r="L140" i="11"/>
  <c r="L139" i="11"/>
  <c r="L138" i="11"/>
  <c r="L137" i="11"/>
  <c r="L136" i="11"/>
  <c r="L135" i="11"/>
  <c r="L134" i="11"/>
  <c r="L133" i="11"/>
  <c r="L132" i="11"/>
  <c r="L131" i="11"/>
  <c r="L130" i="11"/>
  <c r="L129" i="11"/>
  <c r="L128" i="11"/>
  <c r="L127" i="11"/>
  <c r="L126" i="11"/>
  <c r="L125" i="11"/>
  <c r="L124" i="11"/>
  <c r="L123" i="11"/>
  <c r="L122" i="11"/>
  <c r="L121" i="11"/>
  <c r="L120" i="11"/>
  <c r="L119" i="11"/>
  <c r="L118" i="11"/>
  <c r="L117" i="11"/>
  <c r="L116" i="11"/>
  <c r="L115" i="11"/>
  <c r="L114" i="11"/>
  <c r="L113" i="11"/>
  <c r="L112" i="11"/>
  <c r="L111" i="11"/>
  <c r="L110" i="11"/>
  <c r="L109" i="11"/>
  <c r="L108" i="11"/>
  <c r="L107" i="11"/>
  <c r="L106" i="11"/>
  <c r="L105" i="11"/>
  <c r="L104" i="11"/>
  <c r="L103" i="11"/>
  <c r="L102" i="11"/>
  <c r="L101" i="11"/>
  <c r="L100" i="11"/>
  <c r="L99" i="11"/>
  <c r="L98" i="11"/>
  <c r="L97" i="11"/>
  <c r="L96" i="11"/>
  <c r="L95" i="11"/>
  <c r="L94" i="11"/>
  <c r="L93" i="11"/>
  <c r="L92" i="11"/>
  <c r="L91" i="11"/>
  <c r="L90" i="11"/>
  <c r="L89" i="11"/>
  <c r="L88" i="11"/>
  <c r="L87" i="11"/>
  <c r="L86" i="11"/>
  <c r="L85" i="11"/>
  <c r="L84" i="11"/>
  <c r="L83" i="11"/>
  <c r="L82" i="11"/>
  <c r="L81" i="11"/>
  <c r="L80" i="11"/>
  <c r="L79" i="11"/>
  <c r="L78" i="11"/>
  <c r="L77" i="11"/>
  <c r="L76" i="11"/>
  <c r="L75" i="11"/>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M725" i="11"/>
  <c r="M724" i="11"/>
  <c r="M723" i="11"/>
  <c r="M722" i="11"/>
  <c r="M721" i="11"/>
  <c r="M720" i="11"/>
  <c r="M719" i="11"/>
  <c r="M718" i="11"/>
  <c r="M717" i="11"/>
  <c r="M716" i="11"/>
  <c r="M715" i="11"/>
  <c r="M714" i="11"/>
  <c r="M713" i="11"/>
  <c r="M712" i="11"/>
  <c r="M711" i="11"/>
  <c r="M710" i="11"/>
  <c r="M709" i="11"/>
  <c r="M708" i="11"/>
  <c r="M707" i="11"/>
  <c r="M706" i="11"/>
  <c r="M705" i="11"/>
  <c r="M704" i="11"/>
  <c r="M703" i="11"/>
  <c r="M702" i="11"/>
  <c r="M701" i="11"/>
  <c r="M700" i="11"/>
  <c r="M699" i="11"/>
  <c r="M698" i="11"/>
  <c r="M697" i="11"/>
  <c r="M696" i="11"/>
  <c r="M695" i="11"/>
  <c r="M694" i="11"/>
  <c r="M693" i="11"/>
  <c r="M692" i="11"/>
  <c r="M691" i="11"/>
  <c r="M690" i="11"/>
  <c r="M689" i="11"/>
  <c r="M688" i="11"/>
  <c r="M687" i="11"/>
  <c r="M686" i="11"/>
  <c r="M685" i="11"/>
  <c r="M684" i="11"/>
  <c r="M683" i="11"/>
  <c r="M682" i="11"/>
  <c r="M681" i="11"/>
  <c r="M680" i="11"/>
  <c r="M679" i="11"/>
  <c r="M678" i="11"/>
  <c r="M677" i="11"/>
  <c r="M676" i="11"/>
  <c r="M675" i="11"/>
  <c r="M674" i="11"/>
  <c r="M673" i="11"/>
  <c r="M672" i="11"/>
  <c r="M671" i="11"/>
  <c r="M670" i="11"/>
  <c r="M669" i="11"/>
  <c r="M668" i="11"/>
  <c r="M667" i="11"/>
  <c r="M666" i="11"/>
  <c r="M665" i="11"/>
  <c r="M664" i="11"/>
  <c r="M663" i="11"/>
  <c r="M662" i="11"/>
  <c r="M661" i="11"/>
  <c r="M660" i="11"/>
  <c r="M659" i="11"/>
  <c r="M658" i="11"/>
  <c r="M657" i="11"/>
  <c r="M656" i="11"/>
  <c r="M655" i="11"/>
  <c r="M654" i="11"/>
  <c r="M653" i="11"/>
  <c r="M652" i="11"/>
  <c r="M651" i="11"/>
  <c r="M650" i="11"/>
  <c r="M649" i="11"/>
  <c r="M648" i="11"/>
  <c r="M647" i="11"/>
  <c r="M646" i="11"/>
  <c r="M645" i="11"/>
  <c r="M644" i="11"/>
  <c r="M643" i="11"/>
  <c r="M642" i="11"/>
  <c r="M641" i="11"/>
  <c r="M640" i="11"/>
  <c r="M639" i="11"/>
  <c r="M638" i="11"/>
  <c r="M637" i="11"/>
  <c r="M636" i="11"/>
  <c r="M635" i="11"/>
  <c r="M634" i="11"/>
  <c r="M633" i="11"/>
  <c r="M632" i="11"/>
  <c r="M631" i="11"/>
  <c r="M630" i="11"/>
  <c r="M629" i="11"/>
  <c r="M628" i="11"/>
  <c r="M627" i="11"/>
  <c r="M626" i="11"/>
  <c r="M625" i="11"/>
  <c r="M624" i="11"/>
  <c r="M623" i="11"/>
  <c r="M622" i="11"/>
  <c r="M621" i="11"/>
  <c r="M620" i="11"/>
  <c r="M619" i="11"/>
  <c r="M618" i="11"/>
  <c r="M617" i="11"/>
  <c r="M616" i="11"/>
  <c r="M615" i="11"/>
  <c r="M614" i="11"/>
  <c r="M613" i="11"/>
  <c r="M612" i="11"/>
  <c r="M611" i="11"/>
  <c r="M610" i="11"/>
  <c r="M609" i="11"/>
  <c r="M608" i="11"/>
  <c r="M607" i="11"/>
  <c r="M606" i="11"/>
  <c r="M605" i="11"/>
  <c r="M604" i="11"/>
  <c r="M603" i="11"/>
  <c r="M602" i="11"/>
  <c r="M601" i="11"/>
  <c r="M600" i="11"/>
  <c r="M599" i="11"/>
  <c r="M598" i="11"/>
  <c r="M597" i="11"/>
  <c r="M596" i="11"/>
  <c r="M595" i="11"/>
  <c r="M594" i="11"/>
  <c r="M593" i="11"/>
  <c r="M592" i="11"/>
  <c r="M591" i="11"/>
  <c r="M590" i="11"/>
  <c r="M589" i="11"/>
  <c r="M588" i="11"/>
  <c r="M587" i="11"/>
  <c r="M586" i="11"/>
  <c r="M585" i="11"/>
  <c r="M584" i="11"/>
  <c r="M583" i="11"/>
  <c r="M582" i="11"/>
  <c r="M581" i="11"/>
  <c r="M580" i="11"/>
  <c r="M579" i="11"/>
  <c r="M578" i="11"/>
  <c r="M577" i="11"/>
  <c r="M576" i="11"/>
  <c r="M575" i="11"/>
  <c r="M574" i="11"/>
  <c r="M573" i="11"/>
  <c r="M572" i="11"/>
  <c r="M571" i="11"/>
  <c r="M570" i="11"/>
  <c r="M569" i="11"/>
  <c r="M568" i="11"/>
  <c r="M567" i="11"/>
  <c r="M566" i="11"/>
  <c r="M565" i="11"/>
  <c r="M564" i="11"/>
  <c r="M563" i="11"/>
  <c r="M562" i="11"/>
  <c r="M561" i="11"/>
  <c r="M560" i="11"/>
  <c r="M559" i="11"/>
  <c r="M558" i="11"/>
  <c r="M557" i="11"/>
  <c r="M556" i="11"/>
  <c r="M555" i="11"/>
  <c r="M554" i="11"/>
  <c r="M553" i="11"/>
  <c r="M552" i="11"/>
  <c r="M551" i="11"/>
  <c r="M550" i="11"/>
  <c r="M549" i="11"/>
  <c r="M548" i="11"/>
  <c r="M547" i="11"/>
  <c r="M546" i="11"/>
  <c r="M545" i="11"/>
  <c r="M544" i="11"/>
  <c r="M543" i="11"/>
  <c r="M542" i="11"/>
  <c r="M541" i="11"/>
  <c r="M540" i="11"/>
  <c r="M539" i="11"/>
  <c r="M538" i="11"/>
  <c r="M537" i="11"/>
  <c r="M536" i="11"/>
  <c r="M535" i="11"/>
  <c r="M534" i="11"/>
  <c r="M533" i="11"/>
  <c r="M532" i="11"/>
  <c r="M531" i="11"/>
  <c r="M530" i="11"/>
  <c r="M529" i="11"/>
  <c r="M528" i="11"/>
  <c r="M527" i="11"/>
  <c r="M526" i="11"/>
  <c r="M525" i="11"/>
  <c r="M524" i="11"/>
  <c r="M523" i="11"/>
  <c r="M522" i="11"/>
  <c r="M521" i="11"/>
  <c r="M520" i="11"/>
  <c r="M519" i="11"/>
  <c r="M518" i="11"/>
  <c r="M517" i="11"/>
  <c r="M516" i="11"/>
  <c r="M515" i="11"/>
  <c r="M514" i="11"/>
  <c r="M513" i="11"/>
  <c r="M512" i="11"/>
  <c r="M511" i="11"/>
  <c r="M510" i="11"/>
  <c r="M509" i="11"/>
  <c r="M508" i="11"/>
  <c r="M507" i="11"/>
  <c r="M506" i="11"/>
  <c r="M505" i="11"/>
  <c r="M504" i="11"/>
  <c r="M503" i="11"/>
  <c r="M502" i="11"/>
  <c r="M501" i="11"/>
  <c r="M500" i="11"/>
  <c r="M499" i="11"/>
  <c r="M498" i="11"/>
  <c r="M497" i="11"/>
  <c r="M496" i="11"/>
  <c r="M495" i="11"/>
  <c r="M494" i="11"/>
  <c r="M493" i="11"/>
  <c r="M492" i="11"/>
  <c r="M491" i="11"/>
  <c r="M490" i="11"/>
  <c r="M489" i="11"/>
  <c r="M488" i="11"/>
  <c r="M487" i="11"/>
  <c r="M486" i="11"/>
  <c r="M485" i="11"/>
  <c r="M484" i="11"/>
  <c r="M483" i="11"/>
  <c r="M482" i="11"/>
  <c r="M481" i="11"/>
  <c r="M480" i="11"/>
  <c r="M479" i="11"/>
  <c r="M478" i="11"/>
  <c r="M477" i="11"/>
  <c r="M476" i="11"/>
  <c r="M475" i="11"/>
  <c r="M474" i="11"/>
  <c r="M473" i="11"/>
  <c r="M472" i="11"/>
  <c r="M471" i="11"/>
  <c r="M470" i="11"/>
  <c r="M469" i="11"/>
  <c r="M468" i="11"/>
  <c r="M467" i="11"/>
  <c r="M466" i="11"/>
  <c r="M465" i="11"/>
  <c r="M464" i="11"/>
  <c r="M463" i="11"/>
  <c r="M462" i="11"/>
  <c r="M461" i="11"/>
  <c r="M460" i="11"/>
  <c r="M459" i="11"/>
  <c r="M458" i="11"/>
  <c r="M457" i="11"/>
  <c r="M456" i="11"/>
  <c r="M455" i="11"/>
  <c r="M454" i="11"/>
  <c r="M453" i="11"/>
  <c r="M452" i="11"/>
  <c r="M451" i="11"/>
  <c r="M450" i="11"/>
  <c r="M449" i="11"/>
  <c r="M448" i="11"/>
  <c r="M447" i="11"/>
  <c r="M446" i="11"/>
  <c r="M445" i="11"/>
  <c r="M444" i="11"/>
  <c r="M443" i="11"/>
  <c r="M442" i="11"/>
  <c r="M441" i="11"/>
  <c r="M440" i="11"/>
  <c r="M439" i="11"/>
  <c r="M438" i="11"/>
  <c r="M437" i="11"/>
  <c r="M436" i="11"/>
  <c r="M435" i="11"/>
  <c r="M434" i="11"/>
  <c r="M433" i="11"/>
  <c r="M432" i="11"/>
  <c r="M431" i="11"/>
  <c r="M430" i="11"/>
  <c r="M429" i="11"/>
  <c r="M428" i="11"/>
  <c r="M427" i="11"/>
  <c r="M426" i="11"/>
  <c r="M425" i="11"/>
  <c r="M424" i="11"/>
  <c r="M423" i="11"/>
  <c r="M422" i="11"/>
  <c r="M421" i="11"/>
  <c r="M420" i="11"/>
  <c r="M419" i="11"/>
  <c r="M418" i="11"/>
  <c r="M417" i="11"/>
  <c r="M416" i="11"/>
  <c r="M415" i="11"/>
  <c r="M414" i="11"/>
  <c r="M413" i="11"/>
  <c r="M412" i="11"/>
  <c r="M411" i="11"/>
  <c r="M410" i="11"/>
  <c r="M409" i="11"/>
  <c r="M408" i="11"/>
  <c r="M407" i="11"/>
  <c r="M406" i="11"/>
  <c r="M405" i="11"/>
  <c r="M404" i="11"/>
  <c r="M403" i="11"/>
  <c r="M402" i="11"/>
  <c r="M401" i="11"/>
  <c r="M400" i="11"/>
  <c r="M399" i="11"/>
  <c r="M398" i="11"/>
  <c r="M397" i="11"/>
  <c r="M396" i="11"/>
  <c r="M395" i="11"/>
  <c r="M394" i="11"/>
  <c r="M393" i="11"/>
  <c r="M392" i="11"/>
  <c r="M391" i="11"/>
  <c r="M390" i="11"/>
  <c r="M389" i="11"/>
  <c r="M388" i="11"/>
  <c r="M387" i="11"/>
  <c r="M386" i="11"/>
  <c r="M385" i="11"/>
  <c r="M384" i="11"/>
  <c r="M383" i="11"/>
  <c r="M382" i="11"/>
  <c r="M381" i="11"/>
  <c r="M380" i="11"/>
  <c r="M379" i="11"/>
  <c r="M378" i="11"/>
  <c r="M377" i="11"/>
  <c r="M376" i="11"/>
  <c r="M375" i="11"/>
  <c r="M374" i="11"/>
  <c r="M373" i="11"/>
  <c r="M372" i="11"/>
  <c r="M371" i="11"/>
  <c r="M370" i="11"/>
  <c r="M369" i="11"/>
  <c r="M368" i="11"/>
  <c r="M367" i="11"/>
  <c r="M366" i="11"/>
  <c r="M365" i="11"/>
  <c r="M364" i="11"/>
  <c r="M363" i="11"/>
  <c r="M362" i="11"/>
  <c r="M361" i="11"/>
  <c r="M360" i="11"/>
  <c r="M359" i="11"/>
  <c r="M358" i="11"/>
  <c r="M357" i="11"/>
  <c r="M356" i="11"/>
  <c r="M355" i="11"/>
  <c r="M354" i="11"/>
  <c r="M353" i="11"/>
  <c r="M352" i="11"/>
  <c r="M351" i="11"/>
  <c r="M350" i="11"/>
  <c r="M349" i="11"/>
  <c r="M348" i="11"/>
  <c r="M347" i="11"/>
  <c r="M346" i="11"/>
  <c r="M345" i="11"/>
  <c r="M344" i="11"/>
  <c r="M343" i="11"/>
  <c r="M342" i="11"/>
  <c r="M341" i="11"/>
  <c r="M340" i="11"/>
  <c r="M339" i="11"/>
  <c r="M338" i="11"/>
  <c r="M337" i="11"/>
  <c r="M336" i="11"/>
  <c r="M335" i="11"/>
  <c r="M334" i="11"/>
  <c r="M333" i="11"/>
  <c r="M332" i="11"/>
  <c r="M331" i="11"/>
  <c r="M330" i="11"/>
  <c r="M329" i="11"/>
  <c r="M328" i="11"/>
  <c r="M327" i="11"/>
  <c r="M326" i="11"/>
  <c r="M325" i="11"/>
  <c r="M324" i="11"/>
  <c r="M323" i="11"/>
  <c r="M322" i="11"/>
  <c r="M321" i="11"/>
  <c r="M320" i="11"/>
  <c r="M319" i="11"/>
  <c r="M318" i="11"/>
  <c r="M317" i="11"/>
  <c r="M316" i="11"/>
  <c r="M315" i="11"/>
  <c r="M314" i="11"/>
  <c r="M313" i="11"/>
  <c r="M312" i="11"/>
  <c r="M311" i="11"/>
  <c r="M310" i="11"/>
  <c r="M309" i="11"/>
  <c r="M308" i="11"/>
  <c r="M307" i="11"/>
  <c r="M306" i="11"/>
  <c r="M305" i="11"/>
  <c r="M304" i="11"/>
  <c r="M303" i="11"/>
  <c r="M302" i="11"/>
  <c r="M301" i="11"/>
  <c r="M300" i="11"/>
  <c r="M299" i="11"/>
  <c r="M298" i="11"/>
  <c r="M297" i="11"/>
  <c r="M296" i="11"/>
  <c r="M295" i="11"/>
  <c r="M294" i="11"/>
  <c r="M293" i="11"/>
  <c r="M292" i="11"/>
  <c r="M291" i="11"/>
  <c r="M290" i="11"/>
  <c r="M289" i="11"/>
  <c r="M288" i="11"/>
  <c r="M287" i="11"/>
  <c r="M286" i="11"/>
  <c r="M285" i="11"/>
  <c r="M284" i="11"/>
  <c r="M283" i="11"/>
  <c r="M282" i="11"/>
  <c r="M281" i="11"/>
  <c r="M280" i="11"/>
  <c r="M279" i="11"/>
  <c r="M278" i="11"/>
  <c r="M277" i="11"/>
  <c r="M276" i="11"/>
  <c r="M275" i="11"/>
  <c r="M274" i="11"/>
  <c r="M273" i="11"/>
  <c r="M272" i="11"/>
  <c r="M271" i="11"/>
  <c r="M270" i="11"/>
  <c r="M269" i="11"/>
  <c r="M268" i="11"/>
  <c r="M267" i="11"/>
  <c r="M266" i="11"/>
  <c r="M265" i="11"/>
  <c r="M264" i="11"/>
  <c r="M263" i="11"/>
  <c r="M262"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M234" i="11"/>
  <c r="M233" i="11"/>
  <c r="M232" i="11"/>
  <c r="M231" i="11"/>
  <c r="M230" i="11"/>
  <c r="M229" i="11"/>
  <c r="M228" i="11"/>
  <c r="M227" i="11"/>
  <c r="M226" i="11"/>
  <c r="M225" i="11"/>
  <c r="M224" i="11"/>
  <c r="M223" i="11"/>
  <c r="M222" i="11"/>
  <c r="M221" i="11"/>
  <c r="M220" i="11"/>
  <c r="M219" i="11"/>
  <c r="M218" i="11"/>
  <c r="M217" i="11"/>
  <c r="M216" i="11"/>
  <c r="M215" i="11"/>
  <c r="M214" i="11"/>
  <c r="M213" i="11"/>
  <c r="M212" i="11"/>
  <c r="M211" i="11"/>
  <c r="M210" i="11"/>
  <c r="M209" i="11"/>
  <c r="M208" i="11"/>
  <c r="M207" i="11"/>
  <c r="M206" i="11"/>
  <c r="M205" i="11"/>
  <c r="M204" i="11"/>
  <c r="M203" i="11"/>
  <c r="M202" i="11"/>
  <c r="M201" i="11"/>
  <c r="M200" i="11"/>
  <c r="M199" i="11"/>
  <c r="M198" i="11"/>
  <c r="M197" i="11"/>
  <c r="M196" i="11"/>
  <c r="M195" i="11"/>
  <c r="M194" i="11"/>
  <c r="M193" i="11"/>
  <c r="M192" i="11"/>
  <c r="M191" i="11"/>
  <c r="M190" i="11"/>
  <c r="M189" i="11"/>
  <c r="M188" i="11"/>
  <c r="M187" i="11"/>
  <c r="M186" i="11"/>
  <c r="M185" i="11"/>
  <c r="M184"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53" i="11"/>
  <c r="M152" i="11"/>
  <c r="M151" i="11"/>
  <c r="M150" i="11"/>
  <c r="M149" i="11"/>
  <c r="M148" i="11"/>
  <c r="M147" i="11"/>
  <c r="M146" i="11"/>
  <c r="M145" i="11"/>
  <c r="M144" i="11"/>
  <c r="M143" i="11"/>
  <c r="M142" i="11"/>
  <c r="M141" i="11"/>
  <c r="M140" i="11"/>
  <c r="M139" i="11"/>
  <c r="M138" i="11"/>
  <c r="M137" i="11"/>
  <c r="M136" i="11"/>
  <c r="M135" i="11"/>
  <c r="M134" i="11"/>
  <c r="M133" i="11"/>
  <c r="M132" i="11"/>
  <c r="M131" i="11"/>
  <c r="M130" i="11"/>
  <c r="M129" i="11"/>
  <c r="M128" i="11"/>
  <c r="M127" i="11"/>
  <c r="M126" i="11"/>
  <c r="M125" i="11"/>
  <c r="M124" i="11"/>
  <c r="M123" i="11"/>
  <c r="M122" i="11"/>
  <c r="M121" i="11"/>
  <c r="M120" i="11"/>
  <c r="M119" i="11"/>
  <c r="M118" i="11"/>
  <c r="M117" i="11"/>
  <c r="M116"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84" i="11"/>
  <c r="M83" i="11"/>
  <c r="M82" i="11"/>
  <c r="M81" i="11"/>
  <c r="M80" i="11"/>
  <c r="M79" i="11"/>
  <c r="M78" i="11"/>
  <c r="M77" i="11"/>
  <c r="M76" i="11"/>
  <c r="M75" i="11"/>
  <c r="M74" i="11"/>
  <c r="M73" i="11"/>
  <c r="M72" i="11"/>
  <c r="M71" i="11"/>
  <c r="M70" i="11"/>
  <c r="M69" i="11"/>
  <c r="M68" i="11"/>
  <c r="M67" i="11"/>
  <c r="M66" i="11"/>
  <c r="M65" i="11"/>
  <c r="M64" i="11"/>
  <c r="M63" i="11"/>
  <c r="M62" i="11"/>
  <c r="M61" i="11"/>
  <c r="M60" i="11"/>
  <c r="M59" i="11"/>
  <c r="M58" i="11"/>
  <c r="M57" i="11"/>
  <c r="M56" i="11"/>
  <c r="M55" i="11"/>
  <c r="M54" i="11"/>
  <c r="M53" i="11"/>
  <c r="M52" i="11"/>
  <c r="M51" i="11"/>
  <c r="M50" i="11"/>
  <c r="M49" i="11"/>
  <c r="M48" i="11"/>
  <c r="M47" i="11"/>
  <c r="M46" i="11"/>
  <c r="M45" i="11"/>
  <c r="M44" i="11"/>
  <c r="M43" i="11"/>
  <c r="M42" i="11"/>
  <c r="M41" i="11"/>
  <c r="M40" i="11"/>
  <c r="M39" i="11"/>
  <c r="M38" i="11"/>
  <c r="M37" i="11"/>
  <c r="M36" i="11"/>
  <c r="M35" i="11"/>
  <c r="M34" i="11"/>
  <c r="M33" i="11"/>
  <c r="M32" i="11"/>
  <c r="M31" i="11"/>
  <c r="M30" i="11"/>
  <c r="M29" i="11"/>
  <c r="M28" i="11"/>
  <c r="M27" i="11"/>
  <c r="M26" i="11"/>
  <c r="M25" i="11"/>
  <c r="M24" i="11"/>
  <c r="M23" i="11"/>
  <c r="M22" i="11"/>
  <c r="M21" i="11"/>
  <c r="M20" i="11"/>
  <c r="M19" i="11"/>
  <c r="M18" i="11"/>
  <c r="M17" i="11"/>
  <c r="M16" i="11"/>
  <c r="M15" i="11"/>
  <c r="M14" i="11"/>
  <c r="M13" i="11"/>
  <c r="M12" i="11"/>
  <c r="M11" i="11"/>
  <c r="M10" i="11"/>
  <c r="M9" i="11"/>
  <c r="M8" i="11"/>
  <c r="M7" i="11"/>
  <c r="M6" i="11"/>
  <c r="M5" i="11"/>
  <c r="M4" i="11"/>
  <c r="M3" i="11"/>
  <c r="L250" i="1"/>
  <c r="D250" i="1"/>
  <c r="L2" i="11" l="1"/>
  <c r="M2" i="11"/>
  <c r="L248" i="1"/>
  <c r="D248" i="1"/>
  <c r="L241" i="1"/>
  <c r="D241" i="1"/>
  <c r="L249" i="1" l="1"/>
  <c r="D249" i="1"/>
  <c r="L245" i="1"/>
  <c r="D245" i="1"/>
  <c r="L238" i="1" l="1"/>
  <c r="D238" i="1"/>
  <c r="L231" i="1" l="1"/>
  <c r="D231" i="1"/>
  <c r="L234" i="1" l="1"/>
  <c r="L235" i="1"/>
  <c r="L236" i="1"/>
  <c r="L237" i="1"/>
  <c r="L239" i="1"/>
  <c r="L240" i="1"/>
  <c r="L242" i="1"/>
  <c r="L243" i="1"/>
  <c r="L244" i="1"/>
  <c r="L246" i="1"/>
  <c r="L247" i="1"/>
  <c r="L251" i="1"/>
  <c r="D251" i="1"/>
  <c r="D247" i="1"/>
  <c r="D246" i="1"/>
  <c r="D244" i="1"/>
  <c r="D243" i="1"/>
  <c r="D242" i="1"/>
  <c r="D240" i="1"/>
  <c r="D239" i="1"/>
  <c r="D237" i="1"/>
  <c r="D235" i="1"/>
  <c r="D236" i="1"/>
  <c r="D234" i="1"/>
  <c r="L233" i="1" l="1"/>
  <c r="D233" i="1"/>
  <c r="L232" i="1"/>
  <c r="D232" i="1"/>
  <c r="B703" i="11" l="1"/>
  <c r="B704" i="11"/>
  <c r="B705" i="11"/>
  <c r="B706" i="11"/>
  <c r="B707" i="11"/>
  <c r="B708" i="11"/>
  <c r="B709" i="11"/>
  <c r="B710" i="11"/>
  <c r="B711" i="11"/>
  <c r="B712" i="11"/>
  <c r="B713" i="11"/>
  <c r="B714" i="11"/>
  <c r="B715" i="11"/>
  <c r="B716" i="11"/>
  <c r="B717" i="11"/>
  <c r="B718" i="11"/>
  <c r="B719" i="11"/>
  <c r="B720" i="11"/>
  <c r="B721" i="11"/>
  <c r="B722" i="11"/>
  <c r="B723" i="11"/>
  <c r="B724" i="11"/>
  <c r="B725" i="11"/>
  <c r="B583" i="11"/>
  <c r="B584" i="11"/>
  <c r="B585" i="11"/>
  <c r="B586" i="11"/>
  <c r="B587" i="11"/>
  <c r="B588" i="11"/>
  <c r="B589" i="11"/>
  <c r="B590" i="11"/>
  <c r="B591" i="11"/>
  <c r="B592" i="11"/>
  <c r="B593" i="11"/>
  <c r="B594" i="11"/>
  <c r="B595" i="11"/>
  <c r="B596" i="11"/>
  <c r="B597" i="11"/>
  <c r="B598" i="11"/>
  <c r="B599" i="11"/>
  <c r="B600" i="11"/>
  <c r="B601" i="11"/>
  <c r="B602" i="11"/>
  <c r="B603" i="11"/>
  <c r="B604" i="11"/>
  <c r="B605" i="11"/>
  <c r="B606" i="11"/>
  <c r="B607" i="11"/>
  <c r="B608" i="11"/>
  <c r="B609" i="11"/>
  <c r="B610" i="11"/>
  <c r="B611" i="11"/>
  <c r="B612" i="11"/>
  <c r="B613" i="11"/>
  <c r="B614" i="11"/>
  <c r="B615" i="11"/>
  <c r="B616" i="11"/>
  <c r="B617" i="11"/>
  <c r="B618" i="11"/>
  <c r="B619" i="11"/>
  <c r="B620" i="11"/>
  <c r="B621" i="11"/>
  <c r="B622" i="11"/>
  <c r="B623" i="11"/>
  <c r="B624" i="11"/>
  <c r="B625" i="11"/>
  <c r="B626" i="11"/>
  <c r="B627" i="11"/>
  <c r="B628" i="11"/>
  <c r="B629" i="11"/>
  <c r="B630" i="11"/>
  <c r="B631" i="11"/>
  <c r="B632" i="11"/>
  <c r="B633" i="11"/>
  <c r="B634" i="11"/>
  <c r="B635" i="11"/>
  <c r="B636" i="11"/>
  <c r="B637" i="11"/>
  <c r="B638" i="11"/>
  <c r="B639" i="11"/>
  <c r="B640" i="11"/>
  <c r="B641" i="11"/>
  <c r="B642" i="11"/>
  <c r="B643" i="11"/>
  <c r="B644" i="11"/>
  <c r="B645" i="11"/>
  <c r="B646" i="11"/>
  <c r="B647" i="11"/>
  <c r="B648" i="11"/>
  <c r="B649" i="11"/>
  <c r="B650" i="11"/>
  <c r="B651" i="11"/>
  <c r="B652" i="11"/>
  <c r="B653" i="11"/>
  <c r="B654" i="11"/>
  <c r="B655" i="11"/>
  <c r="B656" i="11"/>
  <c r="B657" i="11"/>
  <c r="B658" i="11"/>
  <c r="B659" i="11"/>
  <c r="B660" i="11"/>
  <c r="B661" i="11"/>
  <c r="B662" i="11"/>
  <c r="B663" i="11"/>
  <c r="B664" i="11"/>
  <c r="B665" i="11"/>
  <c r="B666" i="11"/>
  <c r="B667" i="11"/>
  <c r="B668" i="11"/>
  <c r="B669" i="11"/>
  <c r="B670" i="11"/>
  <c r="B671" i="11"/>
  <c r="B672" i="11"/>
  <c r="B673" i="11"/>
  <c r="B674" i="11"/>
  <c r="B675" i="11"/>
  <c r="B676" i="11"/>
  <c r="B677" i="11"/>
  <c r="B678" i="11"/>
  <c r="B679" i="11"/>
  <c r="B680" i="11"/>
  <c r="B681" i="11"/>
  <c r="B682" i="11"/>
  <c r="B683" i="11"/>
  <c r="B684" i="11"/>
  <c r="B685" i="11"/>
  <c r="B686" i="11"/>
  <c r="B687" i="11"/>
  <c r="B688" i="11"/>
  <c r="B689" i="11"/>
  <c r="B690" i="11"/>
  <c r="B691" i="11"/>
  <c r="B692" i="11"/>
  <c r="B693" i="11"/>
  <c r="B694" i="11"/>
  <c r="B695" i="11"/>
  <c r="B696" i="11"/>
  <c r="B697" i="11"/>
  <c r="B698" i="11"/>
  <c r="B699" i="11"/>
  <c r="B700" i="11"/>
  <c r="B701" i="11"/>
  <c r="B702" i="11"/>
  <c r="L228" i="1"/>
  <c r="D228" i="1"/>
  <c r="L227" i="1"/>
  <c r="D227" i="1"/>
  <c r="L226" i="1" l="1"/>
  <c r="D226" i="1"/>
  <c r="L221" i="1" l="1"/>
  <c r="D221" i="1"/>
  <c r="L203" i="1" l="1"/>
  <c r="L214" i="1" l="1"/>
  <c r="D214" i="1"/>
  <c r="L213" i="1"/>
  <c r="D213" i="1"/>
  <c r="L215" i="1" l="1"/>
  <c r="D215" i="1"/>
  <c r="L209" i="1" l="1"/>
  <c r="D209" i="1"/>
  <c r="L230" i="1" l="1"/>
  <c r="D230" i="1"/>
  <c r="L229" i="1"/>
  <c r="D229" i="1"/>
  <c r="L208" i="1" l="1"/>
  <c r="D208" i="1"/>
  <c r="L204" i="1"/>
  <c r="D204" i="1"/>
  <c r="L201" i="1"/>
  <c r="D201" i="1"/>
  <c r="B432" i="11" l="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B551" i="11"/>
  <c r="B552" i="11"/>
  <c r="B553" i="11"/>
  <c r="B554" i="11"/>
  <c r="B555" i="11"/>
  <c r="B556" i="11"/>
  <c r="B557" i="11"/>
  <c r="B558" i="11"/>
  <c r="B559" i="11"/>
  <c r="B560" i="11"/>
  <c r="B561" i="11"/>
  <c r="B562" i="11"/>
  <c r="B563" i="11"/>
  <c r="B564" i="11"/>
  <c r="B565" i="11"/>
  <c r="B566" i="11"/>
  <c r="B567" i="11"/>
  <c r="B568" i="11"/>
  <c r="B569" i="11"/>
  <c r="B570" i="11"/>
  <c r="B571" i="11"/>
  <c r="B572" i="11"/>
  <c r="B573" i="11"/>
  <c r="B574" i="11"/>
  <c r="B575" i="11"/>
  <c r="B576" i="11"/>
  <c r="B577" i="11"/>
  <c r="B578" i="11"/>
  <c r="B579" i="11"/>
  <c r="B580" i="11"/>
  <c r="B581" i="11"/>
  <c r="B582" i="11"/>
  <c r="L225" i="1"/>
  <c r="D225" i="1"/>
  <c r="L223" i="1"/>
  <c r="D223" i="1"/>
  <c r="L224" i="1"/>
  <c r="D224" i="1"/>
  <c r="L222" i="1"/>
  <c r="D222" i="1"/>
  <c r="L220" i="1"/>
  <c r="D220" i="1"/>
  <c r="L219" i="1"/>
  <c r="D219" i="1"/>
  <c r="L200" i="1" l="1"/>
  <c r="D200" i="1"/>
  <c r="L198" i="1"/>
  <c r="D198" i="1"/>
  <c r="L216" i="1"/>
  <c r="D216" i="1"/>
  <c r="L211" i="1" l="1"/>
  <c r="D211" i="1"/>
  <c r="L210" i="1"/>
  <c r="D210" i="1"/>
  <c r="L212" i="1" l="1"/>
  <c r="D212" i="1"/>
  <c r="L199" i="1"/>
  <c r="D199" i="1"/>
  <c r="L197" i="1"/>
  <c r="D197" i="1"/>
  <c r="L192" i="1" l="1"/>
  <c r="D192" i="1"/>
  <c r="L218" i="1" l="1"/>
  <c r="D218" i="1"/>
  <c r="L217" i="1"/>
  <c r="D217" i="1"/>
  <c r="L193" i="1" l="1"/>
  <c r="D193" i="1"/>
  <c r="D203" i="1" l="1"/>
  <c r="D207" i="1"/>
  <c r="L207" i="1"/>
  <c r="L196" i="1" l="1"/>
  <c r="D196" i="1"/>
  <c r="L194" i="1"/>
  <c r="D194" i="1"/>
  <c r="L188" i="1"/>
  <c r="D188" i="1"/>
  <c r="L187" i="1" l="1"/>
  <c r="D187" i="1"/>
  <c r="L190" i="1" l="1"/>
  <c r="D190" i="1"/>
  <c r="C205" i="1" l="1"/>
  <c r="L206" i="1"/>
  <c r="D206" i="1"/>
  <c r="L205" i="1"/>
  <c r="L202" i="1"/>
  <c r="I461" i="11" s="1"/>
  <c r="D202" i="1"/>
  <c r="F703" i="11" l="1"/>
  <c r="J703" i="11"/>
  <c r="C704" i="11"/>
  <c r="G704" i="11"/>
  <c r="K704" i="11"/>
  <c r="D705" i="11"/>
  <c r="H705" i="11"/>
  <c r="N705" i="11"/>
  <c r="E706" i="11"/>
  <c r="I706" i="11"/>
  <c r="F707" i="11"/>
  <c r="J707" i="11"/>
  <c r="C708" i="11"/>
  <c r="G708" i="11"/>
  <c r="K708" i="11"/>
  <c r="D709" i="11"/>
  <c r="H709" i="11"/>
  <c r="N709" i="11"/>
  <c r="E710" i="11"/>
  <c r="I710" i="11"/>
  <c r="F711" i="11"/>
  <c r="J711" i="11"/>
  <c r="C712" i="11"/>
  <c r="G712" i="11"/>
  <c r="K712" i="11"/>
  <c r="D713" i="11"/>
  <c r="H713" i="11"/>
  <c r="N713" i="11"/>
  <c r="E714" i="11"/>
  <c r="I714" i="11"/>
  <c r="F715" i="11"/>
  <c r="J715" i="11"/>
  <c r="C716" i="11"/>
  <c r="G716" i="11"/>
  <c r="K716" i="11"/>
  <c r="D717" i="11"/>
  <c r="H717" i="11"/>
  <c r="N717" i="11"/>
  <c r="E718" i="11"/>
  <c r="I718" i="11"/>
  <c r="F719" i="11"/>
  <c r="J719" i="11"/>
  <c r="C720" i="11"/>
  <c r="G720" i="11"/>
  <c r="K720" i="11"/>
  <c r="D721" i="11"/>
  <c r="H721" i="11"/>
  <c r="N721" i="11"/>
  <c r="E722" i="11"/>
  <c r="I722" i="11"/>
  <c r="F723" i="11"/>
  <c r="J723" i="11"/>
  <c r="C724" i="11"/>
  <c r="G724" i="11"/>
  <c r="K724" i="11"/>
  <c r="D725" i="11"/>
  <c r="H725" i="11"/>
  <c r="N725" i="11"/>
  <c r="E583" i="11"/>
  <c r="I583" i="11"/>
  <c r="F584" i="11"/>
  <c r="J584" i="11"/>
  <c r="C585" i="11"/>
  <c r="G585" i="11"/>
  <c r="K585" i="11"/>
  <c r="D586" i="11"/>
  <c r="H586" i="11"/>
  <c r="N586" i="11"/>
  <c r="E587" i="11"/>
  <c r="I587" i="11"/>
  <c r="F588" i="11"/>
  <c r="C703" i="11"/>
  <c r="G703" i="11"/>
  <c r="K703" i="11"/>
  <c r="D704" i="11"/>
  <c r="H704" i="11"/>
  <c r="N704" i="11"/>
  <c r="E705" i="11"/>
  <c r="I705" i="11"/>
  <c r="F706" i="11"/>
  <c r="J706" i="11"/>
  <c r="C707" i="11"/>
  <c r="G707" i="11"/>
  <c r="K707" i="11"/>
  <c r="D708" i="11"/>
  <c r="H708" i="11"/>
  <c r="N708" i="11"/>
  <c r="E709" i="11"/>
  <c r="I709" i="11"/>
  <c r="F710" i="11"/>
  <c r="J710" i="11"/>
  <c r="C711" i="11"/>
  <c r="G711" i="11"/>
  <c r="K711" i="11"/>
  <c r="D703" i="11"/>
  <c r="H703" i="11"/>
  <c r="N703" i="11"/>
  <c r="E704" i="11"/>
  <c r="I704" i="11"/>
  <c r="F705" i="11"/>
  <c r="J705" i="11"/>
  <c r="C706" i="11"/>
  <c r="G706" i="11"/>
  <c r="K706" i="11"/>
  <c r="D707" i="11"/>
  <c r="H707" i="11"/>
  <c r="N707" i="11"/>
  <c r="E708" i="11"/>
  <c r="I708" i="11"/>
  <c r="F709" i="11"/>
  <c r="J709" i="11"/>
  <c r="C710" i="11"/>
  <c r="G710" i="11"/>
  <c r="K710" i="11"/>
  <c r="D711" i="11"/>
  <c r="H711" i="11"/>
  <c r="N711" i="11"/>
  <c r="E712" i="11"/>
  <c r="I712" i="11"/>
  <c r="F713" i="11"/>
  <c r="J713" i="11"/>
  <c r="C714" i="11"/>
  <c r="G714" i="11"/>
  <c r="K714" i="11"/>
  <c r="D715" i="11"/>
  <c r="H715" i="11"/>
  <c r="N715" i="11"/>
  <c r="E716" i="11"/>
  <c r="I716" i="11"/>
  <c r="F717" i="11"/>
  <c r="J717" i="11"/>
  <c r="C718" i="11"/>
  <c r="G718" i="11"/>
  <c r="K718" i="11"/>
  <c r="D719" i="11"/>
  <c r="H719" i="11"/>
  <c r="N719" i="11"/>
  <c r="E720" i="11"/>
  <c r="I720" i="11"/>
  <c r="F721" i="11"/>
  <c r="J721" i="11"/>
  <c r="C722" i="11"/>
  <c r="G722" i="11"/>
  <c r="K722" i="11"/>
  <c r="D723" i="11"/>
  <c r="H723" i="11"/>
  <c r="N723" i="11"/>
  <c r="E724" i="11"/>
  <c r="I724" i="11"/>
  <c r="F725" i="11"/>
  <c r="J725" i="11"/>
  <c r="C583" i="11"/>
  <c r="G583" i="11"/>
  <c r="K583" i="11"/>
  <c r="D584" i="11"/>
  <c r="H584" i="11"/>
  <c r="N584" i="11"/>
  <c r="E585" i="11"/>
  <c r="I585" i="11"/>
  <c r="F586" i="11"/>
  <c r="J586" i="11"/>
  <c r="C587" i="11"/>
  <c r="G587" i="11"/>
  <c r="K587" i="11"/>
  <c r="H588" i="11"/>
  <c r="N588" i="11"/>
  <c r="E589" i="11"/>
  <c r="I589" i="11"/>
  <c r="F590" i="11"/>
  <c r="J590" i="11"/>
  <c r="C591" i="11"/>
  <c r="G591" i="11"/>
  <c r="E703" i="11"/>
  <c r="I703" i="11"/>
  <c r="F704" i="11"/>
  <c r="J704" i="11"/>
  <c r="C705" i="11"/>
  <c r="G705" i="11"/>
  <c r="K705" i="11"/>
  <c r="D706" i="11"/>
  <c r="H706" i="11"/>
  <c r="N706" i="11"/>
  <c r="E707" i="11"/>
  <c r="I707" i="11"/>
  <c r="F708" i="11"/>
  <c r="J708" i="11"/>
  <c r="C709" i="11"/>
  <c r="G709" i="11"/>
  <c r="K709" i="11"/>
  <c r="D710" i="11"/>
  <c r="H710" i="11"/>
  <c r="N710" i="11"/>
  <c r="E711" i="11"/>
  <c r="I711" i="11"/>
  <c r="F712" i="11"/>
  <c r="J712" i="11"/>
  <c r="C713" i="11"/>
  <c r="G713" i="11"/>
  <c r="K713" i="11"/>
  <c r="D714" i="11"/>
  <c r="H714" i="11"/>
  <c r="N714" i="11"/>
  <c r="E715" i="11"/>
  <c r="I715" i="11"/>
  <c r="F716" i="11"/>
  <c r="J716" i="11"/>
  <c r="C717" i="11"/>
  <c r="G717" i="11"/>
  <c r="K717" i="11"/>
  <c r="D718" i="11"/>
  <c r="H718" i="11"/>
  <c r="N718" i="11"/>
  <c r="E719" i="11"/>
  <c r="I719" i="11"/>
  <c r="F720" i="11"/>
  <c r="J720" i="11"/>
  <c r="C721" i="11"/>
  <c r="G721" i="11"/>
  <c r="K721" i="11"/>
  <c r="D722" i="11"/>
  <c r="H722" i="11"/>
  <c r="N722" i="11"/>
  <c r="E723" i="11"/>
  <c r="I723" i="11"/>
  <c r="F724" i="11"/>
  <c r="J724" i="11"/>
  <c r="C725" i="11"/>
  <c r="G725" i="11"/>
  <c r="K725" i="11"/>
  <c r="D583" i="11"/>
  <c r="H583" i="11"/>
  <c r="N583" i="11"/>
  <c r="E584" i="11"/>
  <c r="I584" i="11"/>
  <c r="F585" i="11"/>
  <c r="J585" i="11"/>
  <c r="C586" i="11"/>
  <c r="G586" i="11"/>
  <c r="K586" i="11"/>
  <c r="D587" i="11"/>
  <c r="H587" i="11"/>
  <c r="N587" i="11"/>
  <c r="E588" i="11"/>
  <c r="I588" i="11"/>
  <c r="F589" i="11"/>
  <c r="J589" i="11"/>
  <c r="C590" i="11"/>
  <c r="G590" i="11"/>
  <c r="K590" i="11"/>
  <c r="H591" i="11"/>
  <c r="N591" i="11"/>
  <c r="E592" i="11"/>
  <c r="I592" i="11"/>
  <c r="F593" i="11"/>
  <c r="J593" i="11"/>
  <c r="C594" i="11"/>
  <c r="N712" i="11"/>
  <c r="C715" i="11"/>
  <c r="D716" i="11"/>
  <c r="E717" i="11"/>
  <c r="J718" i="11"/>
  <c r="K719" i="11"/>
  <c r="N720" i="11"/>
  <c r="C723" i="11"/>
  <c r="D724" i="11"/>
  <c r="E725" i="11"/>
  <c r="J583" i="11"/>
  <c r="K584" i="11"/>
  <c r="N585" i="11"/>
  <c r="C588" i="11"/>
  <c r="H589" i="11"/>
  <c r="D590" i="11"/>
  <c r="N590" i="11"/>
  <c r="I591" i="11"/>
  <c r="C592" i="11"/>
  <c r="H592" i="11"/>
  <c r="G593" i="11"/>
  <c r="N593" i="11"/>
  <c r="F594" i="11"/>
  <c r="J594" i="11"/>
  <c r="C595" i="11"/>
  <c r="G595" i="11"/>
  <c r="K595" i="11"/>
  <c r="D596" i="11"/>
  <c r="H596" i="11"/>
  <c r="N596" i="11"/>
  <c r="E597" i="11"/>
  <c r="I597" i="11"/>
  <c r="F598" i="11"/>
  <c r="J598" i="11"/>
  <c r="C599" i="11"/>
  <c r="G599" i="11"/>
  <c r="K599" i="11"/>
  <c r="D600" i="11"/>
  <c r="H600" i="11"/>
  <c r="N600" i="11"/>
  <c r="E601" i="11"/>
  <c r="I601" i="11"/>
  <c r="F602" i="11"/>
  <c r="J602" i="11"/>
  <c r="C603" i="11"/>
  <c r="G603" i="11"/>
  <c r="K603" i="11"/>
  <c r="D604" i="11"/>
  <c r="H604" i="11"/>
  <c r="N604" i="11"/>
  <c r="E605" i="11"/>
  <c r="I605" i="11"/>
  <c r="F606" i="11"/>
  <c r="J606" i="11"/>
  <c r="C607" i="11"/>
  <c r="G607" i="11"/>
  <c r="F714" i="11"/>
  <c r="G715" i="11"/>
  <c r="H716" i="11"/>
  <c r="I717" i="11"/>
  <c r="F722" i="11"/>
  <c r="G723" i="11"/>
  <c r="H724" i="11"/>
  <c r="I725" i="11"/>
  <c r="F587" i="11"/>
  <c r="G588" i="11"/>
  <c r="C589" i="11"/>
  <c r="K589" i="11"/>
  <c r="E590" i="11"/>
  <c r="J591" i="11"/>
  <c r="D592" i="11"/>
  <c r="J592" i="11"/>
  <c r="C593" i="11"/>
  <c r="H593" i="11"/>
  <c r="G594" i="11"/>
  <c r="K594" i="11"/>
  <c r="D595" i="11"/>
  <c r="H595" i="11"/>
  <c r="N595" i="11"/>
  <c r="E596" i="11"/>
  <c r="I596" i="11"/>
  <c r="F597" i="11"/>
  <c r="J597" i="11"/>
  <c r="C598" i="11"/>
  <c r="G598" i="11"/>
  <c r="K598" i="11"/>
  <c r="D599" i="11"/>
  <c r="H599" i="11"/>
  <c r="N599" i="11"/>
  <c r="E600" i="11"/>
  <c r="I600" i="11"/>
  <c r="F601" i="11"/>
  <c r="J601" i="11"/>
  <c r="C602" i="11"/>
  <c r="G602" i="11"/>
  <c r="D603" i="11"/>
  <c r="H603" i="11"/>
  <c r="N603" i="11"/>
  <c r="E604" i="11"/>
  <c r="I604" i="11"/>
  <c r="F605" i="11"/>
  <c r="J605" i="11"/>
  <c r="C606" i="11"/>
  <c r="G606" i="11"/>
  <c r="K606" i="11"/>
  <c r="D607" i="11"/>
  <c r="H607" i="11"/>
  <c r="N607" i="11"/>
  <c r="E608" i="11"/>
  <c r="I608" i="11"/>
  <c r="F609" i="11"/>
  <c r="J609" i="11"/>
  <c r="C610" i="11"/>
  <c r="G610" i="11"/>
  <c r="K610" i="11"/>
  <c r="D611" i="11"/>
  <c r="H611" i="11"/>
  <c r="N611" i="11"/>
  <c r="E612" i="11"/>
  <c r="I612" i="11"/>
  <c r="F613" i="11"/>
  <c r="J613" i="11"/>
  <c r="C614" i="11"/>
  <c r="G614" i="11"/>
  <c r="K614" i="11"/>
  <c r="D615" i="11"/>
  <c r="H615" i="11"/>
  <c r="N615" i="11"/>
  <c r="E616" i="11"/>
  <c r="I616" i="11"/>
  <c r="F617" i="11"/>
  <c r="J617" i="11"/>
  <c r="C618" i="11"/>
  <c r="G618" i="11"/>
  <c r="K618" i="11"/>
  <c r="D619" i="11"/>
  <c r="H619" i="11"/>
  <c r="N619" i="11"/>
  <c r="E620" i="11"/>
  <c r="I620" i="11"/>
  <c r="D712" i="11"/>
  <c r="E713" i="11"/>
  <c r="J714" i="11"/>
  <c r="K715" i="11"/>
  <c r="N716" i="11"/>
  <c r="C719" i="11"/>
  <c r="D720" i="11"/>
  <c r="E721" i="11"/>
  <c r="J722" i="11"/>
  <c r="K723" i="11"/>
  <c r="N724" i="11"/>
  <c r="C584" i="11"/>
  <c r="D585" i="11"/>
  <c r="E586" i="11"/>
  <c r="J587" i="11"/>
  <c r="J588" i="11"/>
  <c r="D589" i="11"/>
  <c r="N589" i="11"/>
  <c r="H590" i="11"/>
  <c r="E591" i="11"/>
  <c r="K591" i="11"/>
  <c r="F592" i="11"/>
  <c r="K592" i="11"/>
  <c r="D593" i="11"/>
  <c r="I593" i="11"/>
  <c r="D594" i="11"/>
  <c r="H594" i="11"/>
  <c r="N594" i="11"/>
  <c r="I595" i="11"/>
  <c r="F596" i="11"/>
  <c r="J596" i="11"/>
  <c r="C597" i="11"/>
  <c r="G597" i="11"/>
  <c r="K597" i="11"/>
  <c r="D598" i="11"/>
  <c r="H598" i="11"/>
  <c r="N598" i="11"/>
  <c r="E599" i="11"/>
  <c r="I599" i="11"/>
  <c r="F600" i="11"/>
  <c r="J600" i="11"/>
  <c r="C601" i="11"/>
  <c r="G601" i="11"/>
  <c r="D602" i="11"/>
  <c r="H602" i="11"/>
  <c r="N602" i="11"/>
  <c r="E603" i="11"/>
  <c r="I603" i="11"/>
  <c r="F604" i="11"/>
  <c r="J604" i="11"/>
  <c r="C605" i="11"/>
  <c r="G605" i="11"/>
  <c r="K605" i="11"/>
  <c r="D606" i="11"/>
  <c r="H606" i="11"/>
  <c r="N606" i="11"/>
  <c r="E607" i="11"/>
  <c r="I607" i="11"/>
  <c r="F608" i="11"/>
  <c r="J608" i="11"/>
  <c r="C609" i="11"/>
  <c r="G609" i="11"/>
  <c r="K609" i="11"/>
  <c r="D610" i="11"/>
  <c r="H610" i="11"/>
  <c r="N610" i="11"/>
  <c r="E611" i="11"/>
  <c r="I611" i="11"/>
  <c r="F612" i="11"/>
  <c r="J612" i="11"/>
  <c r="C613" i="11"/>
  <c r="G613" i="11"/>
  <c r="K613" i="11"/>
  <c r="D614" i="11"/>
  <c r="H614" i="11"/>
  <c r="N614" i="11"/>
  <c r="E615" i="11"/>
  <c r="I615" i="11"/>
  <c r="F616" i="11"/>
  <c r="J616" i="11"/>
  <c r="C617" i="11"/>
  <c r="G617" i="11"/>
  <c r="K617" i="11"/>
  <c r="H712" i="11"/>
  <c r="I713" i="11"/>
  <c r="F718" i="11"/>
  <c r="G719" i="11"/>
  <c r="H720" i="11"/>
  <c r="I721" i="11"/>
  <c r="F583" i="11"/>
  <c r="G584" i="11"/>
  <c r="H585" i="11"/>
  <c r="I586" i="11"/>
  <c r="K588" i="11"/>
  <c r="G589" i="11"/>
  <c r="I590" i="11"/>
  <c r="F591" i="11"/>
  <c r="G592" i="11"/>
  <c r="N592" i="11"/>
  <c r="E593" i="11"/>
  <c r="K593" i="11"/>
  <c r="E594" i="11"/>
  <c r="I594" i="11"/>
  <c r="F595" i="11"/>
  <c r="J595" i="11"/>
  <c r="C596" i="11"/>
  <c r="G596" i="11"/>
  <c r="K596" i="11"/>
  <c r="D597" i="11"/>
  <c r="H597" i="11"/>
  <c r="N597" i="11"/>
  <c r="E598" i="11"/>
  <c r="I598" i="11"/>
  <c r="F599" i="11"/>
  <c r="J599" i="11"/>
  <c r="C600" i="11"/>
  <c r="G600" i="11"/>
  <c r="K600" i="11"/>
  <c r="D601" i="11"/>
  <c r="H601" i="11"/>
  <c r="N601" i="11"/>
  <c r="K602" i="11"/>
  <c r="I602" i="11"/>
  <c r="F603" i="11"/>
  <c r="J603" i="11"/>
  <c r="C604" i="11"/>
  <c r="G604" i="11"/>
  <c r="K604" i="11"/>
  <c r="D605" i="11"/>
  <c r="H605" i="11"/>
  <c r="N605" i="11"/>
  <c r="E606" i="11"/>
  <c r="I606" i="11"/>
  <c r="F607" i="11"/>
  <c r="J607" i="11"/>
  <c r="C608" i="11"/>
  <c r="G608" i="11"/>
  <c r="K608" i="11"/>
  <c r="D609" i="11"/>
  <c r="H609" i="11"/>
  <c r="N609" i="11"/>
  <c r="E610" i="11"/>
  <c r="I610" i="11"/>
  <c r="F611" i="11"/>
  <c r="J611" i="11"/>
  <c r="C612" i="11"/>
  <c r="G612" i="11"/>
  <c r="K612" i="11"/>
  <c r="K607" i="11"/>
  <c r="N608" i="11"/>
  <c r="C611" i="11"/>
  <c r="D612" i="11"/>
  <c r="D613" i="11"/>
  <c r="N613" i="11"/>
  <c r="I614" i="11"/>
  <c r="F615" i="11"/>
  <c r="H616" i="11"/>
  <c r="D617" i="11"/>
  <c r="N617" i="11"/>
  <c r="F618" i="11"/>
  <c r="N618" i="11"/>
  <c r="F619" i="11"/>
  <c r="K619" i="11"/>
  <c r="F620" i="11"/>
  <c r="K620" i="11"/>
  <c r="D621" i="11"/>
  <c r="H621" i="11"/>
  <c r="N621" i="11"/>
  <c r="E622" i="11"/>
  <c r="I622" i="11"/>
  <c r="F623" i="11"/>
  <c r="J623" i="11"/>
  <c r="C624" i="11"/>
  <c r="G624" i="11"/>
  <c r="K624" i="11"/>
  <c r="D625" i="11"/>
  <c r="H625" i="11"/>
  <c r="N625" i="11"/>
  <c r="E626" i="11"/>
  <c r="I626" i="11"/>
  <c r="F627" i="11"/>
  <c r="C628" i="11"/>
  <c r="G628" i="11"/>
  <c r="K628" i="11"/>
  <c r="D629" i="11"/>
  <c r="H629" i="11"/>
  <c r="N629" i="11"/>
  <c r="E630" i="11"/>
  <c r="I630" i="11"/>
  <c r="F631" i="11"/>
  <c r="J631" i="11"/>
  <c r="C632" i="11"/>
  <c r="G632" i="11"/>
  <c r="K632" i="11"/>
  <c r="D633" i="11"/>
  <c r="H633" i="11"/>
  <c r="N633" i="11"/>
  <c r="E634" i="11"/>
  <c r="I634" i="11"/>
  <c r="F635" i="11"/>
  <c r="J635" i="11"/>
  <c r="C636" i="11"/>
  <c r="G636" i="11"/>
  <c r="K636" i="11"/>
  <c r="D637" i="11"/>
  <c r="H637" i="11"/>
  <c r="N637" i="11"/>
  <c r="E638" i="11"/>
  <c r="I638" i="11"/>
  <c r="F639" i="11"/>
  <c r="J639" i="11"/>
  <c r="C640" i="11"/>
  <c r="G640" i="11"/>
  <c r="K640" i="11"/>
  <c r="D641" i="11"/>
  <c r="F610" i="11"/>
  <c r="G611" i="11"/>
  <c r="H612" i="11"/>
  <c r="E613" i="11"/>
  <c r="J614" i="11"/>
  <c r="G615" i="11"/>
  <c r="C616" i="11"/>
  <c r="K616" i="11"/>
  <c r="E617" i="11"/>
  <c r="H618" i="11"/>
  <c r="G619" i="11"/>
  <c r="G620" i="11"/>
  <c r="N620" i="11"/>
  <c r="E621" i="11"/>
  <c r="I621" i="11"/>
  <c r="F622" i="11"/>
  <c r="J622" i="11"/>
  <c r="C623" i="11"/>
  <c r="G623" i="11"/>
  <c r="D624" i="11"/>
  <c r="H624" i="11"/>
  <c r="N624" i="11"/>
  <c r="E625" i="11"/>
  <c r="I625" i="11"/>
  <c r="F626" i="11"/>
  <c r="C627" i="11"/>
  <c r="G627" i="11"/>
  <c r="K627" i="11"/>
  <c r="D628" i="11"/>
  <c r="H628" i="11"/>
  <c r="N628" i="11"/>
  <c r="E629" i="11"/>
  <c r="I629" i="11"/>
  <c r="F630" i="11"/>
  <c r="J630" i="11"/>
  <c r="C631" i="11"/>
  <c r="G631" i="11"/>
  <c r="K631" i="11"/>
  <c r="D632" i="11"/>
  <c r="H632" i="11"/>
  <c r="N632" i="11"/>
  <c r="E633" i="11"/>
  <c r="I633" i="11"/>
  <c r="F634" i="11"/>
  <c r="J634" i="11"/>
  <c r="C635" i="11"/>
  <c r="G635" i="11"/>
  <c r="K635" i="11"/>
  <c r="D636" i="11"/>
  <c r="H636" i="11"/>
  <c r="N636" i="11"/>
  <c r="E637" i="11"/>
  <c r="I637" i="11"/>
  <c r="F638" i="11"/>
  <c r="J638" i="11"/>
  <c r="C639" i="11"/>
  <c r="G639" i="11"/>
  <c r="K639" i="11"/>
  <c r="D640" i="11"/>
  <c r="H640" i="11"/>
  <c r="N640" i="11"/>
  <c r="E641" i="11"/>
  <c r="I641" i="11"/>
  <c r="F642" i="11"/>
  <c r="J642" i="11"/>
  <c r="C643" i="11"/>
  <c r="G643" i="11"/>
  <c r="K643" i="11"/>
  <c r="D644" i="11"/>
  <c r="H644" i="11"/>
  <c r="N644" i="11"/>
  <c r="E645" i="11"/>
  <c r="I645" i="11"/>
  <c r="F646" i="11"/>
  <c r="J646" i="11"/>
  <c r="C647" i="11"/>
  <c r="G647" i="11"/>
  <c r="K647" i="11"/>
  <c r="D648" i="11"/>
  <c r="H648" i="11"/>
  <c r="N648" i="11"/>
  <c r="E649" i="11"/>
  <c r="I649" i="11"/>
  <c r="D608" i="11"/>
  <c r="E609" i="11"/>
  <c r="J610" i="11"/>
  <c r="K611" i="11"/>
  <c r="N612" i="11"/>
  <c r="H613" i="11"/>
  <c r="E614" i="11"/>
  <c r="J615" i="11"/>
  <c r="D616" i="11"/>
  <c r="N616" i="11"/>
  <c r="H617" i="11"/>
  <c r="D618" i="11"/>
  <c r="I618" i="11"/>
  <c r="C619" i="11"/>
  <c r="I619" i="11"/>
  <c r="C620" i="11"/>
  <c r="H620" i="11"/>
  <c r="F621" i="11"/>
  <c r="J621" i="11"/>
  <c r="C622" i="11"/>
  <c r="G622" i="11"/>
  <c r="K622" i="11"/>
  <c r="D623" i="11"/>
  <c r="H623" i="11"/>
  <c r="N623" i="11"/>
  <c r="E624" i="11"/>
  <c r="I624" i="11"/>
  <c r="F625" i="11"/>
  <c r="J625" i="11"/>
  <c r="C626" i="11"/>
  <c r="G626" i="11"/>
  <c r="K626" i="11"/>
  <c r="D627" i="11"/>
  <c r="H627" i="11"/>
  <c r="N627" i="11"/>
  <c r="E628" i="11"/>
  <c r="I628" i="11"/>
  <c r="F629" i="11"/>
  <c r="J629" i="11"/>
  <c r="C630" i="11"/>
  <c r="K630" i="11"/>
  <c r="D631" i="11"/>
  <c r="H631" i="11"/>
  <c r="N631" i="11"/>
  <c r="E632" i="11"/>
  <c r="I632" i="11"/>
  <c r="F633" i="11"/>
  <c r="J633" i="11"/>
  <c r="C634" i="11"/>
  <c r="G634" i="11"/>
  <c r="K634" i="11"/>
  <c r="D635" i="11"/>
  <c r="H635" i="11"/>
  <c r="N635" i="11"/>
  <c r="E636" i="11"/>
  <c r="I636" i="11"/>
  <c r="F637" i="11"/>
  <c r="J637" i="11"/>
  <c r="C638" i="11"/>
  <c r="G638" i="11"/>
  <c r="K638" i="11"/>
  <c r="D639" i="11"/>
  <c r="H639" i="11"/>
  <c r="N639" i="11"/>
  <c r="E640" i="11"/>
  <c r="I640" i="11"/>
  <c r="F641" i="11"/>
  <c r="J641" i="11"/>
  <c r="C642" i="11"/>
  <c r="G642" i="11"/>
  <c r="K642" i="11"/>
  <c r="D643" i="11"/>
  <c r="H643" i="11"/>
  <c r="N643" i="11"/>
  <c r="E644" i="11"/>
  <c r="I644" i="11"/>
  <c r="F645" i="11"/>
  <c r="J645" i="11"/>
  <c r="C646" i="11"/>
  <c r="G646" i="11"/>
  <c r="K646" i="11"/>
  <c r="H608" i="11"/>
  <c r="I609" i="11"/>
  <c r="I613" i="11"/>
  <c r="F614" i="11"/>
  <c r="C615" i="11"/>
  <c r="K615" i="11"/>
  <c r="G616" i="11"/>
  <c r="I617" i="11"/>
  <c r="E618" i="11"/>
  <c r="J618" i="11"/>
  <c r="E619" i="11"/>
  <c r="J619" i="11"/>
  <c r="C621" i="11"/>
  <c r="J624" i="11"/>
  <c r="K625" i="11"/>
  <c r="N626" i="11"/>
  <c r="C629" i="11"/>
  <c r="D630" i="11"/>
  <c r="E631" i="11"/>
  <c r="J632" i="11"/>
  <c r="K633" i="11"/>
  <c r="N634" i="11"/>
  <c r="C637" i="11"/>
  <c r="D638" i="11"/>
  <c r="E639" i="11"/>
  <c r="J640" i="11"/>
  <c r="H641" i="11"/>
  <c r="D642" i="11"/>
  <c r="N642" i="11"/>
  <c r="I643" i="11"/>
  <c r="F644" i="11"/>
  <c r="H645" i="11"/>
  <c r="D646" i="11"/>
  <c r="N646" i="11"/>
  <c r="F647" i="11"/>
  <c r="N647" i="11"/>
  <c r="F648" i="11"/>
  <c r="K648" i="11"/>
  <c r="F649" i="11"/>
  <c r="K649" i="11"/>
  <c r="D650" i="11"/>
  <c r="H650" i="11"/>
  <c r="N650" i="11"/>
  <c r="E651" i="11"/>
  <c r="I651" i="11"/>
  <c r="F652" i="11"/>
  <c r="J652" i="11"/>
  <c r="C653" i="11"/>
  <c r="G653" i="11"/>
  <c r="K653" i="11"/>
  <c r="D654" i="11"/>
  <c r="H654" i="11"/>
  <c r="N654" i="11"/>
  <c r="E655" i="11"/>
  <c r="I655" i="11"/>
  <c r="F656" i="11"/>
  <c r="J656" i="11"/>
  <c r="C657" i="11"/>
  <c r="G657" i="11"/>
  <c r="K657" i="11"/>
  <c r="D658" i="11"/>
  <c r="H658" i="11"/>
  <c r="N658" i="11"/>
  <c r="E659" i="11"/>
  <c r="I659" i="11"/>
  <c r="F660" i="11"/>
  <c r="J660" i="11"/>
  <c r="C661" i="11"/>
  <c r="G661" i="11"/>
  <c r="K661" i="11"/>
  <c r="D662" i="11"/>
  <c r="H662" i="11"/>
  <c r="N662" i="11"/>
  <c r="E663" i="11"/>
  <c r="I663" i="11"/>
  <c r="F664" i="11"/>
  <c r="J664" i="11"/>
  <c r="C665" i="11"/>
  <c r="G665" i="11"/>
  <c r="K665" i="11"/>
  <c r="D666" i="11"/>
  <c r="H666" i="11"/>
  <c r="N666" i="11"/>
  <c r="E667" i="11"/>
  <c r="I667" i="11"/>
  <c r="F668" i="11"/>
  <c r="J668" i="11"/>
  <c r="C669" i="11"/>
  <c r="G669" i="11"/>
  <c r="K669" i="11"/>
  <c r="D670" i="11"/>
  <c r="H670" i="11"/>
  <c r="N670" i="11"/>
  <c r="E671" i="11"/>
  <c r="I671" i="11"/>
  <c r="D620" i="11"/>
  <c r="G621" i="11"/>
  <c r="H622" i="11"/>
  <c r="I623" i="11"/>
  <c r="F628" i="11"/>
  <c r="G629" i="11"/>
  <c r="H630" i="11"/>
  <c r="I631" i="11"/>
  <c r="F636" i="11"/>
  <c r="G637" i="11"/>
  <c r="H638" i="11"/>
  <c r="I639" i="11"/>
  <c r="K641" i="11"/>
  <c r="E642" i="11"/>
  <c r="J643" i="11"/>
  <c r="G644" i="11"/>
  <c r="C645" i="11"/>
  <c r="K645" i="11"/>
  <c r="E646" i="11"/>
  <c r="H647" i="11"/>
  <c r="G648" i="11"/>
  <c r="G649" i="11"/>
  <c r="N649" i="11"/>
  <c r="E650" i="11"/>
  <c r="I650" i="11"/>
  <c r="F651" i="11"/>
  <c r="J651" i="11"/>
  <c r="C652" i="11"/>
  <c r="G652" i="11"/>
  <c r="K652" i="11"/>
  <c r="D653" i="11"/>
  <c r="H653" i="11"/>
  <c r="N653" i="11"/>
  <c r="E654" i="11"/>
  <c r="I654" i="11"/>
  <c r="F655" i="11"/>
  <c r="J655" i="11"/>
  <c r="C656" i="11"/>
  <c r="G656" i="11"/>
  <c r="K656" i="11"/>
  <c r="D657" i="11"/>
  <c r="H657" i="11"/>
  <c r="N657" i="11"/>
  <c r="E658" i="11"/>
  <c r="I658" i="11"/>
  <c r="F659" i="11"/>
  <c r="J659" i="11"/>
  <c r="C660" i="11"/>
  <c r="G660" i="11"/>
  <c r="K660" i="11"/>
  <c r="D661" i="11"/>
  <c r="H661" i="11"/>
  <c r="N661" i="11"/>
  <c r="E662" i="11"/>
  <c r="I662" i="11"/>
  <c r="F663" i="11"/>
  <c r="J663" i="11"/>
  <c r="C664" i="11"/>
  <c r="G664" i="11"/>
  <c r="K664" i="11"/>
  <c r="D665" i="11"/>
  <c r="H665" i="11"/>
  <c r="N665" i="11"/>
  <c r="E666" i="11"/>
  <c r="I666" i="11"/>
  <c r="F667" i="11"/>
  <c r="J667" i="11"/>
  <c r="C668" i="11"/>
  <c r="G668" i="11"/>
  <c r="K668" i="11"/>
  <c r="D669" i="11"/>
  <c r="H669" i="11"/>
  <c r="N669" i="11"/>
  <c r="E670" i="11"/>
  <c r="I670" i="11"/>
  <c r="F671" i="11"/>
  <c r="J671" i="11"/>
  <c r="C672" i="11"/>
  <c r="G672" i="11"/>
  <c r="K672" i="11"/>
  <c r="D673" i="11"/>
  <c r="H673" i="11"/>
  <c r="N673" i="11"/>
  <c r="E674" i="11"/>
  <c r="I674" i="11"/>
  <c r="F675" i="11"/>
  <c r="J675" i="11"/>
  <c r="C676" i="11"/>
  <c r="G676" i="11"/>
  <c r="K676" i="11"/>
  <c r="D677" i="11"/>
  <c r="H677" i="11"/>
  <c r="N677" i="11"/>
  <c r="E678" i="11"/>
  <c r="I678" i="11"/>
  <c r="F679" i="11"/>
  <c r="J679" i="11"/>
  <c r="C680" i="11"/>
  <c r="G680" i="11"/>
  <c r="K680" i="11"/>
  <c r="D681" i="11"/>
  <c r="H681" i="11"/>
  <c r="N681" i="11"/>
  <c r="E682" i="11"/>
  <c r="I682" i="11"/>
  <c r="F683" i="11"/>
  <c r="J683" i="11"/>
  <c r="C684" i="11"/>
  <c r="J620" i="11"/>
  <c r="K621" i="11"/>
  <c r="N622" i="11"/>
  <c r="C625" i="11"/>
  <c r="D626" i="11"/>
  <c r="E627" i="11"/>
  <c r="J628" i="11"/>
  <c r="K629" i="11"/>
  <c r="N630" i="11"/>
  <c r="C633" i="11"/>
  <c r="D634" i="11"/>
  <c r="E635" i="11"/>
  <c r="J636" i="11"/>
  <c r="N638" i="11"/>
  <c r="C641" i="11"/>
  <c r="N641" i="11"/>
  <c r="H642" i="11"/>
  <c r="E643" i="11"/>
  <c r="J644" i="11"/>
  <c r="D645" i="11"/>
  <c r="N645" i="11"/>
  <c r="H646" i="11"/>
  <c r="D647" i="11"/>
  <c r="I647" i="11"/>
  <c r="C648" i="11"/>
  <c r="I648" i="11"/>
  <c r="C649" i="11"/>
  <c r="H649" i="11"/>
  <c r="F624" i="11"/>
  <c r="G625" i="11"/>
  <c r="H626" i="11"/>
  <c r="I627" i="11"/>
  <c r="F632" i="11"/>
  <c r="G633" i="11"/>
  <c r="H634" i="11"/>
  <c r="I635" i="11"/>
  <c r="F640" i="11"/>
  <c r="G641" i="11"/>
  <c r="I642" i="11"/>
  <c r="F643" i="11"/>
  <c r="C644" i="11"/>
  <c r="K644" i="11"/>
  <c r="G645" i="11"/>
  <c r="I646" i="11"/>
  <c r="E647" i="11"/>
  <c r="J647" i="11"/>
  <c r="E648" i="11"/>
  <c r="J648" i="11"/>
  <c r="D649" i="11"/>
  <c r="J649" i="11"/>
  <c r="C650" i="11"/>
  <c r="G650" i="11"/>
  <c r="K650" i="11"/>
  <c r="D651" i="11"/>
  <c r="H651" i="11"/>
  <c r="N651" i="11"/>
  <c r="E652" i="11"/>
  <c r="I652" i="11"/>
  <c r="F653" i="11"/>
  <c r="J653" i="11"/>
  <c r="C654" i="11"/>
  <c r="G654" i="11"/>
  <c r="K654" i="11"/>
  <c r="D655" i="11"/>
  <c r="H655" i="11"/>
  <c r="N655" i="11"/>
  <c r="E656" i="11"/>
  <c r="I656" i="11"/>
  <c r="F657" i="11"/>
  <c r="J657" i="11"/>
  <c r="C658" i="11"/>
  <c r="G658" i="11"/>
  <c r="K658" i="11"/>
  <c r="D659" i="11"/>
  <c r="H659" i="11"/>
  <c r="N659" i="11"/>
  <c r="E660" i="11"/>
  <c r="I660" i="11"/>
  <c r="F661" i="11"/>
  <c r="J661" i="11"/>
  <c r="C662" i="11"/>
  <c r="G662" i="11"/>
  <c r="K662" i="11"/>
  <c r="D663" i="11"/>
  <c r="H663" i="11"/>
  <c r="N663" i="11"/>
  <c r="E664" i="11"/>
  <c r="I664" i="11"/>
  <c r="F665" i="11"/>
  <c r="J665" i="11"/>
  <c r="C666" i="11"/>
  <c r="G666" i="11"/>
  <c r="K666" i="11"/>
  <c r="D667" i="11"/>
  <c r="H667" i="11"/>
  <c r="N667" i="11"/>
  <c r="E668" i="11"/>
  <c r="I668" i="11"/>
  <c r="F669" i="11"/>
  <c r="J669" i="11"/>
  <c r="C670" i="11"/>
  <c r="G670" i="11"/>
  <c r="K670" i="11"/>
  <c r="D671" i="11"/>
  <c r="H671" i="11"/>
  <c r="N671" i="11"/>
  <c r="E672" i="11"/>
  <c r="I672" i="11"/>
  <c r="F673" i="11"/>
  <c r="J673" i="11"/>
  <c r="C674" i="11"/>
  <c r="G674" i="11"/>
  <c r="K674" i="11"/>
  <c r="D675" i="11"/>
  <c r="H675" i="11"/>
  <c r="N675" i="11"/>
  <c r="E676" i="11"/>
  <c r="I676" i="11"/>
  <c r="F677" i="11"/>
  <c r="J677" i="11"/>
  <c r="C678" i="11"/>
  <c r="G678" i="11"/>
  <c r="K678" i="11"/>
  <c r="D679" i="11"/>
  <c r="H679" i="11"/>
  <c r="N679" i="11"/>
  <c r="E680" i="11"/>
  <c r="I680" i="11"/>
  <c r="F681" i="11"/>
  <c r="J681" i="11"/>
  <c r="C682" i="11"/>
  <c r="G682" i="11"/>
  <c r="K682" i="11"/>
  <c r="D683" i="11"/>
  <c r="H683" i="11"/>
  <c r="N683" i="11"/>
  <c r="E684" i="11"/>
  <c r="I684" i="11"/>
  <c r="F685" i="11"/>
  <c r="J685" i="11"/>
  <c r="C686" i="11"/>
  <c r="J650" i="11"/>
  <c r="K651" i="11"/>
  <c r="N652" i="11"/>
  <c r="C655" i="11"/>
  <c r="D656" i="11"/>
  <c r="E657" i="11"/>
  <c r="J658" i="11"/>
  <c r="K659" i="11"/>
  <c r="N660" i="11"/>
  <c r="C663" i="11"/>
  <c r="D664" i="11"/>
  <c r="E665" i="11"/>
  <c r="J666" i="11"/>
  <c r="K667" i="11"/>
  <c r="N668" i="11"/>
  <c r="C671" i="11"/>
  <c r="D672" i="11"/>
  <c r="N672" i="11"/>
  <c r="G673" i="11"/>
  <c r="D674" i="11"/>
  <c r="N674" i="11"/>
  <c r="G675" i="11"/>
  <c r="D676" i="11"/>
  <c r="N676" i="11"/>
  <c r="G677" i="11"/>
  <c r="D678" i="11"/>
  <c r="N678" i="11"/>
  <c r="G679" i="11"/>
  <c r="D680" i="11"/>
  <c r="N680" i="11"/>
  <c r="G681" i="11"/>
  <c r="D682" i="11"/>
  <c r="N682" i="11"/>
  <c r="G683" i="11"/>
  <c r="D684" i="11"/>
  <c r="J684" i="11"/>
  <c r="C685" i="11"/>
  <c r="H685" i="11"/>
  <c r="G686" i="11"/>
  <c r="K686" i="11"/>
  <c r="D687" i="11"/>
  <c r="H687" i="11"/>
  <c r="N687" i="11"/>
  <c r="E688" i="11"/>
  <c r="I688" i="11"/>
  <c r="F689" i="11"/>
  <c r="J689" i="11"/>
  <c r="C690" i="11"/>
  <c r="G690" i="11"/>
  <c r="K690" i="11"/>
  <c r="D691" i="11"/>
  <c r="H691" i="11"/>
  <c r="N691" i="11"/>
  <c r="E692" i="11"/>
  <c r="I692" i="11"/>
  <c r="F693" i="11"/>
  <c r="J693" i="11"/>
  <c r="C694" i="11"/>
  <c r="G694" i="11"/>
  <c r="K694" i="11"/>
  <c r="D695" i="11"/>
  <c r="H695" i="11"/>
  <c r="N695" i="11"/>
  <c r="E696" i="11"/>
  <c r="I696" i="11"/>
  <c r="F697" i="11"/>
  <c r="J697" i="11"/>
  <c r="C698" i="11"/>
  <c r="G698" i="11"/>
  <c r="K698" i="11"/>
  <c r="H699" i="11"/>
  <c r="E700" i="11"/>
  <c r="F701" i="11"/>
  <c r="C702" i="11"/>
  <c r="K702" i="11"/>
  <c r="G655" i="11"/>
  <c r="I657" i="11"/>
  <c r="G663" i="11"/>
  <c r="I665" i="11"/>
  <c r="G671" i="11"/>
  <c r="I673" i="11"/>
  <c r="F676" i="11"/>
  <c r="F678" i="11"/>
  <c r="I681" i="11"/>
  <c r="K684" i="11"/>
  <c r="D686" i="11"/>
  <c r="E687" i="11"/>
  <c r="J688" i="11"/>
  <c r="K689" i="11"/>
  <c r="N690" i="11"/>
  <c r="F692" i="11"/>
  <c r="G693" i="11"/>
  <c r="H694" i="11"/>
  <c r="I695" i="11"/>
  <c r="C697" i="11"/>
  <c r="D698" i="11"/>
  <c r="E699" i="11"/>
  <c r="J700" i="11"/>
  <c r="G701" i="11"/>
  <c r="D702" i="11"/>
  <c r="N702" i="11"/>
  <c r="C651" i="11"/>
  <c r="D652" i="11"/>
  <c r="E653" i="11"/>
  <c r="J654" i="11"/>
  <c r="K655" i="11"/>
  <c r="N656" i="11"/>
  <c r="C659" i="11"/>
  <c r="D660" i="11"/>
  <c r="E661" i="11"/>
  <c r="J662" i="11"/>
  <c r="K663" i="11"/>
  <c r="N664" i="11"/>
  <c r="C667" i="11"/>
  <c r="D668" i="11"/>
  <c r="E669" i="11"/>
  <c r="J670" i="11"/>
  <c r="K671" i="11"/>
  <c r="H672" i="11"/>
  <c r="C673" i="11"/>
  <c r="K673" i="11"/>
  <c r="H674" i="11"/>
  <c r="C675" i="11"/>
  <c r="K675" i="11"/>
  <c r="H676" i="11"/>
  <c r="C677" i="11"/>
  <c r="K677" i="11"/>
  <c r="H678" i="11"/>
  <c r="C679" i="11"/>
  <c r="K679" i="11"/>
  <c r="H680" i="11"/>
  <c r="C681" i="11"/>
  <c r="K681" i="11"/>
  <c r="H682" i="11"/>
  <c r="C683" i="11"/>
  <c r="K683" i="11"/>
  <c r="G684" i="11"/>
  <c r="N684" i="11"/>
  <c r="E685" i="11"/>
  <c r="K685" i="11"/>
  <c r="E686" i="11"/>
  <c r="I686" i="11"/>
  <c r="F687" i="11"/>
  <c r="J687" i="11"/>
  <c r="C688" i="11"/>
  <c r="G688" i="11"/>
  <c r="K688" i="11"/>
  <c r="D689" i="11"/>
  <c r="H689" i="11"/>
  <c r="N689" i="11"/>
  <c r="E690" i="11"/>
  <c r="I690" i="11"/>
  <c r="F691" i="11"/>
  <c r="J691" i="11"/>
  <c r="C692" i="11"/>
  <c r="G692" i="11"/>
  <c r="K692" i="11"/>
  <c r="D693" i="11"/>
  <c r="H693" i="11"/>
  <c r="N693" i="11"/>
  <c r="E694" i="11"/>
  <c r="I694" i="11"/>
  <c r="F695" i="11"/>
  <c r="J695" i="11"/>
  <c r="C696" i="11"/>
  <c r="G696" i="11"/>
  <c r="K696" i="11"/>
  <c r="D697" i="11"/>
  <c r="H697" i="11"/>
  <c r="N697" i="11"/>
  <c r="E698" i="11"/>
  <c r="I698" i="11"/>
  <c r="F699" i="11"/>
  <c r="J699" i="11"/>
  <c r="C700" i="11"/>
  <c r="G700" i="11"/>
  <c r="K700" i="11"/>
  <c r="D701" i="11"/>
  <c r="H701" i="11"/>
  <c r="N701" i="11"/>
  <c r="E702" i="11"/>
  <c r="I702" i="11"/>
  <c r="I675" i="11"/>
  <c r="I679" i="11"/>
  <c r="F682" i="11"/>
  <c r="F684" i="11"/>
  <c r="I685" i="11"/>
  <c r="N686" i="11"/>
  <c r="F688" i="11"/>
  <c r="G689" i="11"/>
  <c r="H690" i="11"/>
  <c r="I691" i="11"/>
  <c r="C693" i="11"/>
  <c r="D694" i="11"/>
  <c r="E695" i="11"/>
  <c r="J696" i="11"/>
  <c r="K697" i="11"/>
  <c r="N698" i="11"/>
  <c r="F700" i="11"/>
  <c r="F650" i="11"/>
  <c r="G651" i="11"/>
  <c r="H652" i="11"/>
  <c r="I653" i="11"/>
  <c r="F658" i="11"/>
  <c r="G659" i="11"/>
  <c r="H660" i="11"/>
  <c r="I661" i="11"/>
  <c r="F666" i="11"/>
  <c r="G667" i="11"/>
  <c r="H668" i="11"/>
  <c r="I669" i="11"/>
  <c r="J672" i="11"/>
  <c r="E673" i="11"/>
  <c r="J674" i="11"/>
  <c r="E675" i="11"/>
  <c r="J676" i="11"/>
  <c r="E677" i="11"/>
  <c r="J678" i="11"/>
  <c r="E679" i="11"/>
  <c r="J680" i="11"/>
  <c r="E681" i="11"/>
  <c r="J682" i="11"/>
  <c r="E683" i="11"/>
  <c r="H684" i="11"/>
  <c r="G685" i="11"/>
  <c r="N685" i="11"/>
  <c r="F686" i="11"/>
  <c r="J686" i="11"/>
  <c r="C687" i="11"/>
  <c r="G687" i="11"/>
  <c r="K687" i="11"/>
  <c r="D688" i="11"/>
  <c r="H688" i="11"/>
  <c r="N688" i="11"/>
  <c r="E689" i="11"/>
  <c r="I689" i="11"/>
  <c r="F690" i="11"/>
  <c r="J690" i="11"/>
  <c r="C691" i="11"/>
  <c r="G691" i="11"/>
  <c r="K691" i="11"/>
  <c r="D692" i="11"/>
  <c r="H692" i="11"/>
  <c r="N692" i="11"/>
  <c r="E693" i="11"/>
  <c r="I693" i="11"/>
  <c r="F694" i="11"/>
  <c r="J694" i="11"/>
  <c r="C695" i="11"/>
  <c r="G695" i="11"/>
  <c r="K695" i="11"/>
  <c r="D696" i="11"/>
  <c r="H696" i="11"/>
  <c r="N696" i="11"/>
  <c r="E697" i="11"/>
  <c r="I697" i="11"/>
  <c r="F698" i="11"/>
  <c r="J698" i="11"/>
  <c r="C699" i="11"/>
  <c r="G699" i="11"/>
  <c r="K699" i="11"/>
  <c r="D700" i="11"/>
  <c r="H700" i="11"/>
  <c r="N700" i="11"/>
  <c r="E701" i="11"/>
  <c r="I701" i="11"/>
  <c r="F702" i="11"/>
  <c r="J702" i="11"/>
  <c r="D699" i="11"/>
  <c r="N699" i="11"/>
  <c r="I700" i="11"/>
  <c r="J701" i="11"/>
  <c r="G702" i="11"/>
  <c r="F654" i="11"/>
  <c r="H656" i="11"/>
  <c r="F662" i="11"/>
  <c r="H664" i="11"/>
  <c r="F670" i="11"/>
  <c r="F672" i="11"/>
  <c r="F674" i="11"/>
  <c r="I677" i="11"/>
  <c r="F680" i="11"/>
  <c r="I683" i="11"/>
  <c r="D685" i="11"/>
  <c r="H686" i="11"/>
  <c r="I687" i="11"/>
  <c r="C689" i="11"/>
  <c r="D690" i="11"/>
  <c r="E691" i="11"/>
  <c r="J692" i="11"/>
  <c r="K693" i="11"/>
  <c r="N694" i="11"/>
  <c r="F696" i="11"/>
  <c r="G697" i="11"/>
  <c r="H698" i="11"/>
  <c r="I699" i="11"/>
  <c r="C701" i="11"/>
  <c r="K701" i="11"/>
  <c r="H702" i="11"/>
  <c r="D205" i="1"/>
  <c r="K582" i="11"/>
  <c r="K578" i="11"/>
  <c r="K574" i="11"/>
  <c r="K570" i="11"/>
  <c r="K566" i="11"/>
  <c r="K562" i="11"/>
  <c r="K558" i="11"/>
  <c r="K554" i="11"/>
  <c r="K550" i="11"/>
  <c r="K546" i="11"/>
  <c r="K542" i="11"/>
  <c r="K538" i="11"/>
  <c r="K534" i="11"/>
  <c r="K530" i="11"/>
  <c r="K526" i="11"/>
  <c r="K522" i="11"/>
  <c r="K518" i="11"/>
  <c r="K514" i="11"/>
  <c r="K510" i="11"/>
  <c r="K506" i="11"/>
  <c r="K502" i="11"/>
  <c r="K498" i="11"/>
  <c r="K494" i="11"/>
  <c r="K490" i="11"/>
  <c r="K486" i="11"/>
  <c r="K482" i="11"/>
  <c r="K478" i="11"/>
  <c r="K581" i="11"/>
  <c r="K577" i="11"/>
  <c r="K573" i="11"/>
  <c r="K569" i="11"/>
  <c r="K565" i="11"/>
  <c r="K561" i="11"/>
  <c r="K557" i="11"/>
  <c r="K553" i="11"/>
  <c r="K549" i="11"/>
  <c r="K545" i="11"/>
  <c r="K541" i="11"/>
  <c r="K537" i="11"/>
  <c r="K533" i="11"/>
  <c r="K529" i="11"/>
  <c r="K525" i="11"/>
  <c r="K521" i="11"/>
  <c r="K517" i="11"/>
  <c r="K513" i="11"/>
  <c r="K509" i="11"/>
  <c r="K505" i="11"/>
  <c r="K501" i="11"/>
  <c r="K497" i="11"/>
  <c r="K493" i="11"/>
  <c r="K489" i="11"/>
  <c r="K485" i="11"/>
  <c r="K481" i="11"/>
  <c r="K477" i="11"/>
  <c r="K473" i="11"/>
  <c r="K469" i="11"/>
  <c r="K465" i="11"/>
  <c r="K461" i="11"/>
  <c r="K457" i="11"/>
  <c r="K453" i="11"/>
  <c r="K449" i="11"/>
  <c r="K445" i="11"/>
  <c r="K441" i="11"/>
  <c r="K437" i="11"/>
  <c r="K433" i="11"/>
  <c r="K429" i="11"/>
  <c r="K425" i="11"/>
  <c r="K421" i="11"/>
  <c r="K417" i="11"/>
  <c r="K413" i="11"/>
  <c r="K409" i="11"/>
  <c r="K405" i="11"/>
  <c r="K401" i="11"/>
  <c r="K397" i="11"/>
  <c r="K393" i="11"/>
  <c r="K389" i="11"/>
  <c r="K385" i="11"/>
  <c r="K381" i="11"/>
  <c r="K377" i="11"/>
  <c r="K373" i="11"/>
  <c r="K369" i="11"/>
  <c r="K365" i="11"/>
  <c r="K361" i="11"/>
  <c r="K357" i="11"/>
  <c r="K353" i="11"/>
  <c r="K349" i="11"/>
  <c r="K345" i="11"/>
  <c r="K341" i="11"/>
  <c r="K337" i="11"/>
  <c r="K333" i="11"/>
  <c r="K329" i="11"/>
  <c r="K325" i="11"/>
  <c r="K321" i="11"/>
  <c r="K317" i="11"/>
  <c r="K313" i="11"/>
  <c r="K309" i="11"/>
  <c r="K305" i="11"/>
  <c r="K301" i="11"/>
  <c r="K297" i="11"/>
  <c r="K293" i="11"/>
  <c r="K289" i="11"/>
  <c r="K285" i="11"/>
  <c r="K281" i="11"/>
  <c r="K277" i="11"/>
  <c r="K273" i="11"/>
  <c r="K269" i="11"/>
  <c r="K265" i="11"/>
  <c r="K261" i="11"/>
  <c r="K257" i="11"/>
  <c r="K253" i="11"/>
  <c r="K249" i="11"/>
  <c r="K245" i="11"/>
  <c r="K580" i="11"/>
  <c r="K576" i="11"/>
  <c r="K572" i="11"/>
  <c r="K568" i="11"/>
  <c r="K564" i="11"/>
  <c r="K560" i="11"/>
  <c r="K556" i="11"/>
  <c r="K552" i="11"/>
  <c r="K548" i="11"/>
  <c r="K544" i="11"/>
  <c r="K540" i="11"/>
  <c r="K536" i="11"/>
  <c r="K532" i="11"/>
  <c r="K528" i="11"/>
  <c r="K524" i="11"/>
  <c r="K520" i="11"/>
  <c r="K516" i="11"/>
  <c r="K512" i="11"/>
  <c r="K508" i="11"/>
  <c r="K504" i="11"/>
  <c r="K500" i="11"/>
  <c r="K496" i="11"/>
  <c r="K492" i="11"/>
  <c r="K488" i="11"/>
  <c r="K484" i="11"/>
  <c r="K480" i="11"/>
  <c r="K476" i="11"/>
  <c r="K472" i="11"/>
  <c r="K468" i="11"/>
  <c r="K464" i="11"/>
  <c r="K460" i="11"/>
  <c r="K456" i="11"/>
  <c r="K452" i="11"/>
  <c r="K448" i="11"/>
  <c r="K444" i="11"/>
  <c r="K440" i="11"/>
  <c r="K436" i="11"/>
  <c r="K432" i="11"/>
  <c r="K428" i="11"/>
  <c r="K424" i="11"/>
  <c r="K420" i="11"/>
  <c r="K416" i="11"/>
  <c r="K412" i="11"/>
  <c r="K408" i="11"/>
  <c r="K404" i="11"/>
  <c r="K400" i="11"/>
  <c r="K396" i="11"/>
  <c r="K392" i="11"/>
  <c r="K388" i="11"/>
  <c r="K384" i="11"/>
  <c r="K380" i="11"/>
  <c r="K376" i="11"/>
  <c r="K372" i="11"/>
  <c r="K368" i="11"/>
  <c r="K364" i="11"/>
  <c r="K360" i="11"/>
  <c r="K356" i="11"/>
  <c r="K352" i="11"/>
  <c r="K348" i="11"/>
  <c r="K344" i="11"/>
  <c r="K340" i="11"/>
  <c r="K336" i="11"/>
  <c r="K332" i="11"/>
  <c r="K328" i="11"/>
  <c r="K324" i="11"/>
  <c r="K320" i="11"/>
  <c r="K316" i="11"/>
  <c r="K312" i="11"/>
  <c r="K308" i="11"/>
  <c r="K304" i="11"/>
  <c r="K300" i="11"/>
  <c r="K296" i="11"/>
  <c r="K292" i="11"/>
  <c r="K288" i="11"/>
  <c r="K284" i="11"/>
  <c r="K280" i="11"/>
  <c r="K579" i="11"/>
  <c r="K575" i="11"/>
  <c r="K571" i="11"/>
  <c r="K567" i="11"/>
  <c r="K563" i="11"/>
  <c r="K559" i="11"/>
  <c r="K555" i="11"/>
  <c r="K551" i="11"/>
  <c r="K547" i="11"/>
  <c r="K543" i="11"/>
  <c r="K539" i="11"/>
  <c r="K535" i="11"/>
  <c r="K531" i="11"/>
  <c r="K527" i="11"/>
  <c r="K523" i="11"/>
  <c r="K519" i="11"/>
  <c r="K515" i="11"/>
  <c r="K511" i="11"/>
  <c r="K507" i="11"/>
  <c r="K503" i="11"/>
  <c r="K499" i="11"/>
  <c r="K495" i="11"/>
  <c r="K491" i="11"/>
  <c r="K487" i="11"/>
  <c r="K483" i="11"/>
  <c r="K479" i="11"/>
  <c r="K475" i="11"/>
  <c r="K471" i="11"/>
  <c r="K467" i="11"/>
  <c r="K463" i="11"/>
  <c r="K459" i="11"/>
  <c r="K455" i="11"/>
  <c r="K451" i="11"/>
  <c r="K447" i="11"/>
  <c r="K443" i="11"/>
  <c r="K439" i="11"/>
  <c r="K435" i="11"/>
  <c r="K427" i="11"/>
  <c r="K423" i="11"/>
  <c r="K419" i="11"/>
  <c r="K415" i="11"/>
  <c r="K411" i="11"/>
  <c r="K407" i="11"/>
  <c r="K403" i="11"/>
  <c r="K399" i="11"/>
  <c r="K395" i="11"/>
  <c r="K391" i="11"/>
  <c r="K387" i="11"/>
  <c r="K383" i="11"/>
  <c r="K379" i="11"/>
  <c r="K375" i="11"/>
  <c r="K371" i="11"/>
  <c r="K367" i="11"/>
  <c r="K363" i="11"/>
  <c r="K359" i="11"/>
  <c r="K355" i="11"/>
  <c r="K351" i="11"/>
  <c r="K347" i="11"/>
  <c r="K343" i="11"/>
  <c r="K339" i="11"/>
  <c r="K335" i="11"/>
  <c r="K331" i="11"/>
  <c r="K327" i="11"/>
  <c r="K323" i="11"/>
  <c r="K319" i="11"/>
  <c r="K315" i="11"/>
  <c r="K311" i="11"/>
  <c r="K307" i="11"/>
  <c r="K303" i="11"/>
  <c r="K299" i="11"/>
  <c r="K295" i="11"/>
  <c r="K291" i="11"/>
  <c r="K287" i="11"/>
  <c r="K283" i="11"/>
  <c r="K279" i="11"/>
  <c r="K275" i="11"/>
  <c r="K271" i="11"/>
  <c r="K267" i="11"/>
  <c r="K263" i="11"/>
  <c r="K259" i="11"/>
  <c r="K255" i="11"/>
  <c r="K251" i="11"/>
  <c r="K247" i="11"/>
  <c r="K474" i="11"/>
  <c r="K458" i="11"/>
  <c r="K442" i="11"/>
  <c r="K426" i="11"/>
  <c r="K410" i="11"/>
  <c r="K394" i="11"/>
  <c r="K378" i="11"/>
  <c r="K362" i="11"/>
  <c r="K346" i="11"/>
  <c r="K330" i="11"/>
  <c r="K314" i="11"/>
  <c r="K298" i="11"/>
  <c r="K282" i="11"/>
  <c r="K272" i="11"/>
  <c r="K264" i="11"/>
  <c r="K256" i="11"/>
  <c r="K248" i="11"/>
  <c r="K242" i="11"/>
  <c r="K238" i="11"/>
  <c r="K234" i="11"/>
  <c r="K230" i="11"/>
  <c r="K226" i="11"/>
  <c r="K222" i="11"/>
  <c r="K218" i="11"/>
  <c r="K214" i="11"/>
  <c r="K210" i="11"/>
  <c r="K206" i="11"/>
  <c r="K202" i="11"/>
  <c r="K198" i="11"/>
  <c r="K194" i="11"/>
  <c r="K190" i="11"/>
  <c r="K186" i="11"/>
  <c r="K182" i="11"/>
  <c r="K178" i="11"/>
  <c r="K174" i="11"/>
  <c r="K170" i="11"/>
  <c r="K166" i="11"/>
  <c r="K162" i="11"/>
  <c r="K158" i="11"/>
  <c r="K154" i="11"/>
  <c r="K150" i="11"/>
  <c r="K146" i="11"/>
  <c r="K142" i="11"/>
  <c r="K138" i="11"/>
  <c r="K134" i="11"/>
  <c r="K130" i="11"/>
  <c r="K126" i="11"/>
  <c r="K122" i="11"/>
  <c r="K118" i="11"/>
  <c r="K114" i="11"/>
  <c r="K110" i="11"/>
  <c r="K106" i="11"/>
  <c r="K102" i="11"/>
  <c r="K98" i="11"/>
  <c r="K94" i="11"/>
  <c r="K90" i="11"/>
  <c r="K86" i="11"/>
  <c r="K82" i="11"/>
  <c r="K78" i="11"/>
  <c r="K74" i="11"/>
  <c r="K70" i="11"/>
  <c r="K66" i="11"/>
  <c r="K62" i="11"/>
  <c r="K58" i="11"/>
  <c r="K54" i="11"/>
  <c r="K50" i="11"/>
  <c r="K46" i="11"/>
  <c r="K42" i="11"/>
  <c r="K38" i="11"/>
  <c r="K34" i="11"/>
  <c r="K30" i="11"/>
  <c r="K26" i="11"/>
  <c r="K22" i="11"/>
  <c r="K18" i="11"/>
  <c r="K14" i="11"/>
  <c r="K10" i="11"/>
  <c r="K6" i="11"/>
  <c r="J582" i="11"/>
  <c r="J578" i="11"/>
  <c r="J574" i="11"/>
  <c r="J570" i="11"/>
  <c r="J566" i="11"/>
  <c r="K470" i="11"/>
  <c r="K454" i="11"/>
  <c r="K438" i="11"/>
  <c r="K422" i="11"/>
  <c r="K406" i="11"/>
  <c r="K390" i="11"/>
  <c r="K374" i="11"/>
  <c r="K358" i="11"/>
  <c r="K342" i="11"/>
  <c r="K326" i="11"/>
  <c r="K310" i="11"/>
  <c r="K294" i="11"/>
  <c r="K278" i="11"/>
  <c r="K270" i="11"/>
  <c r="K262" i="11"/>
  <c r="K254" i="11"/>
  <c r="K246" i="11"/>
  <c r="K241" i="11"/>
  <c r="K237" i="11"/>
  <c r="K233" i="11"/>
  <c r="K229" i="11"/>
  <c r="K225" i="11"/>
  <c r="K221" i="11"/>
  <c r="K217" i="11"/>
  <c r="K213" i="11"/>
  <c r="K209" i="11"/>
  <c r="K205" i="11"/>
  <c r="K201" i="11"/>
  <c r="K197" i="11"/>
  <c r="K193" i="11"/>
  <c r="K189" i="11"/>
  <c r="K185" i="11"/>
  <c r="K181" i="11"/>
  <c r="K177" i="11"/>
  <c r="K173" i="11"/>
  <c r="K169" i="11"/>
  <c r="K165" i="11"/>
  <c r="K161" i="11"/>
  <c r="K157" i="11"/>
  <c r="K153" i="11"/>
  <c r="K149" i="11"/>
  <c r="K145" i="11"/>
  <c r="K141" i="11"/>
  <c r="K137" i="11"/>
  <c r="K133" i="11"/>
  <c r="K129" i="11"/>
  <c r="K125" i="11"/>
  <c r="K121" i="11"/>
  <c r="K117" i="11"/>
  <c r="K113" i="11"/>
  <c r="K109" i="11"/>
  <c r="K105" i="11"/>
  <c r="K101" i="11"/>
  <c r="K97" i="11"/>
  <c r="K93" i="11"/>
  <c r="K89" i="11"/>
  <c r="K85" i="11"/>
  <c r="K81" i="11"/>
  <c r="K77" i="11"/>
  <c r="K73" i="11"/>
  <c r="K69" i="11"/>
  <c r="K65" i="11"/>
  <c r="K61" i="11"/>
  <c r="K57" i="11"/>
  <c r="K53" i="11"/>
  <c r="K49" i="11"/>
  <c r="K45" i="11"/>
  <c r="K41" i="11"/>
  <c r="K37" i="11"/>
  <c r="K33" i="11"/>
  <c r="K29" i="11"/>
  <c r="K25" i="11"/>
  <c r="K21" i="11"/>
  <c r="K17" i="11"/>
  <c r="K13" i="11"/>
  <c r="K9" i="11"/>
  <c r="K5" i="11"/>
  <c r="J577" i="11"/>
  <c r="J573" i="11"/>
  <c r="J569" i="11"/>
  <c r="J565" i="11"/>
  <c r="J561" i="11"/>
  <c r="J557" i="11"/>
  <c r="J553" i="11"/>
  <c r="J549" i="11"/>
  <c r="J545" i="11"/>
  <c r="J541" i="11"/>
  <c r="J537" i="11"/>
  <c r="J533" i="11"/>
  <c r="J529" i="11"/>
  <c r="J525" i="11"/>
  <c r="J521" i="11"/>
  <c r="J517" i="11"/>
  <c r="J513" i="11"/>
  <c r="J509" i="11"/>
  <c r="J505" i="11"/>
  <c r="J501" i="11"/>
  <c r="J497" i="11"/>
  <c r="J493" i="11"/>
  <c r="J489" i="11"/>
  <c r="J485" i="11"/>
  <c r="J481" i="11"/>
  <c r="J477" i="11"/>
  <c r="J473" i="11"/>
  <c r="J469" i="11"/>
  <c r="J465" i="11"/>
  <c r="J461" i="11"/>
  <c r="J457" i="11"/>
  <c r="J453" i="11"/>
  <c r="J449" i="11"/>
  <c r="J445" i="11"/>
  <c r="J441" i="11"/>
  <c r="K466" i="11"/>
  <c r="K450" i="11"/>
  <c r="K434" i="11"/>
  <c r="K418" i="11"/>
  <c r="K402" i="11"/>
  <c r="K386" i="11"/>
  <c r="K370" i="11"/>
  <c r="K354" i="11"/>
  <c r="K338" i="11"/>
  <c r="K322" i="11"/>
  <c r="K306" i="11"/>
  <c r="K290" i="11"/>
  <c r="K276" i="11"/>
  <c r="K268" i="11"/>
  <c r="K260" i="11"/>
  <c r="K252" i="11"/>
  <c r="K244" i="11"/>
  <c r="K240" i="11"/>
  <c r="K236" i="11"/>
  <c r="K232" i="11"/>
  <c r="K228" i="11"/>
  <c r="K224" i="11"/>
  <c r="K220" i="11"/>
  <c r="K216" i="11"/>
  <c r="K212" i="11"/>
  <c r="K208" i="11"/>
  <c r="K204" i="11"/>
  <c r="K200" i="11"/>
  <c r="K196" i="11"/>
  <c r="K192" i="11"/>
  <c r="K188" i="11"/>
  <c r="K184" i="11"/>
  <c r="K180" i="11"/>
  <c r="K176" i="11"/>
  <c r="K172" i="11"/>
  <c r="K168" i="11"/>
  <c r="K164" i="11"/>
  <c r="K160" i="11"/>
  <c r="K156" i="11"/>
  <c r="K152" i="11"/>
  <c r="K148" i="11"/>
  <c r="K144" i="11"/>
  <c r="K140" i="11"/>
  <c r="K136" i="11"/>
  <c r="K132" i="11"/>
  <c r="K128" i="11"/>
  <c r="K124" i="11"/>
  <c r="K120" i="11"/>
  <c r="K116" i="11"/>
  <c r="K112" i="11"/>
  <c r="K108" i="11"/>
  <c r="K104" i="11"/>
  <c r="K100" i="11"/>
  <c r="K96" i="11"/>
  <c r="K92" i="11"/>
  <c r="K88" i="11"/>
  <c r="K84" i="11"/>
  <c r="K80" i="11"/>
  <c r="K76" i="11"/>
  <c r="K72" i="11"/>
  <c r="K68" i="11"/>
  <c r="K64" i="11"/>
  <c r="K60" i="11"/>
  <c r="K56" i="11"/>
  <c r="K52" i="11"/>
  <c r="K48" i="11"/>
  <c r="K44" i="11"/>
  <c r="K40" i="11"/>
  <c r="K36" i="11"/>
  <c r="K32" i="11"/>
  <c r="K28" i="11"/>
  <c r="K24" i="11"/>
  <c r="K20" i="11"/>
  <c r="K16" i="11"/>
  <c r="K12" i="11"/>
  <c r="K8" i="11"/>
  <c r="K4" i="11"/>
  <c r="J580" i="11"/>
  <c r="J576" i="11"/>
  <c r="J572" i="11"/>
  <c r="J568" i="11"/>
  <c r="J564" i="11"/>
  <c r="J560" i="11"/>
  <c r="J556" i="11"/>
  <c r="J552" i="11"/>
  <c r="K462" i="11"/>
  <c r="K446" i="11"/>
  <c r="K414" i="11"/>
  <c r="K398" i="11"/>
  <c r="K382" i="11"/>
  <c r="K366" i="11"/>
  <c r="K350" i="11"/>
  <c r="K334" i="11"/>
  <c r="K318" i="11"/>
  <c r="K302" i="11"/>
  <c r="K286" i="11"/>
  <c r="K274" i="11"/>
  <c r="K266" i="11"/>
  <c r="K258" i="11"/>
  <c r="K250" i="11"/>
  <c r="K243" i="11"/>
  <c r="K227" i="11"/>
  <c r="K211" i="11"/>
  <c r="K195" i="11"/>
  <c r="K179" i="11"/>
  <c r="K163" i="11"/>
  <c r="K147" i="11"/>
  <c r="K131" i="11"/>
  <c r="K115" i="11"/>
  <c r="K99" i="11"/>
  <c r="K83" i="11"/>
  <c r="K67" i="11"/>
  <c r="K51" i="11"/>
  <c r="K35" i="11"/>
  <c r="K19" i="11"/>
  <c r="K3" i="11"/>
  <c r="J567" i="11"/>
  <c r="J558" i="11"/>
  <c r="J550" i="11"/>
  <c r="J544" i="11"/>
  <c r="J539" i="11"/>
  <c r="J534" i="11"/>
  <c r="J528" i="11"/>
  <c r="J523" i="11"/>
  <c r="J518" i="11"/>
  <c r="J512" i="11"/>
  <c r="J507" i="11"/>
  <c r="J502" i="11"/>
  <c r="J496" i="11"/>
  <c r="J491" i="11"/>
  <c r="J486" i="11"/>
  <c r="J480" i="11"/>
  <c r="J475" i="11"/>
  <c r="J470" i="11"/>
  <c r="J464" i="11"/>
  <c r="J459" i="11"/>
  <c r="J454" i="11"/>
  <c r="J448" i="11"/>
  <c r="J443" i="11"/>
  <c r="J438" i="11"/>
  <c r="J434" i="11"/>
  <c r="J430" i="11"/>
  <c r="J426" i="11"/>
  <c r="J422" i="11"/>
  <c r="J418" i="11"/>
  <c r="J414" i="11"/>
  <c r="J410" i="11"/>
  <c r="J406" i="11"/>
  <c r="J402" i="11"/>
  <c r="J398" i="11"/>
  <c r="J394" i="11"/>
  <c r="J390" i="11"/>
  <c r="J386" i="11"/>
  <c r="J382" i="11"/>
  <c r="J378" i="11"/>
  <c r="J374" i="11"/>
  <c r="J370" i="11"/>
  <c r="J366" i="11"/>
  <c r="J362" i="11"/>
  <c r="J358" i="11"/>
  <c r="J354" i="11"/>
  <c r="J350" i="11"/>
  <c r="J346" i="11"/>
  <c r="J342" i="11"/>
  <c r="J338" i="11"/>
  <c r="J334" i="11"/>
  <c r="J330" i="11"/>
  <c r="J326" i="11"/>
  <c r="J322" i="11"/>
  <c r="J318" i="11"/>
  <c r="J314" i="11"/>
  <c r="J310" i="11"/>
  <c r="J306" i="11"/>
  <c r="J302" i="11"/>
  <c r="J298" i="11"/>
  <c r="J294" i="11"/>
  <c r="J290" i="11"/>
  <c r="J286" i="11"/>
  <c r="J282" i="11"/>
  <c r="J278" i="11"/>
  <c r="J274" i="11"/>
  <c r="J270" i="11"/>
  <c r="J266" i="11"/>
  <c r="J262" i="11"/>
  <c r="J258" i="11"/>
  <c r="K239" i="11"/>
  <c r="K223" i="11"/>
  <c r="K207" i="11"/>
  <c r="K191" i="11"/>
  <c r="K175" i="11"/>
  <c r="K159" i="11"/>
  <c r="K143" i="11"/>
  <c r="K127" i="11"/>
  <c r="K111" i="11"/>
  <c r="K95" i="11"/>
  <c r="K79" i="11"/>
  <c r="K63" i="11"/>
  <c r="K47" i="11"/>
  <c r="K31" i="11"/>
  <c r="K15" i="11"/>
  <c r="J579" i="11"/>
  <c r="J563" i="11"/>
  <c r="J555" i="11"/>
  <c r="J548" i="11"/>
  <c r="J543" i="11"/>
  <c r="J538" i="11"/>
  <c r="J532" i="11"/>
  <c r="J527" i="11"/>
  <c r="J522" i="11"/>
  <c r="J516" i="11"/>
  <c r="J511" i="11"/>
  <c r="J506" i="11"/>
  <c r="J500" i="11"/>
  <c r="J495" i="11"/>
  <c r="J490" i="11"/>
  <c r="J484" i="11"/>
  <c r="J479" i="11"/>
  <c r="J474" i="11"/>
  <c r="J468" i="11"/>
  <c r="J463" i="11"/>
  <c r="J458" i="11"/>
  <c r="J452" i="11"/>
  <c r="J447" i="11"/>
  <c r="J442" i="11"/>
  <c r="J437" i="11"/>
  <c r="J433" i="11"/>
  <c r="J429" i="11"/>
  <c r="J425" i="11"/>
  <c r="J421" i="11"/>
  <c r="J417" i="11"/>
  <c r="J413" i="11"/>
  <c r="J409" i="11"/>
  <c r="J405" i="11"/>
  <c r="J401" i="11"/>
  <c r="J397" i="11"/>
  <c r="J393" i="11"/>
  <c r="J389" i="11"/>
  <c r="J385" i="11"/>
  <c r="J381" i="11"/>
  <c r="J377" i="11"/>
  <c r="J373" i="11"/>
  <c r="J369" i="11"/>
  <c r="J365" i="11"/>
  <c r="J361" i="11"/>
  <c r="J357" i="11"/>
  <c r="J353" i="11"/>
  <c r="J349" i="11"/>
  <c r="J345" i="11"/>
  <c r="J341" i="11"/>
  <c r="J337" i="11"/>
  <c r="J333" i="11"/>
  <c r="J329" i="11"/>
  <c r="J325" i="11"/>
  <c r="J321" i="11"/>
  <c r="J317" i="11"/>
  <c r="J313" i="11"/>
  <c r="J309" i="11"/>
  <c r="J305" i="11"/>
  <c r="J301" i="11"/>
  <c r="J297" i="11"/>
  <c r="J293" i="11"/>
  <c r="J289" i="11"/>
  <c r="J285" i="11"/>
  <c r="J281" i="11"/>
  <c r="J277" i="11"/>
  <c r="J273" i="11"/>
  <c r="J269" i="11"/>
  <c r="J265" i="11"/>
  <c r="J261" i="11"/>
  <c r="J257" i="11"/>
  <c r="K235" i="11"/>
  <c r="K219" i="11"/>
  <c r="K203" i="11"/>
  <c r="K187" i="11"/>
  <c r="K171" i="11"/>
  <c r="K155" i="11"/>
  <c r="K139" i="11"/>
  <c r="K123" i="11"/>
  <c r="K107" i="11"/>
  <c r="K91" i="11"/>
  <c r="K75" i="11"/>
  <c r="K59" i="11"/>
  <c r="K43" i="11"/>
  <c r="K27" i="11"/>
  <c r="K11" i="11"/>
  <c r="J575" i="11"/>
  <c r="J562" i="11"/>
  <c r="J554" i="11"/>
  <c r="J547" i="11"/>
  <c r="J542" i="11"/>
  <c r="J536" i="11"/>
  <c r="J531" i="11"/>
  <c r="J526" i="11"/>
  <c r="J520" i="11"/>
  <c r="J515" i="11"/>
  <c r="J510" i="11"/>
  <c r="J504" i="11"/>
  <c r="J499" i="11"/>
  <c r="J494" i="11"/>
  <c r="J488" i="11"/>
  <c r="J483" i="11"/>
  <c r="J478" i="11"/>
  <c r="J472" i="11"/>
  <c r="J467" i="11"/>
  <c r="J462" i="11"/>
  <c r="J456" i="11"/>
  <c r="J451" i="11"/>
  <c r="J446" i="11"/>
  <c r="J440" i="11"/>
  <c r="J436" i="11"/>
  <c r="J432" i="11"/>
  <c r="J428" i="11"/>
  <c r="J424" i="11"/>
  <c r="J420" i="11"/>
  <c r="J416" i="11"/>
  <c r="J412" i="11"/>
  <c r="J408" i="11"/>
  <c r="J404" i="11"/>
  <c r="J400" i="11"/>
  <c r="J396" i="11"/>
  <c r="J392" i="11"/>
  <c r="J388" i="11"/>
  <c r="J384" i="11"/>
  <c r="J380" i="11"/>
  <c r="J376" i="11"/>
  <c r="J372" i="11"/>
  <c r="J368" i="11"/>
  <c r="J364" i="11"/>
  <c r="J360" i="11"/>
  <c r="J356" i="11"/>
  <c r="J352" i="11"/>
  <c r="J348" i="11"/>
  <c r="J344" i="11"/>
  <c r="J340" i="11"/>
  <c r="J336" i="11"/>
  <c r="J332" i="11"/>
  <c r="J328" i="11"/>
  <c r="J324" i="11"/>
  <c r="J320" i="11"/>
  <c r="J316" i="11"/>
  <c r="J312" i="11"/>
  <c r="J308" i="11"/>
  <c r="J304" i="11"/>
  <c r="J300" i="11"/>
  <c r="J296" i="11"/>
  <c r="J292" i="11"/>
  <c r="J288" i="11"/>
  <c r="J284" i="11"/>
  <c r="J280" i="11"/>
  <c r="J276" i="11"/>
  <c r="J272" i="11"/>
  <c r="J268" i="11"/>
  <c r="J264" i="11"/>
  <c r="J260" i="11"/>
  <c r="J256" i="11"/>
  <c r="K231" i="11"/>
  <c r="K215" i="11"/>
  <c r="K199" i="11"/>
  <c r="K183" i="11"/>
  <c r="K167" i="11"/>
  <c r="K151" i="11"/>
  <c r="K135" i="11"/>
  <c r="K119" i="11"/>
  <c r="K103" i="11"/>
  <c r="K87" i="11"/>
  <c r="K71" i="11"/>
  <c r="K55" i="11"/>
  <c r="K39" i="11"/>
  <c r="K23" i="11"/>
  <c r="K7" i="11"/>
  <c r="J571" i="11"/>
  <c r="J559" i="11"/>
  <c r="J551" i="11"/>
  <c r="J546" i="11"/>
  <c r="J540" i="11"/>
  <c r="J535" i="11"/>
  <c r="J530" i="11"/>
  <c r="J524" i="11"/>
  <c r="J519" i="11"/>
  <c r="J514" i="11"/>
  <c r="J508" i="11"/>
  <c r="J503" i="11"/>
  <c r="J498" i="11"/>
  <c r="J492" i="11"/>
  <c r="J487" i="11"/>
  <c r="J482" i="11"/>
  <c r="J476" i="11"/>
  <c r="J471" i="11"/>
  <c r="J466" i="11"/>
  <c r="J460" i="11"/>
  <c r="J455" i="11"/>
  <c r="J450" i="11"/>
  <c r="J444" i="11"/>
  <c r="J439" i="11"/>
  <c r="J435" i="11"/>
  <c r="J431" i="11"/>
  <c r="J427" i="11"/>
  <c r="J423" i="11"/>
  <c r="J419" i="11"/>
  <c r="J415" i="11"/>
  <c r="J411" i="11"/>
  <c r="J407" i="11"/>
  <c r="J403" i="11"/>
  <c r="J399" i="11"/>
  <c r="J395" i="11"/>
  <c r="J391" i="11"/>
  <c r="J387" i="11"/>
  <c r="J383" i="11"/>
  <c r="J379" i="11"/>
  <c r="J375" i="11"/>
  <c r="J371" i="11"/>
  <c r="J367" i="11"/>
  <c r="J363" i="11"/>
  <c r="J359" i="11"/>
  <c r="J355" i="11"/>
  <c r="J351" i="11"/>
  <c r="J347" i="11"/>
  <c r="J343" i="11"/>
  <c r="J339" i="11"/>
  <c r="J335" i="11"/>
  <c r="J331" i="11"/>
  <c r="J327" i="11"/>
  <c r="J323" i="11"/>
  <c r="J319" i="11"/>
  <c r="J315" i="11"/>
  <c r="J311" i="11"/>
  <c r="J307" i="11"/>
  <c r="J303" i="11"/>
  <c r="J299" i="11"/>
  <c r="J295" i="11"/>
  <c r="J291" i="11"/>
  <c r="J287" i="11"/>
  <c r="J283" i="11"/>
  <c r="J279" i="11"/>
  <c r="J275" i="11"/>
  <c r="J271" i="11"/>
  <c r="J267" i="11"/>
  <c r="J263" i="11"/>
  <c r="J259" i="11"/>
  <c r="J255" i="11"/>
  <c r="J254" i="11"/>
  <c r="J250" i="11"/>
  <c r="J246" i="11"/>
  <c r="J242" i="11"/>
  <c r="J238" i="11"/>
  <c r="J234" i="11"/>
  <c r="J230" i="11"/>
  <c r="J226" i="11"/>
  <c r="J222" i="11"/>
  <c r="J218" i="11"/>
  <c r="J214" i="11"/>
  <c r="J210" i="11"/>
  <c r="J206" i="11"/>
  <c r="J202" i="11"/>
  <c r="J198" i="11"/>
  <c r="J194" i="11"/>
  <c r="J190" i="11"/>
  <c r="J186" i="11"/>
  <c r="J182" i="11"/>
  <c r="J178" i="11"/>
  <c r="J174" i="11"/>
  <c r="J170" i="11"/>
  <c r="J166" i="11"/>
  <c r="J162" i="11"/>
  <c r="J158" i="11"/>
  <c r="J154" i="11"/>
  <c r="J150" i="11"/>
  <c r="J146" i="11"/>
  <c r="J142" i="11"/>
  <c r="J138" i="11"/>
  <c r="J134" i="11"/>
  <c r="J130" i="11"/>
  <c r="J126" i="11"/>
  <c r="J122" i="11"/>
  <c r="J118" i="11"/>
  <c r="J114" i="11"/>
  <c r="J110" i="11"/>
  <c r="J106" i="11"/>
  <c r="J102" i="11"/>
  <c r="J98" i="11"/>
  <c r="J94" i="11"/>
  <c r="J90" i="11"/>
  <c r="J86" i="11"/>
  <c r="J82" i="11"/>
  <c r="J78" i="11"/>
  <c r="J74" i="11"/>
  <c r="J70" i="11"/>
  <c r="J66" i="11"/>
  <c r="J62" i="11"/>
  <c r="J58" i="11"/>
  <c r="J54" i="11"/>
  <c r="J50" i="11"/>
  <c r="J46" i="11"/>
  <c r="J42" i="11"/>
  <c r="J38" i="11"/>
  <c r="J34" i="11"/>
  <c r="J30" i="11"/>
  <c r="J26" i="11"/>
  <c r="J22" i="11"/>
  <c r="J18" i="11"/>
  <c r="J14" i="11"/>
  <c r="J10" i="11"/>
  <c r="J6" i="11"/>
  <c r="N3" i="11"/>
  <c r="N7" i="11"/>
  <c r="N11" i="11"/>
  <c r="N15" i="11"/>
  <c r="N19" i="11"/>
  <c r="N23" i="11"/>
  <c r="N27" i="11"/>
  <c r="N31" i="11"/>
  <c r="N35" i="11"/>
  <c r="N39" i="11"/>
  <c r="N43" i="11"/>
  <c r="N47" i="11"/>
  <c r="N51" i="11"/>
  <c r="N55" i="11"/>
  <c r="N59" i="11"/>
  <c r="N63" i="11"/>
  <c r="N67" i="11"/>
  <c r="N71" i="11"/>
  <c r="N75" i="11"/>
  <c r="N79" i="11"/>
  <c r="N83" i="11"/>
  <c r="N87" i="11"/>
  <c r="N91" i="11"/>
  <c r="N95" i="11"/>
  <c r="N99" i="11"/>
  <c r="N103" i="11"/>
  <c r="N107" i="11"/>
  <c r="N111" i="11"/>
  <c r="J253" i="11"/>
  <c r="J249" i="11"/>
  <c r="J245" i="11"/>
  <c r="J241" i="11"/>
  <c r="J237" i="11"/>
  <c r="J233" i="11"/>
  <c r="J229" i="11"/>
  <c r="J225" i="11"/>
  <c r="J221" i="11"/>
  <c r="J217" i="11"/>
  <c r="J213" i="11"/>
  <c r="J209" i="11"/>
  <c r="J205" i="11"/>
  <c r="J201" i="11"/>
  <c r="J197" i="11"/>
  <c r="J193" i="11"/>
  <c r="J189" i="11"/>
  <c r="J185" i="11"/>
  <c r="J181" i="11"/>
  <c r="J177" i="11"/>
  <c r="J173" i="11"/>
  <c r="J169" i="11"/>
  <c r="J165" i="11"/>
  <c r="J161" i="11"/>
  <c r="J157" i="11"/>
  <c r="J153" i="11"/>
  <c r="J149" i="11"/>
  <c r="J145" i="11"/>
  <c r="J141" i="11"/>
  <c r="J137" i="11"/>
  <c r="J133" i="11"/>
  <c r="J129" i="11"/>
  <c r="J125" i="11"/>
  <c r="J121" i="11"/>
  <c r="J117" i="11"/>
  <c r="J113" i="11"/>
  <c r="J109" i="11"/>
  <c r="J105" i="11"/>
  <c r="J101" i="11"/>
  <c r="J97" i="11"/>
  <c r="J93" i="11"/>
  <c r="J89" i="11"/>
  <c r="J85" i="11"/>
  <c r="J81" i="11"/>
  <c r="J77" i="11"/>
  <c r="J73" i="11"/>
  <c r="J69" i="11"/>
  <c r="J65" i="11"/>
  <c r="J61" i="11"/>
  <c r="J57" i="11"/>
  <c r="J53" i="11"/>
  <c r="J49" i="11"/>
  <c r="J45" i="11"/>
  <c r="J41" i="11"/>
  <c r="J37" i="11"/>
  <c r="J33" i="11"/>
  <c r="J29" i="11"/>
  <c r="J25" i="11"/>
  <c r="J21" i="11"/>
  <c r="J17" i="11"/>
  <c r="J13" i="11"/>
  <c r="J9" i="11"/>
  <c r="J5" i="11"/>
  <c r="N4" i="11"/>
  <c r="N8" i="11"/>
  <c r="N12" i="11"/>
  <c r="N16" i="11"/>
  <c r="N20" i="11"/>
  <c r="N24" i="11"/>
  <c r="N28" i="11"/>
  <c r="N32" i="11"/>
  <c r="N36" i="11"/>
  <c r="N40" i="11"/>
  <c r="N44" i="11"/>
  <c r="N48" i="11"/>
  <c r="N52" i="11"/>
  <c r="N56" i="11"/>
  <c r="N60" i="11"/>
  <c r="N64" i="11"/>
  <c r="N68" i="11"/>
  <c r="N72" i="11"/>
  <c r="N76" i="11"/>
  <c r="N80" i="11"/>
  <c r="N84" i="11"/>
  <c r="N88" i="11"/>
  <c r="N92" i="11"/>
  <c r="N96" i="11"/>
  <c r="N100" i="11"/>
  <c r="N104" i="11"/>
  <c r="N108" i="11"/>
  <c r="N112" i="11"/>
  <c r="N116" i="11"/>
  <c r="J252" i="11"/>
  <c r="J248" i="11"/>
  <c r="J244" i="11"/>
  <c r="J240" i="11"/>
  <c r="J236" i="11"/>
  <c r="J232" i="11"/>
  <c r="J228" i="11"/>
  <c r="J224" i="11"/>
  <c r="J220" i="11"/>
  <c r="J216" i="11"/>
  <c r="J212" i="11"/>
  <c r="J208" i="11"/>
  <c r="J204" i="11"/>
  <c r="J200" i="11"/>
  <c r="J196" i="11"/>
  <c r="J192" i="11"/>
  <c r="J188" i="11"/>
  <c r="J184" i="11"/>
  <c r="J180" i="11"/>
  <c r="J176" i="11"/>
  <c r="J172" i="11"/>
  <c r="J168" i="11"/>
  <c r="J164" i="11"/>
  <c r="J160" i="11"/>
  <c r="J156" i="11"/>
  <c r="J152" i="11"/>
  <c r="J148" i="11"/>
  <c r="J144" i="11"/>
  <c r="J140" i="11"/>
  <c r="J136" i="11"/>
  <c r="J132" i="11"/>
  <c r="J128" i="11"/>
  <c r="J124" i="11"/>
  <c r="J120" i="11"/>
  <c r="J116" i="11"/>
  <c r="J112" i="11"/>
  <c r="J108" i="11"/>
  <c r="J104" i="11"/>
  <c r="J100" i="11"/>
  <c r="J96" i="11"/>
  <c r="J92" i="11"/>
  <c r="J88" i="11"/>
  <c r="J84" i="11"/>
  <c r="J80" i="11"/>
  <c r="J76" i="11"/>
  <c r="J72" i="11"/>
  <c r="J68" i="11"/>
  <c r="J64" i="11"/>
  <c r="J60" i="11"/>
  <c r="J56" i="11"/>
  <c r="J52" i="11"/>
  <c r="J48" i="11"/>
  <c r="J44" i="11"/>
  <c r="J40" i="11"/>
  <c r="J36" i="11"/>
  <c r="J32" i="11"/>
  <c r="J28" i="11"/>
  <c r="J24" i="11"/>
  <c r="J20" i="11"/>
  <c r="J16" i="11"/>
  <c r="J12" i="11"/>
  <c r="J8" i="11"/>
  <c r="J4" i="11"/>
  <c r="N5" i="11"/>
  <c r="N9" i="11"/>
  <c r="N13" i="11"/>
  <c r="N17" i="11"/>
  <c r="N21" i="11"/>
  <c r="N25" i="11"/>
  <c r="N29" i="11"/>
  <c r="N33" i="11"/>
  <c r="N37" i="11"/>
  <c r="N41" i="11"/>
  <c r="N45" i="11"/>
  <c r="N49" i="11"/>
  <c r="N53" i="11"/>
  <c r="N57" i="11"/>
  <c r="N61" i="11"/>
  <c r="N65" i="11"/>
  <c r="N69" i="11"/>
  <c r="N73" i="11"/>
  <c r="N77" i="11"/>
  <c r="N81" i="11"/>
  <c r="N85" i="11"/>
  <c r="N89" i="11"/>
  <c r="N93" i="11"/>
  <c r="N97" i="11"/>
  <c r="N101" i="11"/>
  <c r="J251" i="11"/>
  <c r="J247" i="11"/>
  <c r="J243" i="11"/>
  <c r="J239" i="11"/>
  <c r="J235" i="11"/>
  <c r="J231" i="11"/>
  <c r="J227" i="11"/>
  <c r="J223" i="11"/>
  <c r="J219" i="11"/>
  <c r="J215" i="11"/>
  <c r="J211" i="11"/>
  <c r="J207" i="11"/>
  <c r="J203" i="11"/>
  <c r="J199" i="11"/>
  <c r="J195" i="11"/>
  <c r="J191" i="11"/>
  <c r="J187" i="11"/>
  <c r="J183" i="11"/>
  <c r="J179" i="11"/>
  <c r="J175" i="11"/>
  <c r="J171" i="11"/>
  <c r="J167" i="11"/>
  <c r="J163" i="11"/>
  <c r="J159" i="11"/>
  <c r="J155" i="11"/>
  <c r="J151" i="11"/>
  <c r="J147" i="11"/>
  <c r="J143" i="11"/>
  <c r="J139" i="11"/>
  <c r="J135" i="11"/>
  <c r="J131" i="11"/>
  <c r="J127" i="11"/>
  <c r="J123" i="11"/>
  <c r="J119" i="11"/>
  <c r="J115" i="11"/>
  <c r="J111" i="11"/>
  <c r="J107" i="11"/>
  <c r="J103" i="11"/>
  <c r="J99" i="11"/>
  <c r="J95" i="11"/>
  <c r="J91" i="11"/>
  <c r="J87" i="11"/>
  <c r="J83" i="11"/>
  <c r="J79" i="11"/>
  <c r="J75" i="11"/>
  <c r="J71" i="11"/>
  <c r="J67" i="11"/>
  <c r="J63" i="11"/>
  <c r="J59" i="11"/>
  <c r="J55" i="11"/>
  <c r="J51" i="11"/>
  <c r="J47" i="11"/>
  <c r="J43" i="11"/>
  <c r="J39" i="11"/>
  <c r="J35" i="11"/>
  <c r="J31" i="11"/>
  <c r="J27" i="11"/>
  <c r="J23" i="11"/>
  <c r="J19" i="11"/>
  <c r="J15" i="11"/>
  <c r="J11" i="11"/>
  <c r="J7" i="11"/>
  <c r="J3" i="11"/>
  <c r="N6" i="11"/>
  <c r="N10" i="11"/>
  <c r="N14" i="11"/>
  <c r="N18" i="11"/>
  <c r="N22" i="11"/>
  <c r="N26" i="11"/>
  <c r="N30" i="11"/>
  <c r="N34" i="11"/>
  <c r="N38" i="11"/>
  <c r="N42" i="11"/>
  <c r="N46" i="11"/>
  <c r="N50" i="11"/>
  <c r="N54" i="11"/>
  <c r="N58" i="11"/>
  <c r="N62" i="11"/>
  <c r="N66" i="11"/>
  <c r="N70" i="11"/>
  <c r="N74" i="11"/>
  <c r="N78" i="11"/>
  <c r="N82" i="11"/>
  <c r="N86" i="11"/>
  <c r="N90" i="11"/>
  <c r="N94" i="11"/>
  <c r="N106" i="11"/>
  <c r="N114" i="11"/>
  <c r="N119" i="11"/>
  <c r="N123" i="11"/>
  <c r="N127" i="11"/>
  <c r="N131" i="11"/>
  <c r="N135" i="11"/>
  <c r="N139" i="11"/>
  <c r="N143" i="11"/>
  <c r="N147" i="11"/>
  <c r="N151" i="11"/>
  <c r="N155" i="11"/>
  <c r="N159" i="11"/>
  <c r="N163" i="11"/>
  <c r="N167" i="11"/>
  <c r="N171" i="11"/>
  <c r="N175" i="11"/>
  <c r="N179" i="11"/>
  <c r="N183" i="11"/>
  <c r="N187" i="11"/>
  <c r="N191" i="11"/>
  <c r="N195" i="11"/>
  <c r="N199" i="11"/>
  <c r="N203" i="11"/>
  <c r="N207" i="11"/>
  <c r="N211" i="11"/>
  <c r="N215" i="11"/>
  <c r="N219" i="11"/>
  <c r="N223" i="11"/>
  <c r="N227" i="11"/>
  <c r="N231" i="11"/>
  <c r="N235" i="11"/>
  <c r="N239" i="11"/>
  <c r="N243" i="11"/>
  <c r="N247" i="11"/>
  <c r="N251" i="11"/>
  <c r="N255" i="11"/>
  <c r="N259" i="11"/>
  <c r="N263" i="11"/>
  <c r="N267" i="11"/>
  <c r="N271" i="11"/>
  <c r="N275" i="11"/>
  <c r="N279" i="11"/>
  <c r="N283" i="11"/>
  <c r="N287" i="11"/>
  <c r="N291" i="11"/>
  <c r="N295" i="11"/>
  <c r="N299" i="11"/>
  <c r="N303" i="11"/>
  <c r="N307" i="11"/>
  <c r="N311" i="11"/>
  <c r="N315" i="11"/>
  <c r="N319" i="11"/>
  <c r="N323" i="11"/>
  <c r="N327" i="11"/>
  <c r="N331" i="11"/>
  <c r="N335" i="11"/>
  <c r="N339" i="11"/>
  <c r="N343" i="11"/>
  <c r="N347" i="11"/>
  <c r="N351" i="11"/>
  <c r="N355" i="11"/>
  <c r="N359" i="11"/>
  <c r="N363" i="11"/>
  <c r="N367" i="11"/>
  <c r="N371" i="11"/>
  <c r="N375" i="11"/>
  <c r="N379" i="11"/>
  <c r="N383" i="11"/>
  <c r="N387" i="11"/>
  <c r="N391" i="11"/>
  <c r="N395" i="11"/>
  <c r="N399" i="11"/>
  <c r="N403" i="11"/>
  <c r="N407" i="11"/>
  <c r="N411" i="11"/>
  <c r="N415" i="11"/>
  <c r="N419" i="11"/>
  <c r="N423" i="11"/>
  <c r="N427" i="11"/>
  <c r="N431" i="11"/>
  <c r="N435" i="11"/>
  <c r="N439" i="11"/>
  <c r="N443" i="11"/>
  <c r="N447" i="11"/>
  <c r="N451" i="11"/>
  <c r="N455" i="11"/>
  <c r="N459" i="11"/>
  <c r="N463" i="11"/>
  <c r="N467" i="11"/>
  <c r="N471" i="11"/>
  <c r="N475" i="11"/>
  <c r="N479" i="11"/>
  <c r="N483" i="11"/>
  <c r="N487" i="11"/>
  <c r="N491" i="11"/>
  <c r="N495" i="11"/>
  <c r="N499" i="11"/>
  <c r="N503" i="11"/>
  <c r="N507" i="11"/>
  <c r="N511" i="11"/>
  <c r="N515" i="11"/>
  <c r="N519" i="11"/>
  <c r="N523" i="11"/>
  <c r="N527" i="11"/>
  <c r="N531" i="11"/>
  <c r="N535" i="11"/>
  <c r="N539" i="11"/>
  <c r="N543" i="11"/>
  <c r="N547" i="11"/>
  <c r="N551" i="11"/>
  <c r="N555" i="11"/>
  <c r="N559" i="11"/>
  <c r="N563" i="11"/>
  <c r="N567" i="11"/>
  <c r="N571" i="11"/>
  <c r="N575" i="11"/>
  <c r="N579" i="11"/>
  <c r="F432" i="11"/>
  <c r="F433" i="11"/>
  <c r="F434" i="11"/>
  <c r="F435" i="11"/>
  <c r="F436" i="11"/>
  <c r="F437" i="11"/>
  <c r="F438" i="11"/>
  <c r="F439" i="11"/>
  <c r="F440" i="11"/>
  <c r="F441" i="11"/>
  <c r="F442" i="11"/>
  <c r="F443" i="11"/>
  <c r="F444" i="11"/>
  <c r="F445" i="11"/>
  <c r="F446" i="11"/>
  <c r="F447" i="11"/>
  <c r="F448" i="11"/>
  <c r="F449" i="11"/>
  <c r="F450" i="11"/>
  <c r="F451" i="11"/>
  <c r="F452" i="11"/>
  <c r="F453" i="11"/>
  <c r="F454" i="11"/>
  <c r="F455" i="11"/>
  <c r="F456" i="11"/>
  <c r="F457" i="11"/>
  <c r="F458" i="11"/>
  <c r="F459" i="11"/>
  <c r="F460" i="11"/>
  <c r="F461" i="11"/>
  <c r="F462" i="11"/>
  <c r="F463" i="11"/>
  <c r="F464" i="11"/>
  <c r="F465" i="11"/>
  <c r="F466" i="11"/>
  <c r="F467" i="11"/>
  <c r="F468" i="11"/>
  <c r="F469" i="11"/>
  <c r="F470" i="11"/>
  <c r="F471" i="11"/>
  <c r="F472" i="11"/>
  <c r="F473" i="11"/>
  <c r="F474" i="11"/>
  <c r="F475" i="11"/>
  <c r="F476" i="11"/>
  <c r="F477" i="11"/>
  <c r="F478" i="11"/>
  <c r="F479" i="11"/>
  <c r="F480" i="11"/>
  <c r="F481" i="11"/>
  <c r="F482" i="11"/>
  <c r="N98" i="11"/>
  <c r="N109" i="11"/>
  <c r="N115" i="11"/>
  <c r="N120" i="11"/>
  <c r="N124" i="11"/>
  <c r="N128" i="11"/>
  <c r="N132" i="11"/>
  <c r="N136" i="11"/>
  <c r="N140" i="11"/>
  <c r="N144" i="11"/>
  <c r="N148" i="11"/>
  <c r="N152" i="11"/>
  <c r="N156" i="11"/>
  <c r="N160" i="11"/>
  <c r="N164" i="11"/>
  <c r="N168" i="11"/>
  <c r="N172" i="11"/>
  <c r="N176" i="11"/>
  <c r="N180" i="11"/>
  <c r="N184" i="11"/>
  <c r="N188" i="11"/>
  <c r="N192" i="11"/>
  <c r="N196" i="11"/>
  <c r="N200" i="11"/>
  <c r="N204" i="11"/>
  <c r="N208" i="11"/>
  <c r="N212" i="11"/>
  <c r="N216" i="11"/>
  <c r="N220" i="11"/>
  <c r="N224" i="11"/>
  <c r="N228" i="11"/>
  <c r="N232" i="11"/>
  <c r="N236" i="11"/>
  <c r="N240" i="11"/>
  <c r="N244" i="11"/>
  <c r="N248" i="11"/>
  <c r="N252" i="11"/>
  <c r="N256" i="11"/>
  <c r="N260" i="11"/>
  <c r="N264" i="11"/>
  <c r="N268" i="11"/>
  <c r="N272" i="11"/>
  <c r="N276" i="11"/>
  <c r="N280" i="11"/>
  <c r="N284" i="11"/>
  <c r="N288" i="11"/>
  <c r="N292" i="11"/>
  <c r="N296" i="11"/>
  <c r="N300" i="11"/>
  <c r="N304" i="11"/>
  <c r="N308" i="11"/>
  <c r="N312" i="11"/>
  <c r="N316" i="11"/>
  <c r="N320" i="11"/>
  <c r="N324" i="11"/>
  <c r="N328" i="11"/>
  <c r="N332" i="11"/>
  <c r="N336" i="11"/>
  <c r="N340" i="11"/>
  <c r="N344" i="11"/>
  <c r="N348" i="11"/>
  <c r="N352" i="11"/>
  <c r="N356" i="11"/>
  <c r="N360" i="11"/>
  <c r="N364" i="11"/>
  <c r="N368" i="11"/>
  <c r="N372" i="11"/>
  <c r="N376" i="11"/>
  <c r="N380" i="11"/>
  <c r="N384" i="11"/>
  <c r="N388" i="11"/>
  <c r="N392" i="11"/>
  <c r="N396" i="11"/>
  <c r="N400" i="11"/>
  <c r="N404" i="11"/>
  <c r="N408" i="11"/>
  <c r="N412" i="11"/>
  <c r="N416" i="11"/>
  <c r="N420" i="11"/>
  <c r="N424" i="11"/>
  <c r="N428" i="11"/>
  <c r="N432" i="11"/>
  <c r="N436" i="11"/>
  <c r="N440" i="11"/>
  <c r="N444" i="11"/>
  <c r="N448" i="11"/>
  <c r="N452" i="11"/>
  <c r="N456" i="11"/>
  <c r="N460" i="11"/>
  <c r="N464" i="11"/>
  <c r="N468" i="11"/>
  <c r="N472" i="11"/>
  <c r="N476" i="11"/>
  <c r="N480" i="11"/>
  <c r="N484" i="11"/>
  <c r="N488" i="11"/>
  <c r="N492" i="11"/>
  <c r="N496" i="11"/>
  <c r="N500" i="11"/>
  <c r="N504" i="11"/>
  <c r="N508" i="11"/>
  <c r="N512" i="11"/>
  <c r="N516" i="11"/>
  <c r="N520" i="11"/>
  <c r="N524" i="11"/>
  <c r="N528" i="11"/>
  <c r="N532" i="11"/>
  <c r="N536" i="11"/>
  <c r="N540" i="11"/>
  <c r="N544" i="11"/>
  <c r="N548" i="11"/>
  <c r="N552" i="11"/>
  <c r="N556" i="11"/>
  <c r="N560" i="11"/>
  <c r="N564" i="11"/>
  <c r="N568" i="11"/>
  <c r="N572" i="11"/>
  <c r="N576" i="11"/>
  <c r="N580" i="11"/>
  <c r="C432" i="11"/>
  <c r="G432" i="11"/>
  <c r="C433" i="11"/>
  <c r="G433" i="11"/>
  <c r="C434" i="11"/>
  <c r="G434" i="11"/>
  <c r="C435" i="11"/>
  <c r="G435" i="11"/>
  <c r="C436" i="11"/>
  <c r="G436" i="11"/>
  <c r="G437" i="11"/>
  <c r="G438" i="11"/>
  <c r="C439" i="11"/>
  <c r="C440" i="11"/>
  <c r="G440" i="11"/>
  <c r="C441" i="11"/>
  <c r="G441" i="11"/>
  <c r="C442" i="11"/>
  <c r="G442" i="11"/>
  <c r="C443" i="11"/>
  <c r="G443" i="11"/>
  <c r="C444" i="11"/>
  <c r="C445" i="11"/>
  <c r="G445" i="11"/>
  <c r="G446" i="11"/>
  <c r="C447" i="11"/>
  <c r="G447" i="11"/>
  <c r="C448" i="11"/>
  <c r="G448" i="11"/>
  <c r="C449" i="11"/>
  <c r="G449" i="11"/>
  <c r="C450" i="11"/>
  <c r="G450" i="11"/>
  <c r="N102" i="11"/>
  <c r="N110" i="11"/>
  <c r="N117" i="11"/>
  <c r="N121" i="11"/>
  <c r="N125" i="11"/>
  <c r="N129" i="11"/>
  <c r="N133" i="11"/>
  <c r="N137" i="11"/>
  <c r="N141" i="11"/>
  <c r="N145" i="11"/>
  <c r="N149" i="11"/>
  <c r="N153" i="11"/>
  <c r="N157" i="11"/>
  <c r="N161" i="11"/>
  <c r="N165" i="11"/>
  <c r="N169" i="11"/>
  <c r="N173" i="11"/>
  <c r="N177" i="11"/>
  <c r="N181" i="11"/>
  <c r="N185" i="11"/>
  <c r="N189" i="11"/>
  <c r="N193" i="11"/>
  <c r="N197" i="11"/>
  <c r="N201" i="11"/>
  <c r="N205" i="11"/>
  <c r="N209" i="11"/>
  <c r="N213" i="11"/>
  <c r="N217" i="11"/>
  <c r="N221" i="11"/>
  <c r="N225" i="11"/>
  <c r="N229" i="11"/>
  <c r="N233" i="11"/>
  <c r="N237" i="11"/>
  <c r="N241" i="11"/>
  <c r="N245" i="11"/>
  <c r="N249" i="11"/>
  <c r="N253" i="11"/>
  <c r="N257" i="11"/>
  <c r="N261" i="11"/>
  <c r="N265" i="11"/>
  <c r="N269" i="11"/>
  <c r="N273" i="11"/>
  <c r="N277" i="11"/>
  <c r="N281" i="11"/>
  <c r="N285" i="11"/>
  <c r="N289" i="11"/>
  <c r="N293" i="11"/>
  <c r="N297" i="11"/>
  <c r="N301" i="11"/>
  <c r="N305" i="11"/>
  <c r="N309" i="11"/>
  <c r="N313" i="11"/>
  <c r="N317" i="11"/>
  <c r="N321" i="11"/>
  <c r="N325" i="11"/>
  <c r="N329" i="11"/>
  <c r="N333" i="11"/>
  <c r="N337" i="11"/>
  <c r="N341" i="11"/>
  <c r="N345" i="11"/>
  <c r="N349" i="11"/>
  <c r="N357" i="11"/>
  <c r="N361" i="11"/>
  <c r="N365" i="11"/>
  <c r="N369" i="11"/>
  <c r="N373" i="11"/>
  <c r="N377" i="11"/>
  <c r="N381" i="11"/>
  <c r="N385" i="11"/>
  <c r="N389" i="11"/>
  <c r="N393" i="11"/>
  <c r="N397" i="11"/>
  <c r="N401" i="11"/>
  <c r="N405" i="11"/>
  <c r="N409" i="11"/>
  <c r="N413" i="11"/>
  <c r="N417" i="11"/>
  <c r="N421" i="11"/>
  <c r="N425" i="11"/>
  <c r="N429" i="11"/>
  <c r="N433" i="11"/>
  <c r="N437" i="11"/>
  <c r="N441" i="11"/>
  <c r="N445" i="11"/>
  <c r="N449" i="11"/>
  <c r="N453" i="11"/>
  <c r="N457" i="11"/>
  <c r="N461" i="11"/>
  <c r="N465" i="11"/>
  <c r="N469" i="11"/>
  <c r="N473" i="11"/>
  <c r="N477" i="11"/>
  <c r="N481" i="11"/>
  <c r="N485" i="11"/>
  <c r="N489" i="11"/>
  <c r="N493" i="11"/>
  <c r="N497" i="11"/>
  <c r="N501" i="11"/>
  <c r="N505" i="11"/>
  <c r="N509" i="11"/>
  <c r="N513" i="11"/>
  <c r="N517" i="11"/>
  <c r="N521" i="11"/>
  <c r="N525" i="11"/>
  <c r="N529" i="11"/>
  <c r="N533" i="11"/>
  <c r="N537" i="11"/>
  <c r="N541" i="11"/>
  <c r="N545" i="11"/>
  <c r="N549" i="11"/>
  <c r="N553" i="11"/>
  <c r="N557" i="11"/>
  <c r="N561" i="11"/>
  <c r="N565" i="11"/>
  <c r="N569" i="11"/>
  <c r="N573" i="11"/>
  <c r="N577" i="11"/>
  <c r="N581" i="11"/>
  <c r="D432" i="11"/>
  <c r="H432" i="11"/>
  <c r="D433" i="11"/>
  <c r="H433" i="11"/>
  <c r="D434" i="11"/>
  <c r="H434" i="11"/>
  <c r="D435" i="11"/>
  <c r="H435" i="11"/>
  <c r="D436" i="11"/>
  <c r="H436" i="11"/>
  <c r="D437" i="11"/>
  <c r="H437" i="11"/>
  <c r="D438" i="11"/>
  <c r="H438" i="11"/>
  <c r="D439" i="11"/>
  <c r="H439" i="11"/>
  <c r="D440" i="11"/>
  <c r="H440" i="11"/>
  <c r="D441" i="11"/>
  <c r="H441" i="11"/>
  <c r="D442" i="11"/>
  <c r="H442" i="11"/>
  <c r="D443" i="11"/>
  <c r="H443" i="11"/>
  <c r="D444" i="11"/>
  <c r="H444" i="11"/>
  <c r="D445" i="11"/>
  <c r="H445" i="11"/>
  <c r="D446" i="11"/>
  <c r="H446" i="11"/>
  <c r="D447" i="11"/>
  <c r="H447" i="11"/>
  <c r="D448" i="11"/>
  <c r="H448" i="11"/>
  <c r="D449" i="11"/>
  <c r="H449" i="11"/>
  <c r="D450" i="11"/>
  <c r="H450" i="11"/>
  <c r="D451" i="11"/>
  <c r="H451" i="11"/>
  <c r="D452" i="11"/>
  <c r="H452" i="11"/>
  <c r="D453" i="11"/>
  <c r="H453" i="11"/>
  <c r="D454" i="11"/>
  <c r="H454" i="11"/>
  <c r="D455" i="11"/>
  <c r="H455" i="11"/>
  <c r="D456" i="11"/>
  <c r="H456" i="11"/>
  <c r="D457" i="11"/>
  <c r="N105" i="11"/>
  <c r="N113" i="11"/>
  <c r="N118" i="11"/>
  <c r="N122" i="11"/>
  <c r="N126" i="11"/>
  <c r="N130" i="11"/>
  <c r="N134" i="11"/>
  <c r="N138" i="11"/>
  <c r="N142" i="11"/>
  <c r="N146" i="11"/>
  <c r="N150" i="11"/>
  <c r="N154" i="11"/>
  <c r="N158" i="11"/>
  <c r="N162" i="11"/>
  <c r="N166" i="11"/>
  <c r="N170" i="11"/>
  <c r="N174" i="11"/>
  <c r="N178" i="11"/>
  <c r="N182" i="11"/>
  <c r="N186" i="11"/>
  <c r="N190" i="11"/>
  <c r="N194" i="11"/>
  <c r="N198" i="11"/>
  <c r="N202" i="11"/>
  <c r="N206" i="11"/>
  <c r="N210" i="11"/>
  <c r="N214" i="11"/>
  <c r="N218" i="11"/>
  <c r="N222" i="11"/>
  <c r="N226" i="11"/>
  <c r="N230" i="11"/>
  <c r="N234" i="11"/>
  <c r="N238" i="11"/>
  <c r="N242" i="11"/>
  <c r="N246" i="11"/>
  <c r="N250" i="11"/>
  <c r="N254" i="11"/>
  <c r="N258" i="11"/>
  <c r="N262" i="11"/>
  <c r="N266" i="11"/>
  <c r="N270" i="11"/>
  <c r="N274" i="11"/>
  <c r="N278" i="11"/>
  <c r="N282" i="11"/>
  <c r="N286" i="11"/>
  <c r="N290" i="11"/>
  <c r="N294" i="11"/>
  <c r="N298" i="11"/>
  <c r="N302" i="11"/>
  <c r="N306" i="11"/>
  <c r="N310" i="11"/>
  <c r="N314" i="11"/>
  <c r="N318" i="11"/>
  <c r="N322" i="11"/>
  <c r="N326" i="11"/>
  <c r="N330" i="11"/>
  <c r="N334" i="11"/>
  <c r="N338" i="11"/>
  <c r="N342" i="11"/>
  <c r="N346" i="11"/>
  <c r="N350" i="11"/>
  <c r="N358" i="11"/>
  <c r="N362" i="11"/>
  <c r="N366" i="11"/>
  <c r="N370" i="11"/>
  <c r="N374" i="11"/>
  <c r="N378" i="11"/>
  <c r="N382" i="11"/>
  <c r="N386" i="11"/>
  <c r="N390" i="11"/>
  <c r="N394" i="11"/>
  <c r="N398" i="11"/>
  <c r="N402" i="11"/>
  <c r="N406" i="11"/>
  <c r="N410" i="11"/>
  <c r="N414" i="11"/>
  <c r="N418" i="11"/>
  <c r="N422" i="11"/>
  <c r="N426" i="11"/>
  <c r="N430" i="11"/>
  <c r="N434" i="11"/>
  <c r="N438" i="11"/>
  <c r="N442" i="11"/>
  <c r="N446" i="11"/>
  <c r="N450" i="11"/>
  <c r="N454" i="11"/>
  <c r="N458" i="11"/>
  <c r="N462" i="11"/>
  <c r="N466" i="11"/>
  <c r="N470" i="11"/>
  <c r="N474" i="11"/>
  <c r="N478" i="11"/>
  <c r="N482" i="11"/>
  <c r="N486" i="11"/>
  <c r="N490" i="11"/>
  <c r="N494" i="11"/>
  <c r="N498" i="11"/>
  <c r="N502" i="11"/>
  <c r="N506" i="11"/>
  <c r="N510" i="11"/>
  <c r="N514" i="11"/>
  <c r="N518" i="11"/>
  <c r="N522" i="11"/>
  <c r="N526" i="11"/>
  <c r="N530" i="11"/>
  <c r="N534" i="11"/>
  <c r="N538" i="11"/>
  <c r="N542" i="11"/>
  <c r="N546" i="11"/>
  <c r="N550" i="11"/>
  <c r="N554" i="11"/>
  <c r="N558" i="11"/>
  <c r="N562" i="11"/>
  <c r="N566" i="11"/>
  <c r="N570" i="11"/>
  <c r="N574" i="11"/>
  <c r="N578" i="11"/>
  <c r="N582" i="11"/>
  <c r="E432" i="11"/>
  <c r="I432" i="11"/>
  <c r="E433" i="11"/>
  <c r="I433" i="11"/>
  <c r="E434" i="11"/>
  <c r="I434" i="11"/>
  <c r="E435" i="11"/>
  <c r="I435" i="11"/>
  <c r="E436" i="11"/>
  <c r="I436" i="11"/>
  <c r="E437" i="11"/>
  <c r="I437" i="11"/>
  <c r="E438" i="11"/>
  <c r="I438" i="11"/>
  <c r="E439" i="11"/>
  <c r="I439" i="11"/>
  <c r="E440" i="11"/>
  <c r="I440" i="11"/>
  <c r="E441" i="11"/>
  <c r="I441" i="11"/>
  <c r="E442" i="11"/>
  <c r="I442" i="11"/>
  <c r="E443" i="11"/>
  <c r="I443" i="11"/>
  <c r="E444" i="11"/>
  <c r="I444" i="11"/>
  <c r="E445" i="11"/>
  <c r="I445" i="11"/>
  <c r="E446" i="11"/>
  <c r="I446" i="11"/>
  <c r="I447" i="11"/>
  <c r="I448" i="11"/>
  <c r="E449" i="11"/>
  <c r="I449" i="11"/>
  <c r="E450" i="11"/>
  <c r="I450" i="11"/>
  <c r="E451" i="11"/>
  <c r="I451" i="11"/>
  <c r="E452" i="11"/>
  <c r="I452" i="11"/>
  <c r="E453" i="11"/>
  <c r="I453" i="11"/>
  <c r="E454" i="11"/>
  <c r="I454" i="11"/>
  <c r="E455" i="11"/>
  <c r="C453" i="11"/>
  <c r="G454" i="11"/>
  <c r="I455" i="11"/>
  <c r="G456" i="11"/>
  <c r="E457" i="11"/>
  <c r="G458" i="11"/>
  <c r="C459" i="11"/>
  <c r="H459" i="11"/>
  <c r="D460" i="11"/>
  <c r="I460" i="11"/>
  <c r="E461" i="11"/>
  <c r="G462" i="11"/>
  <c r="C463" i="11"/>
  <c r="H463" i="11"/>
  <c r="D464" i="11"/>
  <c r="I464" i="11"/>
  <c r="E465" i="11"/>
  <c r="G466" i="11"/>
  <c r="C467" i="11"/>
  <c r="H467" i="11"/>
  <c r="D468" i="11"/>
  <c r="I468" i="11"/>
  <c r="E469" i="11"/>
  <c r="G470" i="11"/>
  <c r="C471" i="11"/>
  <c r="H471" i="11"/>
  <c r="D472" i="11"/>
  <c r="I472" i="11"/>
  <c r="E473" i="11"/>
  <c r="G474" i="11"/>
  <c r="C475" i="11"/>
  <c r="H475" i="11"/>
  <c r="D476" i="11"/>
  <c r="I476" i="11"/>
  <c r="E477" i="11"/>
  <c r="G478" i="11"/>
  <c r="C479" i="11"/>
  <c r="H479" i="11"/>
  <c r="D480" i="11"/>
  <c r="I480" i="11"/>
  <c r="E481" i="11"/>
  <c r="G482" i="11"/>
  <c r="C483" i="11"/>
  <c r="G483" i="11"/>
  <c r="C484" i="11"/>
  <c r="G484" i="11"/>
  <c r="C485" i="11"/>
  <c r="G485" i="11"/>
  <c r="C486" i="11"/>
  <c r="G486" i="11"/>
  <c r="C487" i="11"/>
  <c r="G487" i="11"/>
  <c r="C488" i="11"/>
  <c r="G488" i="11"/>
  <c r="C489" i="11"/>
  <c r="G489" i="11"/>
  <c r="C490" i="11"/>
  <c r="G490" i="11"/>
  <c r="C491" i="11"/>
  <c r="G491" i="11"/>
  <c r="C492" i="11"/>
  <c r="G492" i="11"/>
  <c r="C493" i="11"/>
  <c r="G493" i="11"/>
  <c r="C494" i="11"/>
  <c r="G494" i="11"/>
  <c r="C495" i="11"/>
  <c r="G495" i="11"/>
  <c r="C496" i="11"/>
  <c r="G496" i="11"/>
  <c r="C497" i="11"/>
  <c r="G497" i="11"/>
  <c r="C498" i="11"/>
  <c r="G498" i="11"/>
  <c r="C499" i="11"/>
  <c r="G499" i="11"/>
  <c r="C500" i="11"/>
  <c r="G500" i="11"/>
  <c r="C501" i="11"/>
  <c r="G501" i="11"/>
  <c r="C502" i="11"/>
  <c r="G502" i="11"/>
  <c r="C503" i="11"/>
  <c r="G503" i="11"/>
  <c r="C504" i="11"/>
  <c r="G504" i="11"/>
  <c r="C505" i="11"/>
  <c r="G505" i="11"/>
  <c r="C506" i="11"/>
  <c r="G506" i="11"/>
  <c r="C507" i="11"/>
  <c r="G507" i="11"/>
  <c r="C508" i="11"/>
  <c r="G508" i="11"/>
  <c r="C509" i="11"/>
  <c r="G509" i="11"/>
  <c r="C510" i="11"/>
  <c r="G510" i="11"/>
  <c r="C511" i="11"/>
  <c r="G511" i="11"/>
  <c r="C512" i="11"/>
  <c r="G512" i="11"/>
  <c r="C513" i="11"/>
  <c r="G513" i="11"/>
  <c r="C514" i="11"/>
  <c r="G514" i="11"/>
  <c r="C515" i="11"/>
  <c r="G515" i="11"/>
  <c r="C516" i="11"/>
  <c r="G516" i="11"/>
  <c r="C517" i="11"/>
  <c r="G517" i="11"/>
  <c r="C518" i="11"/>
  <c r="G518" i="11"/>
  <c r="C519" i="11"/>
  <c r="G519" i="11"/>
  <c r="C520" i="11"/>
  <c r="G520" i="11"/>
  <c r="C521" i="11"/>
  <c r="G521" i="11"/>
  <c r="C522" i="11"/>
  <c r="G522" i="11"/>
  <c r="C523" i="11"/>
  <c r="G523" i="11"/>
  <c r="C524" i="11"/>
  <c r="G524" i="11"/>
  <c r="C525" i="11"/>
  <c r="G525" i="11"/>
  <c r="C526" i="11"/>
  <c r="G526" i="11"/>
  <c r="C527" i="11"/>
  <c r="G527" i="11"/>
  <c r="C528" i="11"/>
  <c r="G528" i="11"/>
  <c r="C529" i="11"/>
  <c r="G529" i="11"/>
  <c r="C530" i="11"/>
  <c r="G530" i="11"/>
  <c r="C531" i="11"/>
  <c r="G531" i="11"/>
  <c r="C532" i="11"/>
  <c r="G532" i="11"/>
  <c r="C533" i="11"/>
  <c r="G533" i="11"/>
  <c r="C534" i="11"/>
  <c r="G534" i="11"/>
  <c r="C535" i="11"/>
  <c r="G535" i="11"/>
  <c r="C536" i="11"/>
  <c r="G536" i="11"/>
  <c r="C537" i="11"/>
  <c r="G537" i="11"/>
  <c r="C538" i="11"/>
  <c r="G538" i="11"/>
  <c r="C539" i="11"/>
  <c r="G539" i="11"/>
  <c r="C540" i="11"/>
  <c r="G540" i="11"/>
  <c r="C541" i="11"/>
  <c r="G541" i="11"/>
  <c r="C542" i="11"/>
  <c r="G542" i="11"/>
  <c r="C543" i="11"/>
  <c r="G543" i="11"/>
  <c r="C544" i="11"/>
  <c r="G544" i="11"/>
  <c r="C545" i="11"/>
  <c r="G545" i="11"/>
  <c r="C546" i="11"/>
  <c r="G546" i="11"/>
  <c r="C547" i="11"/>
  <c r="G547" i="11"/>
  <c r="C548" i="11"/>
  <c r="G548" i="11"/>
  <c r="G453" i="11"/>
  <c r="I456" i="11"/>
  <c r="G457" i="11"/>
  <c r="C458" i="11"/>
  <c r="H458" i="11"/>
  <c r="D459" i="11"/>
  <c r="I459" i="11"/>
  <c r="E460" i="11"/>
  <c r="G461" i="11"/>
  <c r="C462" i="11"/>
  <c r="H462" i="11"/>
  <c r="D463" i="11"/>
  <c r="I463" i="11"/>
  <c r="E464" i="11"/>
  <c r="G465" i="11"/>
  <c r="C466" i="11"/>
  <c r="H466" i="11"/>
  <c r="D467" i="11"/>
  <c r="I467" i="11"/>
  <c r="E468" i="11"/>
  <c r="G469" i="11"/>
  <c r="C470" i="11"/>
  <c r="H470" i="11"/>
  <c r="D471" i="11"/>
  <c r="I471" i="11"/>
  <c r="E472" i="11"/>
  <c r="G473" i="11"/>
  <c r="C474" i="11"/>
  <c r="H474" i="11"/>
  <c r="D475" i="11"/>
  <c r="I475" i="11"/>
  <c r="E476" i="11"/>
  <c r="G477" i="11"/>
  <c r="C478" i="11"/>
  <c r="H478" i="11"/>
  <c r="D479" i="11"/>
  <c r="I479" i="11"/>
  <c r="E480" i="11"/>
  <c r="G481" i="11"/>
  <c r="C482" i="11"/>
  <c r="H482" i="11"/>
  <c r="D483" i="11"/>
  <c r="H483" i="11"/>
  <c r="D484" i="11"/>
  <c r="H484" i="11"/>
  <c r="D485" i="11"/>
  <c r="H485" i="11"/>
  <c r="D486" i="11"/>
  <c r="H486" i="11"/>
  <c r="D487" i="11"/>
  <c r="H487" i="11"/>
  <c r="D488" i="11"/>
  <c r="H488" i="11"/>
  <c r="D489" i="11"/>
  <c r="H489" i="11"/>
  <c r="D490" i="11"/>
  <c r="H490" i="11"/>
  <c r="D491" i="11"/>
  <c r="H491" i="11"/>
  <c r="D492" i="11"/>
  <c r="H492" i="11"/>
  <c r="D493" i="11"/>
  <c r="H493" i="11"/>
  <c r="D494" i="11"/>
  <c r="H494" i="11"/>
  <c r="D495" i="11"/>
  <c r="H495" i="11"/>
  <c r="D496" i="11"/>
  <c r="H496" i="11"/>
  <c r="D497" i="11"/>
  <c r="H497" i="11"/>
  <c r="D498" i="11"/>
  <c r="H498" i="11"/>
  <c r="D499" i="11"/>
  <c r="H499" i="11"/>
  <c r="D500" i="11"/>
  <c r="H500" i="11"/>
  <c r="D501" i="11"/>
  <c r="H501" i="11"/>
  <c r="D502" i="11"/>
  <c r="H502" i="11"/>
  <c r="D503" i="11"/>
  <c r="H503" i="11"/>
  <c r="D504" i="11"/>
  <c r="H504" i="11"/>
  <c r="D505" i="11"/>
  <c r="H505" i="11"/>
  <c r="D506" i="11"/>
  <c r="H506" i="11"/>
  <c r="D507" i="11"/>
  <c r="H507" i="11"/>
  <c r="D508" i="11"/>
  <c r="H508" i="11"/>
  <c r="D509" i="11"/>
  <c r="H509" i="11"/>
  <c r="D510" i="11"/>
  <c r="H510" i="11"/>
  <c r="D511" i="11"/>
  <c r="H511" i="11"/>
  <c r="D512" i="11"/>
  <c r="H512" i="11"/>
  <c r="D513" i="11"/>
  <c r="H513" i="11"/>
  <c r="D514" i="11"/>
  <c r="H514" i="11"/>
  <c r="D515" i="11"/>
  <c r="H515" i="11"/>
  <c r="D516" i="11"/>
  <c r="H516" i="11"/>
  <c r="D517" i="11"/>
  <c r="H517" i="11"/>
  <c r="D518" i="11"/>
  <c r="H518" i="11"/>
  <c r="D519" i="11"/>
  <c r="H519" i="11"/>
  <c r="D520" i="11"/>
  <c r="H520" i="11"/>
  <c r="D521" i="11"/>
  <c r="H521" i="11"/>
  <c r="D522" i="11"/>
  <c r="H522" i="11"/>
  <c r="D523" i="11"/>
  <c r="H523" i="11"/>
  <c r="D524" i="11"/>
  <c r="H524" i="11"/>
  <c r="D525" i="11"/>
  <c r="H525" i="11"/>
  <c r="D526" i="11"/>
  <c r="H526" i="11"/>
  <c r="D527" i="11"/>
  <c r="H527" i="11"/>
  <c r="D528" i="11"/>
  <c r="H528" i="11"/>
  <c r="D529" i="11"/>
  <c r="H529" i="11"/>
  <c r="D530" i="11"/>
  <c r="H530" i="11"/>
  <c r="D531" i="11"/>
  <c r="H531" i="11"/>
  <c r="D532" i="11"/>
  <c r="H532" i="11"/>
  <c r="D533" i="11"/>
  <c r="H533" i="11"/>
  <c r="D534" i="11"/>
  <c r="H534" i="11"/>
  <c r="D535" i="11"/>
  <c r="H535" i="11"/>
  <c r="D536" i="11"/>
  <c r="H536" i="11"/>
  <c r="D537" i="11"/>
  <c r="H537" i="11"/>
  <c r="D538" i="11"/>
  <c r="H538" i="11"/>
  <c r="D539" i="11"/>
  <c r="H539" i="11"/>
  <c r="D540" i="11"/>
  <c r="H540" i="11"/>
  <c r="D541" i="11"/>
  <c r="H541" i="11"/>
  <c r="D542" i="11"/>
  <c r="H542" i="11"/>
  <c r="D543" i="11"/>
  <c r="H543" i="11"/>
  <c r="D544" i="11"/>
  <c r="H544" i="11"/>
  <c r="D545" i="11"/>
  <c r="H545" i="11"/>
  <c r="D546" i="11"/>
  <c r="H546" i="11"/>
  <c r="C455" i="11"/>
  <c r="C456" i="11"/>
  <c r="H457" i="11"/>
  <c r="D458" i="11"/>
  <c r="I458" i="11"/>
  <c r="E459" i="11"/>
  <c r="G460" i="11"/>
  <c r="C461" i="11"/>
  <c r="H461" i="11"/>
  <c r="D462" i="11"/>
  <c r="I462" i="11"/>
  <c r="E463" i="11"/>
  <c r="G464" i="11"/>
  <c r="C465" i="11"/>
  <c r="H465" i="11"/>
  <c r="D466" i="11"/>
  <c r="I466" i="11"/>
  <c r="E467" i="11"/>
  <c r="G468" i="11"/>
  <c r="C469" i="11"/>
  <c r="H469" i="11"/>
  <c r="D470" i="11"/>
  <c r="I470" i="11"/>
  <c r="E471" i="11"/>
  <c r="G472" i="11"/>
  <c r="C473" i="11"/>
  <c r="H473" i="11"/>
  <c r="D474" i="11"/>
  <c r="I474" i="11"/>
  <c r="E475" i="11"/>
  <c r="G476" i="11"/>
  <c r="C477" i="11"/>
  <c r="H477" i="11"/>
  <c r="D478" i="11"/>
  <c r="I478" i="11"/>
  <c r="E479" i="11"/>
  <c r="G480" i="11"/>
  <c r="C481" i="11"/>
  <c r="H481" i="11"/>
  <c r="D482" i="11"/>
  <c r="I482" i="11"/>
  <c r="E483" i="11"/>
  <c r="I483" i="11"/>
  <c r="E484" i="11"/>
  <c r="I484" i="11"/>
  <c r="E485" i="11"/>
  <c r="I485" i="11"/>
  <c r="E486" i="11"/>
  <c r="I486" i="11"/>
  <c r="E487" i="11"/>
  <c r="I487" i="11"/>
  <c r="E488" i="11"/>
  <c r="I488" i="11"/>
  <c r="E489" i="11"/>
  <c r="I489" i="11"/>
  <c r="E490" i="11"/>
  <c r="I490" i="11"/>
  <c r="E491" i="11"/>
  <c r="I491" i="11"/>
  <c r="E492" i="11"/>
  <c r="I492" i="11"/>
  <c r="E493" i="11"/>
  <c r="I493" i="11"/>
  <c r="E494" i="11"/>
  <c r="I494" i="11"/>
  <c r="E495" i="11"/>
  <c r="I495" i="11"/>
  <c r="E496" i="11"/>
  <c r="I496" i="11"/>
  <c r="E497" i="11"/>
  <c r="I497" i="11"/>
  <c r="E498" i="11"/>
  <c r="I498" i="11"/>
  <c r="E499" i="11"/>
  <c r="I499" i="11"/>
  <c r="E500" i="11"/>
  <c r="I500" i="11"/>
  <c r="E501" i="11"/>
  <c r="I501" i="11"/>
  <c r="E502" i="11"/>
  <c r="I502" i="11"/>
  <c r="E503" i="11"/>
  <c r="I503" i="11"/>
  <c r="E504" i="11"/>
  <c r="I504" i="11"/>
  <c r="E505" i="11"/>
  <c r="I505" i="11"/>
  <c r="E506" i="11"/>
  <c r="I506" i="11"/>
  <c r="E507" i="11"/>
  <c r="I507" i="11"/>
  <c r="E508" i="11"/>
  <c r="I508" i="11"/>
  <c r="E509" i="11"/>
  <c r="I509" i="11"/>
  <c r="E510" i="11"/>
  <c r="I510" i="11"/>
  <c r="E511" i="11"/>
  <c r="I511" i="11"/>
  <c r="E512" i="11"/>
  <c r="I512" i="11"/>
  <c r="E513" i="11"/>
  <c r="I513" i="11"/>
  <c r="E514" i="11"/>
  <c r="I514" i="11"/>
  <c r="E515" i="11"/>
  <c r="I515" i="11"/>
  <c r="E516" i="11"/>
  <c r="I516" i="11"/>
  <c r="E517" i="11"/>
  <c r="I517" i="11"/>
  <c r="E518" i="11"/>
  <c r="I518" i="11"/>
  <c r="E519" i="11"/>
  <c r="I519" i="11"/>
  <c r="E520" i="11"/>
  <c r="I520" i="11"/>
  <c r="E521" i="11"/>
  <c r="I521" i="11"/>
  <c r="E522" i="11"/>
  <c r="I522" i="11"/>
  <c r="E523" i="11"/>
  <c r="I523" i="11"/>
  <c r="E524" i="11"/>
  <c r="I524" i="11"/>
  <c r="E525" i="11"/>
  <c r="I525" i="11"/>
  <c r="E526" i="11"/>
  <c r="I526" i="11"/>
  <c r="E527" i="11"/>
  <c r="I527" i="11"/>
  <c r="E528" i="11"/>
  <c r="I528" i="11"/>
  <c r="E529" i="11"/>
  <c r="I529" i="11"/>
  <c r="E530" i="11"/>
  <c r="I530" i="11"/>
  <c r="E531" i="11"/>
  <c r="I531" i="11"/>
  <c r="E532" i="11"/>
  <c r="I532" i="11"/>
  <c r="E533" i="11"/>
  <c r="I533" i="11"/>
  <c r="E534" i="11"/>
  <c r="I534" i="11"/>
  <c r="E535" i="11"/>
  <c r="I535" i="11"/>
  <c r="E536" i="11"/>
  <c r="I536" i="11"/>
  <c r="E537" i="11"/>
  <c r="I537" i="11"/>
  <c r="E538" i="11"/>
  <c r="C454" i="11"/>
  <c r="G455" i="11"/>
  <c r="E456" i="11"/>
  <c r="C457" i="11"/>
  <c r="I457" i="11"/>
  <c r="E458" i="11"/>
  <c r="G459" i="11"/>
  <c r="C460" i="11"/>
  <c r="H460" i="11"/>
  <c r="D461" i="11"/>
  <c r="E462" i="11"/>
  <c r="G463" i="11"/>
  <c r="C464" i="11"/>
  <c r="H464" i="11"/>
  <c r="D465" i="11"/>
  <c r="I465" i="11"/>
  <c r="E466" i="11"/>
  <c r="G467" i="11"/>
  <c r="C468" i="11"/>
  <c r="H468" i="11"/>
  <c r="D469" i="11"/>
  <c r="I469" i="11"/>
  <c r="E470" i="11"/>
  <c r="G471" i="11"/>
  <c r="C472" i="11"/>
  <c r="H472" i="11"/>
  <c r="D473" i="11"/>
  <c r="I473" i="11"/>
  <c r="E474" i="11"/>
  <c r="G475" i="11"/>
  <c r="C476" i="11"/>
  <c r="H476" i="11"/>
  <c r="D477" i="11"/>
  <c r="I477" i="11"/>
  <c r="E478" i="11"/>
  <c r="G479" i="11"/>
  <c r="C480" i="11"/>
  <c r="H480" i="11"/>
  <c r="D481" i="11"/>
  <c r="I481" i="11"/>
  <c r="E482" i="11"/>
  <c r="F483" i="11"/>
  <c r="F484" i="11"/>
  <c r="F485" i="11"/>
  <c r="F486" i="11"/>
  <c r="F487" i="11"/>
  <c r="F488" i="11"/>
  <c r="F489" i="11"/>
  <c r="F490" i="11"/>
  <c r="F491" i="11"/>
  <c r="F492" i="11"/>
  <c r="F493" i="11"/>
  <c r="F494" i="11"/>
  <c r="F495" i="11"/>
  <c r="F496" i="11"/>
  <c r="F497" i="11"/>
  <c r="F498" i="11"/>
  <c r="F499" i="11"/>
  <c r="F500" i="11"/>
  <c r="F501" i="11"/>
  <c r="F502" i="11"/>
  <c r="F503" i="11"/>
  <c r="F504" i="11"/>
  <c r="F505" i="11"/>
  <c r="F506" i="11"/>
  <c r="F507" i="11"/>
  <c r="F508" i="11"/>
  <c r="F509" i="11"/>
  <c r="F510" i="11"/>
  <c r="F511" i="11"/>
  <c r="F512" i="11"/>
  <c r="F513" i="11"/>
  <c r="F514" i="11"/>
  <c r="F515" i="11"/>
  <c r="F516" i="11"/>
  <c r="F517" i="11"/>
  <c r="F518" i="11"/>
  <c r="F519" i="11"/>
  <c r="F520" i="11"/>
  <c r="F521" i="11"/>
  <c r="F522" i="11"/>
  <c r="F523" i="11"/>
  <c r="F524" i="11"/>
  <c r="F525" i="11"/>
  <c r="F526" i="11"/>
  <c r="F527" i="11"/>
  <c r="F528" i="11"/>
  <c r="F529" i="11"/>
  <c r="F530" i="11"/>
  <c r="F531" i="11"/>
  <c r="F532" i="11"/>
  <c r="F533" i="11"/>
  <c r="F534" i="11"/>
  <c r="F535" i="11"/>
  <c r="F536" i="11"/>
  <c r="F537" i="11"/>
  <c r="F538" i="11"/>
  <c r="F539" i="11"/>
  <c r="F540" i="11"/>
  <c r="F541" i="11"/>
  <c r="F542" i="11"/>
  <c r="F543" i="11"/>
  <c r="F544" i="11"/>
  <c r="F545" i="11"/>
  <c r="F546" i="11"/>
  <c r="F547" i="11"/>
  <c r="F548" i="11"/>
  <c r="F549" i="11"/>
  <c r="F550" i="11"/>
  <c r="F551" i="11"/>
  <c r="F552" i="11"/>
  <c r="F553" i="11"/>
  <c r="F554" i="11"/>
  <c r="F555" i="11"/>
  <c r="F556" i="11"/>
  <c r="F557" i="11"/>
  <c r="F558" i="11"/>
  <c r="F559" i="11"/>
  <c r="F560" i="11"/>
  <c r="F561" i="11"/>
  <c r="F562" i="11"/>
  <c r="F563" i="11"/>
  <c r="F564" i="11"/>
  <c r="F565" i="11"/>
  <c r="F566" i="11"/>
  <c r="F567" i="11"/>
  <c r="F568" i="11"/>
  <c r="E540" i="11"/>
  <c r="I541" i="11"/>
  <c r="E544" i="11"/>
  <c r="I545" i="11"/>
  <c r="I547" i="11"/>
  <c r="H548" i="11"/>
  <c r="D549" i="11"/>
  <c r="I549" i="11"/>
  <c r="E550" i="11"/>
  <c r="G551" i="11"/>
  <c r="C552" i="11"/>
  <c r="H552" i="11"/>
  <c r="D553" i="11"/>
  <c r="I553" i="11"/>
  <c r="E554" i="11"/>
  <c r="G555" i="11"/>
  <c r="C556" i="11"/>
  <c r="H556" i="11"/>
  <c r="D557" i="11"/>
  <c r="I557" i="11"/>
  <c r="E558" i="11"/>
  <c r="G559" i="11"/>
  <c r="C560" i="11"/>
  <c r="H560" i="11"/>
  <c r="D561" i="11"/>
  <c r="I561" i="11"/>
  <c r="E562" i="11"/>
  <c r="G563" i="11"/>
  <c r="C564" i="11"/>
  <c r="H564" i="11"/>
  <c r="D565" i="11"/>
  <c r="I565" i="11"/>
  <c r="E566" i="11"/>
  <c r="G567" i="11"/>
  <c r="C568" i="11"/>
  <c r="H568" i="11"/>
  <c r="D569" i="11"/>
  <c r="H569" i="11"/>
  <c r="D570" i="11"/>
  <c r="H570" i="11"/>
  <c r="D571" i="11"/>
  <c r="H571" i="11"/>
  <c r="D572" i="11"/>
  <c r="H572" i="11"/>
  <c r="D573" i="11"/>
  <c r="H573" i="11"/>
  <c r="D574" i="11"/>
  <c r="H574" i="11"/>
  <c r="D575" i="11"/>
  <c r="H575" i="11"/>
  <c r="D576" i="11"/>
  <c r="H576" i="11"/>
  <c r="D577" i="11"/>
  <c r="H577" i="11"/>
  <c r="D578" i="11"/>
  <c r="H578" i="11"/>
  <c r="D579" i="11"/>
  <c r="H579" i="11"/>
  <c r="H580" i="11"/>
  <c r="D582" i="11"/>
  <c r="E582" i="11"/>
  <c r="E539" i="11"/>
  <c r="I540" i="11"/>
  <c r="E543" i="11"/>
  <c r="I544" i="11"/>
  <c r="D547" i="11"/>
  <c r="I548" i="11"/>
  <c r="E549" i="11"/>
  <c r="G550" i="11"/>
  <c r="C551" i="11"/>
  <c r="H551" i="11"/>
  <c r="D552" i="11"/>
  <c r="I552" i="11"/>
  <c r="E553" i="11"/>
  <c r="G554" i="11"/>
  <c r="C555" i="11"/>
  <c r="H555" i="11"/>
  <c r="D556" i="11"/>
  <c r="I556" i="11"/>
  <c r="E557" i="11"/>
  <c r="G558" i="11"/>
  <c r="C559" i="11"/>
  <c r="H559" i="11"/>
  <c r="D560" i="11"/>
  <c r="I560" i="11"/>
  <c r="E561" i="11"/>
  <c r="G562" i="11"/>
  <c r="C563" i="11"/>
  <c r="H563" i="11"/>
  <c r="D564" i="11"/>
  <c r="I564" i="11"/>
  <c r="E565" i="11"/>
  <c r="G566" i="11"/>
  <c r="C567" i="11"/>
  <c r="H567" i="11"/>
  <c r="D568" i="11"/>
  <c r="I568" i="11"/>
  <c r="E569" i="11"/>
  <c r="I569" i="11"/>
  <c r="E570" i="11"/>
  <c r="I570" i="11"/>
  <c r="E571" i="11"/>
  <c r="I571" i="11"/>
  <c r="E572" i="11"/>
  <c r="I572" i="11"/>
  <c r="E573" i="11"/>
  <c r="I573" i="11"/>
  <c r="E574" i="11"/>
  <c r="I574" i="11"/>
  <c r="E575" i="11"/>
  <c r="I575" i="11"/>
  <c r="E576" i="11"/>
  <c r="I576" i="11"/>
  <c r="E577" i="11"/>
  <c r="I577" i="11"/>
  <c r="E578" i="11"/>
  <c r="I578" i="11"/>
  <c r="E579" i="11"/>
  <c r="I579" i="11"/>
  <c r="E580" i="11"/>
  <c r="I580" i="11"/>
  <c r="I582" i="11"/>
  <c r="I539" i="11"/>
  <c r="E542" i="11"/>
  <c r="I543" i="11"/>
  <c r="E546" i="11"/>
  <c r="E547" i="11"/>
  <c r="D548" i="11"/>
  <c r="G549" i="11"/>
  <c r="C550" i="11"/>
  <c r="H550" i="11"/>
  <c r="D551" i="11"/>
  <c r="I551" i="11"/>
  <c r="E552" i="11"/>
  <c r="G553" i="11"/>
  <c r="C554" i="11"/>
  <c r="H554" i="11"/>
  <c r="D555" i="11"/>
  <c r="I555" i="11"/>
  <c r="E556" i="11"/>
  <c r="G557" i="11"/>
  <c r="C558" i="11"/>
  <c r="H558" i="11"/>
  <c r="D559" i="11"/>
  <c r="I559" i="11"/>
  <c r="E560" i="11"/>
  <c r="G561" i="11"/>
  <c r="C562" i="11"/>
  <c r="H562" i="11"/>
  <c r="D563" i="11"/>
  <c r="I563" i="11"/>
  <c r="E564" i="11"/>
  <c r="G565" i="11"/>
  <c r="C566" i="11"/>
  <c r="H566" i="11"/>
  <c r="D567" i="11"/>
  <c r="I567" i="11"/>
  <c r="E568" i="11"/>
  <c r="F569" i="11"/>
  <c r="F570" i="11"/>
  <c r="F571" i="11"/>
  <c r="F572" i="11"/>
  <c r="F573" i="11"/>
  <c r="F574" i="11"/>
  <c r="F575" i="11"/>
  <c r="F576" i="11"/>
  <c r="F577" i="11"/>
  <c r="F578" i="11"/>
  <c r="F579" i="11"/>
  <c r="F580" i="11"/>
  <c r="F581" i="11"/>
  <c r="F582" i="11"/>
  <c r="C576" i="11"/>
  <c r="C577" i="11"/>
  <c r="C578" i="11"/>
  <c r="C579" i="11"/>
  <c r="C580" i="11"/>
  <c r="C581" i="11"/>
  <c r="C582" i="11"/>
  <c r="D580" i="11"/>
  <c r="H581" i="11"/>
  <c r="E581" i="11"/>
  <c r="I538" i="11"/>
  <c r="E541" i="11"/>
  <c r="I542" i="11"/>
  <c r="E545" i="11"/>
  <c r="I546" i="11"/>
  <c r="H547" i="11"/>
  <c r="E548" i="11"/>
  <c r="C549" i="11"/>
  <c r="H549" i="11"/>
  <c r="D550" i="11"/>
  <c r="I550" i="11"/>
  <c r="E551" i="11"/>
  <c r="G552" i="11"/>
  <c r="C553" i="11"/>
  <c r="H553" i="11"/>
  <c r="D554" i="11"/>
  <c r="I554" i="11"/>
  <c r="E555" i="11"/>
  <c r="G556" i="11"/>
  <c r="C557" i="11"/>
  <c r="H557" i="11"/>
  <c r="D558" i="11"/>
  <c r="I558" i="11"/>
  <c r="E559" i="11"/>
  <c r="G560" i="11"/>
  <c r="C561" i="11"/>
  <c r="H561" i="11"/>
  <c r="D562" i="11"/>
  <c r="I562" i="11"/>
  <c r="E563" i="11"/>
  <c r="G564" i="11"/>
  <c r="C565" i="11"/>
  <c r="H565" i="11"/>
  <c r="D566" i="11"/>
  <c r="I566" i="11"/>
  <c r="E567" i="11"/>
  <c r="G568" i="11"/>
  <c r="C569" i="11"/>
  <c r="G569" i="11"/>
  <c r="C570" i="11"/>
  <c r="G570" i="11"/>
  <c r="C571" i="11"/>
  <c r="G571" i="11"/>
  <c r="C572" i="11"/>
  <c r="G572" i="11"/>
  <c r="C573" i="11"/>
  <c r="G573" i="11"/>
  <c r="C574" i="11"/>
  <c r="G574" i="11"/>
  <c r="C575" i="11"/>
  <c r="G575" i="11"/>
  <c r="G576" i="11"/>
  <c r="G577" i="11"/>
  <c r="G578" i="11"/>
  <c r="G579" i="11"/>
  <c r="G580" i="11"/>
  <c r="G581" i="11"/>
  <c r="G582" i="11"/>
  <c r="D581" i="11"/>
  <c r="H582" i="11"/>
  <c r="I581" i="11"/>
  <c r="C452" i="11"/>
  <c r="C451" i="11"/>
  <c r="G452" i="11"/>
  <c r="G451" i="11"/>
  <c r="G439" i="11"/>
  <c r="G444" i="11"/>
  <c r="K431" i="11"/>
  <c r="C446" i="11"/>
  <c r="E448" i="11"/>
  <c r="K430" i="11"/>
  <c r="L195" i="1"/>
  <c r="E447" i="11" s="1"/>
  <c r="D195" i="1"/>
  <c r="L191" i="1"/>
  <c r="C438" i="11" s="1"/>
  <c r="D191" i="1"/>
  <c r="L189" i="1"/>
  <c r="C437" i="11" s="1"/>
  <c r="D189" i="1"/>
  <c r="L184" i="1"/>
  <c r="D184" i="1"/>
  <c r="L185" i="1"/>
  <c r="D185" i="1"/>
  <c r="D186" i="1"/>
  <c r="D183" i="1"/>
  <c r="O705" i="11" l="1"/>
  <c r="O701" i="11"/>
  <c r="O695" i="11"/>
  <c r="O687" i="11"/>
  <c r="O679" i="11"/>
  <c r="O642" i="11"/>
  <c r="O626" i="11"/>
  <c r="O611" i="11"/>
  <c r="O723" i="11"/>
  <c r="O693" i="11"/>
  <c r="O696" i="11"/>
  <c r="O688" i="11"/>
  <c r="O685" i="11"/>
  <c r="O665" i="11"/>
  <c r="O657" i="11"/>
  <c r="O634" i="11"/>
  <c r="O619" i="11"/>
  <c r="O616" i="11"/>
  <c r="O636" i="11"/>
  <c r="O628" i="11"/>
  <c r="O613" i="11"/>
  <c r="O605" i="11"/>
  <c r="O597" i="11"/>
  <c r="O618" i="11"/>
  <c r="O610" i="11"/>
  <c r="O602" i="11"/>
  <c r="O588" i="11"/>
  <c r="O715" i="11"/>
  <c r="O590" i="11"/>
  <c r="O725" i="11"/>
  <c r="O717" i="11"/>
  <c r="O709" i="11"/>
  <c r="O591" i="11"/>
  <c r="O583" i="11"/>
  <c r="O718" i="11"/>
  <c r="O710" i="11"/>
  <c r="O711" i="11"/>
  <c r="O703" i="11"/>
  <c r="O681" i="11"/>
  <c r="O673" i="11"/>
  <c r="O659" i="11"/>
  <c r="O698" i="11"/>
  <c r="O690" i="11"/>
  <c r="O671" i="11"/>
  <c r="O655" i="11"/>
  <c r="O686" i="11"/>
  <c r="O678" i="11"/>
  <c r="O670" i="11"/>
  <c r="O662" i="11"/>
  <c r="O654" i="11"/>
  <c r="O644" i="11"/>
  <c r="O648" i="11"/>
  <c r="O633" i="11"/>
  <c r="O680" i="11"/>
  <c r="O672" i="11"/>
  <c r="O664" i="11"/>
  <c r="O656" i="11"/>
  <c r="O629" i="11"/>
  <c r="O647" i="11"/>
  <c r="O639" i="11"/>
  <c r="O631" i="11"/>
  <c r="O623" i="11"/>
  <c r="O612" i="11"/>
  <c r="O604" i="11"/>
  <c r="O596" i="11"/>
  <c r="O584" i="11"/>
  <c r="O593" i="11"/>
  <c r="O603" i="11"/>
  <c r="O595" i="11"/>
  <c r="O585" i="11"/>
  <c r="O720" i="11"/>
  <c r="O712" i="11"/>
  <c r="O704" i="11"/>
  <c r="O689" i="11"/>
  <c r="O699" i="11"/>
  <c r="O691" i="11"/>
  <c r="O700" i="11"/>
  <c r="O692" i="11"/>
  <c r="O683" i="11"/>
  <c r="O675" i="11"/>
  <c r="O697" i="11"/>
  <c r="O645" i="11"/>
  <c r="O669" i="11"/>
  <c r="O661" i="11"/>
  <c r="O653" i="11"/>
  <c r="O646" i="11"/>
  <c r="O638" i="11"/>
  <c r="O630" i="11"/>
  <c r="O622" i="11"/>
  <c r="O620" i="11"/>
  <c r="O640" i="11"/>
  <c r="O632" i="11"/>
  <c r="O624" i="11"/>
  <c r="O617" i="11"/>
  <c r="O609" i="11"/>
  <c r="O601" i="11"/>
  <c r="O614" i="11"/>
  <c r="O606" i="11"/>
  <c r="O598" i="11"/>
  <c r="O594" i="11"/>
  <c r="O586" i="11"/>
  <c r="O721" i="11"/>
  <c r="O713" i="11"/>
  <c r="O587" i="11"/>
  <c r="O722" i="11"/>
  <c r="O714" i="11"/>
  <c r="O706" i="11"/>
  <c r="O707" i="11"/>
  <c r="O677" i="11"/>
  <c r="O667" i="11"/>
  <c r="O651" i="11"/>
  <c r="O702" i="11"/>
  <c r="O694" i="11"/>
  <c r="O663" i="11"/>
  <c r="O682" i="11"/>
  <c r="O674" i="11"/>
  <c r="O666" i="11"/>
  <c r="O658" i="11"/>
  <c r="O650" i="11"/>
  <c r="O649" i="11"/>
  <c r="O641" i="11"/>
  <c r="O625" i="11"/>
  <c r="O684" i="11"/>
  <c r="O676" i="11"/>
  <c r="O668" i="11"/>
  <c r="O660" i="11"/>
  <c r="O652" i="11"/>
  <c r="O637" i="11"/>
  <c r="O621" i="11"/>
  <c r="O615" i="11"/>
  <c r="O643" i="11"/>
  <c r="O635" i="11"/>
  <c r="O627" i="11"/>
  <c r="O608" i="11"/>
  <c r="O600" i="11"/>
  <c r="O719" i="11"/>
  <c r="O589" i="11"/>
  <c r="O607" i="11"/>
  <c r="O599" i="11"/>
  <c r="O592" i="11"/>
  <c r="O724" i="11"/>
  <c r="O716" i="11"/>
  <c r="O708" i="11"/>
  <c r="O438" i="11"/>
  <c r="O451" i="11"/>
  <c r="O446" i="11"/>
  <c r="O437" i="11"/>
  <c r="O480" i="11"/>
  <c r="O472" i="11"/>
  <c r="O464" i="11"/>
  <c r="O454" i="11"/>
  <c r="O580" i="11"/>
  <c r="O476" i="11"/>
  <c r="O468" i="11"/>
  <c r="O576" i="11"/>
  <c r="O452" i="11"/>
  <c r="O460" i="11"/>
  <c r="O457" i="11"/>
  <c r="O477" i="11"/>
  <c r="O469" i="11"/>
  <c r="O461" i="11"/>
  <c r="O547" i="11"/>
  <c r="O545" i="11"/>
  <c r="O543" i="11"/>
  <c r="O541" i="11"/>
  <c r="O539" i="11"/>
  <c r="O537" i="11"/>
  <c r="O535" i="11"/>
  <c r="O533" i="11"/>
  <c r="O531" i="11"/>
  <c r="O529" i="11"/>
  <c r="O527" i="11"/>
  <c r="O525" i="11"/>
  <c r="O523" i="11"/>
  <c r="O521" i="11"/>
  <c r="O519" i="11"/>
  <c r="O517" i="11"/>
  <c r="O515" i="11"/>
  <c r="O513" i="11"/>
  <c r="O511" i="11"/>
  <c r="O509" i="11"/>
  <c r="O507" i="11"/>
  <c r="O505" i="11"/>
  <c r="O503" i="11"/>
  <c r="O501" i="11"/>
  <c r="O499" i="11"/>
  <c r="O497" i="11"/>
  <c r="O495" i="11"/>
  <c r="O493" i="11"/>
  <c r="O491" i="11"/>
  <c r="O489" i="11"/>
  <c r="O487" i="11"/>
  <c r="O485" i="11"/>
  <c r="O483" i="11"/>
  <c r="O475" i="11"/>
  <c r="O467" i="11"/>
  <c r="O459" i="11"/>
  <c r="O450" i="11"/>
  <c r="O448" i="11"/>
  <c r="O443" i="11"/>
  <c r="O441" i="11"/>
  <c r="O575" i="11"/>
  <c r="O569" i="11"/>
  <c r="O561" i="11"/>
  <c r="O553" i="11"/>
  <c r="O482" i="11"/>
  <c r="O474" i="11"/>
  <c r="O466" i="11"/>
  <c r="O458" i="11"/>
  <c r="O445" i="11"/>
  <c r="O435" i="11"/>
  <c r="O433" i="11"/>
  <c r="K2" i="11"/>
  <c r="O564" i="11"/>
  <c r="O571" i="11"/>
  <c r="O579" i="11"/>
  <c r="O562" i="11"/>
  <c r="O554" i="11"/>
  <c r="O563" i="11"/>
  <c r="O555" i="11"/>
  <c r="O582" i="11"/>
  <c r="O578" i="11"/>
  <c r="O568" i="11"/>
  <c r="O560" i="11"/>
  <c r="O552" i="11"/>
  <c r="O481" i="11"/>
  <c r="O473" i="11"/>
  <c r="O465" i="11"/>
  <c r="O456" i="11"/>
  <c r="O548" i="11"/>
  <c r="O546" i="11"/>
  <c r="O544" i="11"/>
  <c r="O542" i="11"/>
  <c r="O540" i="11"/>
  <c r="O538" i="11"/>
  <c r="O536" i="11"/>
  <c r="O534" i="11"/>
  <c r="O532" i="11"/>
  <c r="O530" i="11"/>
  <c r="O528" i="11"/>
  <c r="O526" i="11"/>
  <c r="O524" i="11"/>
  <c r="O522" i="11"/>
  <c r="O520" i="11"/>
  <c r="O518" i="11"/>
  <c r="O516" i="11"/>
  <c r="O514" i="11"/>
  <c r="O512" i="11"/>
  <c r="O510" i="11"/>
  <c r="O508" i="11"/>
  <c r="O506" i="11"/>
  <c r="O504" i="11"/>
  <c r="O502" i="11"/>
  <c r="O500" i="11"/>
  <c r="O498" i="11"/>
  <c r="O496" i="11"/>
  <c r="O494" i="11"/>
  <c r="O492" i="11"/>
  <c r="O490" i="11"/>
  <c r="O488" i="11"/>
  <c r="O486" i="11"/>
  <c r="O484" i="11"/>
  <c r="O479" i="11"/>
  <c r="O471" i="11"/>
  <c r="O463" i="11"/>
  <c r="O453" i="11"/>
  <c r="O449" i="11"/>
  <c r="O447" i="11"/>
  <c r="O444" i="11"/>
  <c r="O442" i="11"/>
  <c r="O440" i="11"/>
  <c r="O556" i="11"/>
  <c r="O573" i="11"/>
  <c r="O574" i="11"/>
  <c r="O572" i="11"/>
  <c r="O570" i="11"/>
  <c r="O565" i="11"/>
  <c r="O557" i="11"/>
  <c r="O549" i="11"/>
  <c r="O581" i="11"/>
  <c r="O577" i="11"/>
  <c r="O566" i="11"/>
  <c r="O558" i="11"/>
  <c r="O550" i="11"/>
  <c r="O567" i="11"/>
  <c r="O559" i="11"/>
  <c r="O551" i="11"/>
  <c r="O455" i="11"/>
  <c r="O478" i="11"/>
  <c r="O470" i="11"/>
  <c r="O462" i="11"/>
  <c r="O439" i="11"/>
  <c r="O436" i="11"/>
  <c r="O434" i="11"/>
  <c r="O432" i="11"/>
  <c r="J2" i="11"/>
  <c r="L182" i="1" l="1"/>
  <c r="D182" i="1"/>
  <c r="L180" i="1" l="1"/>
  <c r="D180" i="1"/>
  <c r="D181" i="1"/>
  <c r="L181" i="1"/>
  <c r="L179" i="1" l="1"/>
  <c r="D179" i="1"/>
  <c r="L177" i="1"/>
  <c r="D177" i="1"/>
  <c r="L178" i="1" l="1"/>
  <c r="D178" i="1"/>
  <c r="L176" i="1" l="1"/>
  <c r="D176" i="1"/>
  <c r="L175" i="1" l="1"/>
  <c r="D175" i="1"/>
  <c r="L174" i="1"/>
  <c r="D174" i="1"/>
  <c r="L171" i="1"/>
  <c r="D171" i="1"/>
  <c r="L168" i="1" l="1"/>
  <c r="D168" i="1"/>
  <c r="L166" i="1"/>
  <c r="D166" i="1"/>
  <c r="L164" i="1"/>
  <c r="D164" i="1"/>
  <c r="B423" i="11" l="1"/>
  <c r="C423" i="11"/>
  <c r="D423" i="11"/>
  <c r="E423" i="11"/>
  <c r="F423" i="11"/>
  <c r="G423" i="11"/>
  <c r="H423" i="11"/>
  <c r="I423" i="11"/>
  <c r="B424" i="11"/>
  <c r="C424" i="11"/>
  <c r="D424" i="11"/>
  <c r="E424" i="11"/>
  <c r="F424" i="11"/>
  <c r="G424" i="11"/>
  <c r="H424" i="11"/>
  <c r="I424" i="11"/>
  <c r="B425" i="11"/>
  <c r="C425" i="11"/>
  <c r="D425" i="11"/>
  <c r="E425" i="11"/>
  <c r="F425" i="11"/>
  <c r="G425" i="11"/>
  <c r="H425" i="11"/>
  <c r="I425" i="11"/>
  <c r="B426" i="11"/>
  <c r="C426" i="11"/>
  <c r="D426" i="11"/>
  <c r="E426" i="11"/>
  <c r="F426" i="11"/>
  <c r="G426" i="11"/>
  <c r="H426" i="11"/>
  <c r="I426" i="11"/>
  <c r="B427" i="11"/>
  <c r="C427" i="11"/>
  <c r="D427" i="11"/>
  <c r="E427" i="11"/>
  <c r="F427" i="11"/>
  <c r="G427" i="11"/>
  <c r="H427" i="11"/>
  <c r="I427" i="11"/>
  <c r="B428" i="11"/>
  <c r="C428" i="11"/>
  <c r="D428" i="11"/>
  <c r="E428" i="11"/>
  <c r="F428" i="11"/>
  <c r="G428" i="11"/>
  <c r="H428" i="11"/>
  <c r="I428" i="11"/>
  <c r="B429" i="11"/>
  <c r="C429" i="11"/>
  <c r="D429" i="11"/>
  <c r="E429" i="11"/>
  <c r="F429" i="11"/>
  <c r="G429" i="11"/>
  <c r="H429" i="11"/>
  <c r="I429" i="11"/>
  <c r="B430" i="11"/>
  <c r="C430" i="11"/>
  <c r="D430" i="11"/>
  <c r="E430" i="11"/>
  <c r="F430" i="11"/>
  <c r="G430" i="11"/>
  <c r="H430" i="11"/>
  <c r="I430" i="11"/>
  <c r="B431" i="11"/>
  <c r="C431" i="11"/>
  <c r="D431" i="11"/>
  <c r="E431" i="11"/>
  <c r="F431" i="11"/>
  <c r="G431" i="11"/>
  <c r="H431" i="11"/>
  <c r="I431" i="11"/>
  <c r="B384" i="11"/>
  <c r="C384" i="11"/>
  <c r="D384" i="11"/>
  <c r="E384" i="11"/>
  <c r="F384" i="11"/>
  <c r="G384" i="11"/>
  <c r="H384" i="11"/>
  <c r="I384" i="11"/>
  <c r="B385" i="11"/>
  <c r="C385" i="11"/>
  <c r="D385" i="11"/>
  <c r="E385" i="11"/>
  <c r="F385" i="11"/>
  <c r="G385" i="11"/>
  <c r="H385" i="11"/>
  <c r="I385" i="11"/>
  <c r="B386" i="11"/>
  <c r="C386" i="11"/>
  <c r="D386" i="11"/>
  <c r="E386" i="11"/>
  <c r="F386" i="11"/>
  <c r="G386" i="11"/>
  <c r="H386" i="11"/>
  <c r="I386" i="11"/>
  <c r="B387" i="11"/>
  <c r="C387" i="11"/>
  <c r="D387" i="11"/>
  <c r="E387" i="11"/>
  <c r="F387" i="11"/>
  <c r="G387" i="11"/>
  <c r="H387" i="11"/>
  <c r="I387" i="11"/>
  <c r="B388" i="11"/>
  <c r="C388" i="11"/>
  <c r="D388" i="11"/>
  <c r="E388" i="11"/>
  <c r="F388" i="11"/>
  <c r="G388" i="11"/>
  <c r="H388" i="11"/>
  <c r="I388" i="11"/>
  <c r="B389" i="11"/>
  <c r="C389" i="11"/>
  <c r="D389" i="11"/>
  <c r="E389" i="11"/>
  <c r="F389" i="11"/>
  <c r="G389" i="11"/>
  <c r="H389" i="11"/>
  <c r="I389" i="11"/>
  <c r="B390" i="11"/>
  <c r="C390" i="11"/>
  <c r="D390" i="11"/>
  <c r="E390" i="11"/>
  <c r="F390" i="11"/>
  <c r="G390" i="11"/>
  <c r="H390" i="11"/>
  <c r="I390" i="11"/>
  <c r="B391" i="11"/>
  <c r="C391" i="11"/>
  <c r="D391" i="11"/>
  <c r="E391" i="11"/>
  <c r="F391" i="11"/>
  <c r="G391" i="11"/>
  <c r="H391" i="11"/>
  <c r="I391" i="11"/>
  <c r="B392" i="11"/>
  <c r="C392" i="11"/>
  <c r="D392" i="11"/>
  <c r="E392" i="11"/>
  <c r="F392" i="11"/>
  <c r="G392" i="11"/>
  <c r="H392" i="11"/>
  <c r="I392" i="11"/>
  <c r="B393" i="11"/>
  <c r="C393" i="11"/>
  <c r="D393" i="11"/>
  <c r="E393" i="11"/>
  <c r="F393" i="11"/>
  <c r="G393" i="11"/>
  <c r="H393" i="11"/>
  <c r="I393" i="11"/>
  <c r="B394" i="11"/>
  <c r="C394" i="11"/>
  <c r="D394" i="11"/>
  <c r="E394" i="11"/>
  <c r="F394" i="11"/>
  <c r="G394" i="11"/>
  <c r="H394" i="11"/>
  <c r="I394" i="11"/>
  <c r="B395" i="11"/>
  <c r="C395" i="11"/>
  <c r="D395" i="11"/>
  <c r="E395" i="11"/>
  <c r="G395" i="11"/>
  <c r="H395" i="11"/>
  <c r="I395" i="11"/>
  <c r="B396" i="11"/>
  <c r="C396" i="11"/>
  <c r="D396" i="11"/>
  <c r="E396" i="11"/>
  <c r="F396" i="11"/>
  <c r="G396" i="11"/>
  <c r="H396" i="11"/>
  <c r="I396" i="11"/>
  <c r="B397" i="11"/>
  <c r="C397" i="11"/>
  <c r="D397" i="11"/>
  <c r="E397" i="11"/>
  <c r="F397" i="11"/>
  <c r="G397" i="11"/>
  <c r="H397" i="11"/>
  <c r="I397" i="11"/>
  <c r="B398" i="11"/>
  <c r="C398" i="11"/>
  <c r="D398" i="11"/>
  <c r="E398" i="11"/>
  <c r="F398" i="11"/>
  <c r="G398" i="11"/>
  <c r="H398" i="11"/>
  <c r="I398" i="11"/>
  <c r="B399" i="11"/>
  <c r="C399" i="11"/>
  <c r="D399" i="11"/>
  <c r="E399" i="11"/>
  <c r="F399" i="11"/>
  <c r="G399" i="11"/>
  <c r="H399" i="11"/>
  <c r="I399" i="11"/>
  <c r="B400" i="11"/>
  <c r="C400" i="11"/>
  <c r="D400" i="11"/>
  <c r="E400" i="11"/>
  <c r="F400" i="11"/>
  <c r="G400" i="11"/>
  <c r="H400" i="11"/>
  <c r="I400" i="11"/>
  <c r="B401" i="11"/>
  <c r="C401" i="11"/>
  <c r="D401" i="11"/>
  <c r="E401" i="11"/>
  <c r="F401" i="11"/>
  <c r="G401" i="11"/>
  <c r="H401" i="11"/>
  <c r="I401" i="11"/>
  <c r="B402" i="11"/>
  <c r="C402" i="11"/>
  <c r="D402" i="11"/>
  <c r="E402" i="11"/>
  <c r="F402" i="11"/>
  <c r="G402" i="11"/>
  <c r="H402" i="11"/>
  <c r="I402" i="11"/>
  <c r="B403" i="11"/>
  <c r="C403" i="11"/>
  <c r="D403" i="11"/>
  <c r="E403" i="11"/>
  <c r="F403" i="11"/>
  <c r="G403" i="11"/>
  <c r="H403" i="11"/>
  <c r="I403" i="11"/>
  <c r="B404" i="11"/>
  <c r="C404" i="11"/>
  <c r="D404" i="11"/>
  <c r="E404" i="11"/>
  <c r="F404" i="11"/>
  <c r="G404" i="11"/>
  <c r="H404" i="11"/>
  <c r="I404" i="11"/>
  <c r="B405" i="11"/>
  <c r="C405" i="11"/>
  <c r="D405" i="11"/>
  <c r="E405" i="11"/>
  <c r="F405" i="11"/>
  <c r="G405" i="11"/>
  <c r="H405" i="11"/>
  <c r="I405" i="11"/>
  <c r="B406" i="11"/>
  <c r="C406" i="11"/>
  <c r="D406" i="11"/>
  <c r="E406" i="11"/>
  <c r="F406" i="11"/>
  <c r="G406" i="11"/>
  <c r="H406" i="11"/>
  <c r="I406" i="11"/>
  <c r="B407" i="11"/>
  <c r="C407" i="11"/>
  <c r="D407" i="11"/>
  <c r="E407" i="11"/>
  <c r="F407" i="11"/>
  <c r="G407" i="11"/>
  <c r="H407" i="11"/>
  <c r="I407" i="11"/>
  <c r="B408" i="11"/>
  <c r="C408" i="11"/>
  <c r="D408" i="11"/>
  <c r="E408" i="11"/>
  <c r="F408" i="11"/>
  <c r="G408" i="11"/>
  <c r="H408" i="11"/>
  <c r="I408" i="11"/>
  <c r="B409" i="11"/>
  <c r="C409" i="11"/>
  <c r="D409" i="11"/>
  <c r="E409" i="11"/>
  <c r="F409" i="11"/>
  <c r="G409" i="11"/>
  <c r="H409" i="11"/>
  <c r="I409" i="11"/>
  <c r="B410" i="11"/>
  <c r="C410" i="11"/>
  <c r="D410" i="11"/>
  <c r="E410" i="11"/>
  <c r="F410" i="11"/>
  <c r="G410" i="11"/>
  <c r="H410" i="11"/>
  <c r="I410" i="11"/>
  <c r="B411" i="11"/>
  <c r="C411" i="11"/>
  <c r="D411" i="11"/>
  <c r="E411" i="11"/>
  <c r="F411" i="11"/>
  <c r="G411" i="11"/>
  <c r="H411" i="11"/>
  <c r="I411" i="11"/>
  <c r="B412" i="11"/>
  <c r="C412" i="11"/>
  <c r="D412" i="11"/>
  <c r="E412" i="11"/>
  <c r="F412" i="11"/>
  <c r="G412" i="11"/>
  <c r="H412" i="11"/>
  <c r="I412" i="11"/>
  <c r="B413" i="11"/>
  <c r="C413" i="11"/>
  <c r="D413" i="11"/>
  <c r="E413" i="11"/>
  <c r="F413" i="11"/>
  <c r="G413" i="11"/>
  <c r="H413" i="11"/>
  <c r="I413" i="11"/>
  <c r="B414" i="11"/>
  <c r="C414" i="11"/>
  <c r="D414" i="11"/>
  <c r="E414" i="11"/>
  <c r="F414" i="11"/>
  <c r="G414" i="11"/>
  <c r="H414" i="11"/>
  <c r="I414" i="11"/>
  <c r="B415" i="11"/>
  <c r="C415" i="11"/>
  <c r="D415" i="11"/>
  <c r="E415" i="11"/>
  <c r="F415" i="11"/>
  <c r="G415" i="11"/>
  <c r="H415" i="11"/>
  <c r="I415" i="11"/>
  <c r="B416" i="11"/>
  <c r="C416" i="11"/>
  <c r="D416" i="11"/>
  <c r="E416" i="11"/>
  <c r="F416" i="11"/>
  <c r="G416" i="11"/>
  <c r="H416" i="11"/>
  <c r="I416" i="11"/>
  <c r="B417" i="11"/>
  <c r="C417" i="11"/>
  <c r="D417" i="11"/>
  <c r="E417" i="11"/>
  <c r="F417" i="11"/>
  <c r="G417" i="11"/>
  <c r="H417" i="11"/>
  <c r="I417" i="11"/>
  <c r="B418" i="11"/>
  <c r="C418" i="11"/>
  <c r="D418" i="11"/>
  <c r="E418" i="11"/>
  <c r="F418" i="11"/>
  <c r="G418" i="11"/>
  <c r="H418" i="11"/>
  <c r="I418" i="11"/>
  <c r="B419" i="11"/>
  <c r="C419" i="11"/>
  <c r="D419" i="11"/>
  <c r="E419" i="11"/>
  <c r="F419" i="11"/>
  <c r="G419" i="11"/>
  <c r="H419" i="11"/>
  <c r="I419" i="11"/>
  <c r="B420" i="11"/>
  <c r="C420" i="11"/>
  <c r="D420" i="11"/>
  <c r="E420" i="11"/>
  <c r="F420" i="11"/>
  <c r="G420" i="11"/>
  <c r="H420" i="11"/>
  <c r="I420" i="11"/>
  <c r="B421" i="11"/>
  <c r="C421" i="11"/>
  <c r="D421" i="11"/>
  <c r="E421" i="11"/>
  <c r="F421" i="11"/>
  <c r="G421" i="11"/>
  <c r="H421" i="11"/>
  <c r="I421" i="11"/>
  <c r="B422" i="11"/>
  <c r="C422" i="11"/>
  <c r="D422" i="11"/>
  <c r="E422" i="11"/>
  <c r="F422" i="11"/>
  <c r="G422" i="11"/>
  <c r="H422" i="11"/>
  <c r="I422" i="11"/>
  <c r="L154" i="1"/>
  <c r="D154" i="1"/>
  <c r="L153" i="1"/>
  <c r="D153" i="1"/>
  <c r="O394" i="11" l="1"/>
  <c r="O393" i="11"/>
  <c r="O392" i="11"/>
  <c r="O391" i="11"/>
  <c r="O390" i="11"/>
  <c r="O389" i="11"/>
  <c r="O388" i="11"/>
  <c r="O387" i="11"/>
  <c r="O386" i="11"/>
  <c r="O385" i="11"/>
  <c r="O384" i="11"/>
  <c r="O431" i="11"/>
  <c r="O430" i="11"/>
  <c r="O429" i="11"/>
  <c r="O428" i="11"/>
  <c r="O427" i="11"/>
  <c r="O426" i="11"/>
  <c r="O425" i="11"/>
  <c r="O424" i="11"/>
  <c r="O423" i="11"/>
  <c r="O422" i="11"/>
  <c r="O421" i="11"/>
  <c r="O420" i="11"/>
  <c r="O419" i="11"/>
  <c r="O418" i="11"/>
  <c r="O417" i="11"/>
  <c r="O416" i="11"/>
  <c r="O415" i="11"/>
  <c r="O414" i="11"/>
  <c r="O413" i="11"/>
  <c r="O412" i="11"/>
  <c r="O411" i="11"/>
  <c r="O410" i="11"/>
  <c r="O409" i="11"/>
  <c r="O408" i="11"/>
  <c r="O407" i="11"/>
  <c r="O406" i="11"/>
  <c r="O405" i="11"/>
  <c r="O404" i="11"/>
  <c r="O403" i="11"/>
  <c r="O402" i="11"/>
  <c r="O401" i="11"/>
  <c r="O400" i="11"/>
  <c r="O399" i="11"/>
  <c r="O398" i="11"/>
  <c r="O397" i="11"/>
  <c r="O396" i="11"/>
  <c r="L157" i="1"/>
  <c r="D157" i="1"/>
  <c r="L155" i="1"/>
  <c r="D155" i="1"/>
  <c r="L167" i="1" l="1"/>
  <c r="D167" i="1"/>
  <c r="L165" i="1"/>
  <c r="D165" i="1"/>
  <c r="L156" i="1"/>
  <c r="D156" i="1"/>
  <c r="L169" i="1" l="1"/>
  <c r="D169" i="1"/>
  <c r="L149" i="1" l="1"/>
  <c r="D149" i="1"/>
  <c r="L151" i="1"/>
  <c r="D151" i="1"/>
  <c r="L160" i="1" l="1"/>
  <c r="N353" i="11" s="1"/>
  <c r="D160" i="1"/>
  <c r="L152" i="1"/>
  <c r="D152" i="1"/>
  <c r="L162" i="1"/>
  <c r="D162" i="1"/>
  <c r="L161" i="1"/>
  <c r="D161" i="1"/>
  <c r="L170" i="1"/>
  <c r="D170" i="1"/>
  <c r="L163" i="1"/>
  <c r="N354" i="11" s="1"/>
  <c r="D163" i="1"/>
  <c r="N2" i="11" l="1"/>
  <c r="L147" i="1"/>
  <c r="D147" i="1"/>
  <c r="L148" i="1"/>
  <c r="D148" i="1"/>
  <c r="L146" i="1" l="1"/>
  <c r="D146" i="1"/>
  <c r="L143" i="1" l="1"/>
  <c r="D143" i="1"/>
  <c r="L142" i="1"/>
  <c r="D142" i="1"/>
  <c r="L140" i="1"/>
  <c r="D140" i="1"/>
  <c r="L138" i="1"/>
  <c r="D138" i="1"/>
  <c r="D141" i="1"/>
  <c r="L141" i="1"/>
  <c r="L139" i="1"/>
  <c r="D139" i="1"/>
  <c r="L137" i="1"/>
  <c r="D137" i="1"/>
  <c r="L145" i="1"/>
  <c r="D145" i="1"/>
  <c r="L144" i="1"/>
  <c r="D144" i="1"/>
  <c r="L132" i="1"/>
  <c r="D132" i="1"/>
  <c r="L131" i="1"/>
  <c r="D131" i="1"/>
  <c r="L136" i="1"/>
  <c r="D136" i="1"/>
  <c r="L135" i="1"/>
  <c r="D135" i="1"/>
  <c r="L134" i="1" l="1"/>
  <c r="D134" i="1"/>
  <c r="L150" i="1" l="1"/>
  <c r="D150" i="1"/>
  <c r="F395" i="11" l="1"/>
  <c r="O395" i="11" s="1"/>
  <c r="L130" i="1" l="1"/>
  <c r="D130" i="1"/>
  <c r="L173" i="1"/>
  <c r="D173" i="1"/>
  <c r="L172" i="1"/>
  <c r="D172" i="1"/>
  <c r="L129" i="1"/>
  <c r="D129" i="1"/>
  <c r="L128" i="1"/>
  <c r="D128" i="1"/>
  <c r="L122" i="1" l="1"/>
  <c r="D122" i="1"/>
  <c r="L119" i="1" l="1"/>
  <c r="D119" i="1"/>
  <c r="L123" i="1" l="1"/>
  <c r="D123" i="1"/>
  <c r="L121" i="1"/>
  <c r="D121" i="1"/>
  <c r="L113" i="1" l="1"/>
  <c r="D113" i="1"/>
  <c r="L159" i="1"/>
  <c r="D159" i="1"/>
  <c r="L158" i="1"/>
  <c r="D158" i="1"/>
  <c r="L133" i="1"/>
  <c r="D133" i="1"/>
  <c r="L111" i="1" l="1"/>
  <c r="D111" i="1"/>
  <c r="L110" i="1"/>
  <c r="D110" i="1"/>
  <c r="L108" i="1"/>
  <c r="D108" i="1"/>
  <c r="L106" i="1"/>
  <c r="D106" i="1"/>
  <c r="L109" i="1"/>
  <c r="L107" i="1"/>
  <c r="D109" i="1"/>
  <c r="D107" i="1"/>
  <c r="L105" i="1"/>
  <c r="D105" i="1"/>
  <c r="L112" i="1" l="1"/>
  <c r="D112" i="1"/>
  <c r="L104" i="1" l="1"/>
  <c r="D104" i="1"/>
  <c r="L103" i="1"/>
  <c r="D103" i="1"/>
  <c r="L102" i="1"/>
  <c r="D102" i="1"/>
  <c r="L101" i="1"/>
  <c r="D101" i="1"/>
  <c r="L98" i="1" l="1"/>
  <c r="D98" i="1"/>
  <c r="L95" i="1" l="1"/>
  <c r="D95" i="1"/>
  <c r="L127" i="1" l="1"/>
  <c r="D127" i="1"/>
  <c r="L125" i="1"/>
  <c r="D125" i="1"/>
  <c r="L126" i="1"/>
  <c r="D126" i="1"/>
  <c r="L124" i="1"/>
  <c r="D124" i="1"/>
  <c r="L117" i="1"/>
  <c r="D117" i="1"/>
  <c r="L115" i="1"/>
  <c r="D115" i="1"/>
  <c r="L116" i="1"/>
  <c r="D116" i="1"/>
  <c r="L114" i="1"/>
  <c r="D114" i="1"/>
  <c r="L97" i="1"/>
  <c r="D97" i="1"/>
  <c r="L96" i="1"/>
  <c r="D96" i="1"/>
  <c r="L120" i="1" l="1"/>
  <c r="D120" i="1"/>
  <c r="L118" i="1"/>
  <c r="D118" i="1"/>
  <c r="L100" i="1"/>
  <c r="D100" i="1"/>
  <c r="L99" i="1"/>
  <c r="D99" i="1"/>
  <c r="L92" i="1"/>
  <c r="D92" i="1"/>
  <c r="I383" i="11" l="1"/>
  <c r="I382" i="11"/>
  <c r="I381" i="11"/>
  <c r="I380" i="11"/>
  <c r="I379" i="11"/>
  <c r="I378" i="11"/>
  <c r="I377" i="11"/>
  <c r="I376" i="11"/>
  <c r="I375" i="11"/>
  <c r="I374" i="11"/>
  <c r="I373" i="11"/>
  <c r="I372" i="11"/>
  <c r="I371" i="11"/>
  <c r="I370" i="11"/>
  <c r="I369" i="11"/>
  <c r="I368" i="11"/>
  <c r="I367" i="11"/>
  <c r="I366" i="11"/>
  <c r="I365" i="11"/>
  <c r="I364" i="11"/>
  <c r="I363" i="11"/>
  <c r="I362" i="11"/>
  <c r="I361" i="11"/>
  <c r="I360" i="11"/>
  <c r="I359" i="11"/>
  <c r="I358" i="11"/>
  <c r="I357" i="11"/>
  <c r="I356" i="11"/>
  <c r="I355" i="11"/>
  <c r="I354" i="11"/>
  <c r="I353" i="11"/>
  <c r="I352" i="11"/>
  <c r="I351" i="11"/>
  <c r="I350" i="11"/>
  <c r="I349" i="11"/>
  <c r="I348" i="11"/>
  <c r="I347" i="11"/>
  <c r="I346" i="11"/>
  <c r="I345" i="11"/>
  <c r="I344" i="11"/>
  <c r="I343" i="11"/>
  <c r="I342" i="11"/>
  <c r="I341" i="11"/>
  <c r="I340" i="11"/>
  <c r="I339" i="11"/>
  <c r="I338" i="11"/>
  <c r="I337" i="11"/>
  <c r="I336" i="11"/>
  <c r="I335" i="11"/>
  <c r="I334" i="11"/>
  <c r="I333" i="11"/>
  <c r="I332" i="11"/>
  <c r="I331" i="11"/>
  <c r="I330" i="11"/>
  <c r="I329" i="11"/>
  <c r="I328" i="11"/>
  <c r="I327" i="11"/>
  <c r="I326" i="11"/>
  <c r="I325" i="11"/>
  <c r="I324" i="11"/>
  <c r="I323" i="11"/>
  <c r="I322" i="11"/>
  <c r="I321" i="11"/>
  <c r="I320" i="11"/>
  <c r="I319" i="11"/>
  <c r="I318" i="11"/>
  <c r="I317" i="11"/>
  <c r="I316" i="11"/>
  <c r="I315" i="11"/>
  <c r="I314" i="11"/>
  <c r="I313" i="11"/>
  <c r="I312" i="11"/>
  <c r="I311" i="11"/>
  <c r="I310" i="11"/>
  <c r="I309" i="11"/>
  <c r="I308" i="11"/>
  <c r="I307" i="11"/>
  <c r="I306" i="11"/>
  <c r="I305" i="11"/>
  <c r="I304" i="11"/>
  <c r="I303" i="11"/>
  <c r="I302" i="11"/>
  <c r="I301" i="11"/>
  <c r="I300" i="11"/>
  <c r="I299" i="11"/>
  <c r="I298" i="11"/>
  <c r="I297" i="11"/>
  <c r="I296" i="11"/>
  <c r="I295" i="11"/>
  <c r="I294" i="11"/>
  <c r="I293" i="11"/>
  <c r="I292" i="11"/>
  <c r="I291" i="11"/>
  <c r="I290" i="11"/>
  <c r="I289" i="11"/>
  <c r="I288" i="11"/>
  <c r="I287" i="11"/>
  <c r="I286" i="11"/>
  <c r="I285" i="11"/>
  <c r="I284" i="11"/>
  <c r="I283" i="11"/>
  <c r="I282" i="11"/>
  <c r="I281" i="11"/>
  <c r="I280" i="11"/>
  <c r="I279" i="11"/>
  <c r="I278" i="11"/>
  <c r="I277" i="11"/>
  <c r="I276" i="11"/>
  <c r="I275" i="11"/>
  <c r="I274" i="11"/>
  <c r="I273" i="11"/>
  <c r="I272" i="11"/>
  <c r="I271" i="11"/>
  <c r="I270" i="11"/>
  <c r="I269" i="11"/>
  <c r="I268" i="11"/>
  <c r="I267" i="11"/>
  <c r="I266" i="11"/>
  <c r="I265" i="11"/>
  <c r="I264" i="11"/>
  <c r="I263" i="11"/>
  <c r="I262" i="11"/>
  <c r="I261" i="11"/>
  <c r="I260" i="11"/>
  <c r="I259" i="11"/>
  <c r="I258" i="11"/>
  <c r="I257" i="11"/>
  <c r="I256" i="11"/>
  <c r="I255" i="11"/>
  <c r="I254" i="11"/>
  <c r="I253" i="11"/>
  <c r="I252" i="11"/>
  <c r="I251" i="11"/>
  <c r="I250" i="11"/>
  <c r="I249" i="11"/>
  <c r="I248" i="11"/>
  <c r="I247" i="11"/>
  <c r="I246" i="11"/>
  <c r="I245" i="11"/>
  <c r="I244" i="11"/>
  <c r="I243" i="11"/>
  <c r="I242" i="11"/>
  <c r="I241" i="11"/>
  <c r="I240" i="11"/>
  <c r="I239" i="11"/>
  <c r="I238" i="11"/>
  <c r="I237" i="11"/>
  <c r="I236" i="11"/>
  <c r="I235" i="11"/>
  <c r="I234" i="11"/>
  <c r="I233" i="11"/>
  <c r="I232" i="11"/>
  <c r="I231" i="11"/>
  <c r="I230" i="11"/>
  <c r="I229" i="11"/>
  <c r="I228" i="11"/>
  <c r="I227" i="11"/>
  <c r="I226" i="11"/>
  <c r="I225" i="11"/>
  <c r="I224" i="11"/>
  <c r="I223" i="11"/>
  <c r="I222" i="11"/>
  <c r="I221" i="11"/>
  <c r="I220" i="11"/>
  <c r="I219" i="11"/>
  <c r="I218" i="11"/>
  <c r="I217" i="11"/>
  <c r="I216" i="11"/>
  <c r="I215" i="11"/>
  <c r="I214" i="11"/>
  <c r="I213" i="11"/>
  <c r="I212" i="11"/>
  <c r="I211" i="11"/>
  <c r="I210" i="11"/>
  <c r="I209" i="11"/>
  <c r="I208" i="11"/>
  <c r="I207" i="11"/>
  <c r="I206" i="11"/>
  <c r="I205" i="11"/>
  <c r="I204" i="11"/>
  <c r="I203" i="11"/>
  <c r="I202" i="11"/>
  <c r="I201" i="11"/>
  <c r="I200" i="11"/>
  <c r="I199" i="11"/>
  <c r="I198" i="11"/>
  <c r="I197" i="11"/>
  <c r="I196" i="11"/>
  <c r="I195" i="11"/>
  <c r="I194" i="11"/>
  <c r="I193" i="11"/>
  <c r="I192" i="11"/>
  <c r="I191" i="11"/>
  <c r="I190" i="11"/>
  <c r="I189" i="11"/>
  <c r="I188" i="11"/>
  <c r="I187" i="11"/>
  <c r="I186" i="11"/>
  <c r="I185" i="11"/>
  <c r="I184" i="11"/>
  <c r="I183" i="11"/>
  <c r="I182" i="11"/>
  <c r="I181" i="11"/>
  <c r="I180" i="11"/>
  <c r="I179" i="11"/>
  <c r="I178" i="11"/>
  <c r="I177" i="11"/>
  <c r="I176" i="11"/>
  <c r="I175" i="11"/>
  <c r="I174" i="11"/>
  <c r="I173" i="11"/>
  <c r="I172" i="11"/>
  <c r="I171" i="11"/>
  <c r="I170" i="11"/>
  <c r="I169" i="11"/>
  <c r="I168" i="11"/>
  <c r="I167" i="11"/>
  <c r="I166" i="11"/>
  <c r="I165" i="11"/>
  <c r="I164" i="11"/>
  <c r="I163" i="11"/>
  <c r="I162" i="11"/>
  <c r="I161" i="11"/>
  <c r="I160" i="11"/>
  <c r="I159" i="11"/>
  <c r="I158" i="11"/>
  <c r="I157" i="11"/>
  <c r="I156" i="11"/>
  <c r="I155" i="11"/>
  <c r="I154" i="11"/>
  <c r="I153" i="11"/>
  <c r="I152" i="11"/>
  <c r="I151" i="11"/>
  <c r="I150" i="11"/>
  <c r="I149" i="11"/>
  <c r="I148" i="11"/>
  <c r="I147" i="11"/>
  <c r="I146" i="11"/>
  <c r="I145" i="11"/>
  <c r="I144" i="11"/>
  <c r="I143" i="11"/>
  <c r="I142" i="11"/>
  <c r="I141" i="11"/>
  <c r="I140" i="11"/>
  <c r="I139" i="11"/>
  <c r="I138" i="11"/>
  <c r="I137" i="11"/>
  <c r="I136" i="11"/>
  <c r="I135" i="11"/>
  <c r="I134" i="11"/>
  <c r="I133" i="11"/>
  <c r="I132" i="11"/>
  <c r="I131" i="11"/>
  <c r="I130" i="11"/>
  <c r="I129" i="11"/>
  <c r="I128" i="11"/>
  <c r="I127" i="11"/>
  <c r="I126" i="11"/>
  <c r="I125" i="11"/>
  <c r="I124" i="11"/>
  <c r="I123" i="11"/>
  <c r="I122" i="11"/>
  <c r="I121" i="11"/>
  <c r="I120" i="11"/>
  <c r="I119" i="11"/>
  <c r="I118" i="11"/>
  <c r="I117" i="11"/>
  <c r="I116" i="11"/>
  <c r="I115" i="11"/>
  <c r="I114" i="11"/>
  <c r="I113" i="11"/>
  <c r="I112" i="11"/>
  <c r="I111" i="11"/>
  <c r="I110" i="11"/>
  <c r="I109" i="11"/>
  <c r="I108" i="11"/>
  <c r="I107" i="11"/>
  <c r="I106" i="11"/>
  <c r="I105"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I33" i="11"/>
  <c r="I32" i="11"/>
  <c r="I31" i="11"/>
  <c r="I30" i="11"/>
  <c r="I29" i="11"/>
  <c r="I28" i="11"/>
  <c r="I27" i="11"/>
  <c r="I26" i="11"/>
  <c r="I25" i="11"/>
  <c r="I24" i="11"/>
  <c r="I23" i="11"/>
  <c r="I22" i="11"/>
  <c r="I21" i="11"/>
  <c r="I20" i="11"/>
  <c r="I19" i="11"/>
  <c r="I18" i="11"/>
  <c r="I17" i="11"/>
  <c r="I16" i="11"/>
  <c r="I15" i="11"/>
  <c r="I14" i="11"/>
  <c r="I13" i="11"/>
  <c r="I12" i="11"/>
  <c r="I11" i="11"/>
  <c r="I10" i="11"/>
  <c r="I9" i="11"/>
  <c r="I8" i="11"/>
  <c r="I7" i="11"/>
  <c r="I6" i="11"/>
  <c r="I5" i="11"/>
  <c r="I4" i="11"/>
  <c r="I3" i="11"/>
  <c r="I2" i="11" l="1"/>
  <c r="L93" i="1"/>
  <c r="D93" i="1"/>
  <c r="F204" i="11" l="1"/>
  <c r="F205" i="11"/>
  <c r="F206"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99" i="11"/>
  <c r="F300" i="11"/>
  <c r="F301" i="11"/>
  <c r="F302" i="11"/>
  <c r="F303" i="11"/>
  <c r="F304" i="11"/>
  <c r="F305" i="11"/>
  <c r="F306" i="11"/>
  <c r="F307" i="11"/>
  <c r="F308" i="11"/>
  <c r="F309" i="11"/>
  <c r="F310" i="11"/>
  <c r="F311" i="11"/>
  <c r="F312" i="11"/>
  <c r="F313" i="11"/>
  <c r="F314" i="11"/>
  <c r="F315" i="11"/>
  <c r="F316" i="11"/>
  <c r="F317" i="11"/>
  <c r="F318" i="11"/>
  <c r="F319" i="11"/>
  <c r="F320" i="11"/>
  <c r="F321" i="11"/>
  <c r="F322" i="11"/>
  <c r="F323" i="11"/>
  <c r="F324" i="11"/>
  <c r="F325" i="11"/>
  <c r="F326" i="11"/>
  <c r="F327" i="11"/>
  <c r="F328" i="11"/>
  <c r="F329" i="11"/>
  <c r="F330" i="11"/>
  <c r="F331" i="11"/>
  <c r="F332" i="11"/>
  <c r="F333" i="11"/>
  <c r="F334" i="11"/>
  <c r="F335" i="11"/>
  <c r="F336" i="11"/>
  <c r="F337" i="11"/>
  <c r="F338" i="11"/>
  <c r="F339" i="11"/>
  <c r="F340" i="11"/>
  <c r="F341" i="11"/>
  <c r="F342" i="11"/>
  <c r="F343" i="11"/>
  <c r="F344" i="11"/>
  <c r="F345" i="11"/>
  <c r="F346" i="11"/>
  <c r="F347" i="11"/>
  <c r="F348" i="11"/>
  <c r="F349" i="11"/>
  <c r="F350" i="11"/>
  <c r="F351" i="11"/>
  <c r="F352" i="11"/>
  <c r="F353" i="11"/>
  <c r="F354" i="11"/>
  <c r="F355" i="11"/>
  <c r="F356" i="11"/>
  <c r="F357" i="11"/>
  <c r="F358" i="11"/>
  <c r="F359" i="11"/>
  <c r="F360" i="11"/>
  <c r="F361" i="11"/>
  <c r="F362" i="11"/>
  <c r="F363" i="11"/>
  <c r="F364" i="11"/>
  <c r="F365" i="11"/>
  <c r="F366" i="11"/>
  <c r="F367" i="11"/>
  <c r="F368" i="11"/>
  <c r="F369" i="11"/>
  <c r="F370" i="11"/>
  <c r="F371" i="11"/>
  <c r="F372" i="11"/>
  <c r="F373" i="11"/>
  <c r="F374" i="11"/>
  <c r="F375" i="11"/>
  <c r="F376" i="11"/>
  <c r="F377" i="11"/>
  <c r="F378" i="11"/>
  <c r="F379" i="11"/>
  <c r="F380" i="11"/>
  <c r="F381" i="11"/>
  <c r="F382" i="11"/>
  <c r="F383" i="11"/>
  <c r="L91" i="1"/>
  <c r="D91" i="1"/>
  <c r="L89" i="1" l="1"/>
  <c r="D89" i="1"/>
  <c r="L90" i="1"/>
  <c r="F207" i="11" s="1"/>
  <c r="D90" i="1"/>
  <c r="L94" i="1" l="1"/>
  <c r="D94" i="1"/>
  <c r="L86" i="1"/>
  <c r="D86" i="1"/>
  <c r="L87" i="1" l="1"/>
  <c r="D87" i="1"/>
  <c r="L84" i="1" l="1"/>
  <c r="D84" i="1"/>
  <c r="L85" i="1"/>
  <c r="D85" i="1"/>
  <c r="L88" i="1" l="1"/>
  <c r="D88" i="1"/>
  <c r="L83" i="1" l="1"/>
  <c r="D83" i="1"/>
  <c r="L75" i="1" l="1"/>
  <c r="D75" i="1"/>
  <c r="L72" i="1"/>
  <c r="D72" i="1"/>
  <c r="L69" i="1"/>
  <c r="D69" i="1"/>
  <c r="L78" i="1" l="1"/>
  <c r="D78" i="1"/>
  <c r="L77" i="1"/>
  <c r="D77" i="1"/>
  <c r="L59" i="1" l="1"/>
  <c r="D59" i="1"/>
  <c r="L57" i="1"/>
  <c r="D57" i="1"/>
  <c r="L58" i="1"/>
  <c r="D58" i="1"/>
  <c r="L56" i="1"/>
  <c r="D56" i="1"/>
  <c r="L55" i="1"/>
  <c r="D55" i="1"/>
  <c r="L53" i="1"/>
  <c r="D53" i="1"/>
  <c r="L54" i="1"/>
  <c r="D54" i="1"/>
  <c r="L52" i="1"/>
  <c r="D52" i="1"/>
  <c r="L51" i="1"/>
  <c r="D51" i="1"/>
  <c r="L50" i="1"/>
  <c r="D50" i="1"/>
  <c r="L49" i="1"/>
  <c r="D49" i="1"/>
  <c r="L48" i="1"/>
  <c r="D48" i="1"/>
  <c r="L47" i="1"/>
  <c r="D47" i="1"/>
  <c r="L45" i="1" l="1"/>
  <c r="D45" i="1"/>
  <c r="L43" i="1"/>
  <c r="D43" i="1"/>
  <c r="L42" i="1"/>
  <c r="D42" i="1"/>
  <c r="L41" i="1"/>
  <c r="D41" i="1"/>
  <c r="L38" i="1"/>
  <c r="D38" i="1"/>
  <c r="L37" i="1"/>
  <c r="D37" i="1"/>
  <c r="L33" i="1" l="1"/>
  <c r="D33" i="1"/>
  <c r="L34" i="1"/>
  <c r="D34" i="1"/>
  <c r="L32" i="1"/>
  <c r="D32" i="1"/>
  <c r="L31" i="1"/>
  <c r="D31" i="1"/>
  <c r="L28" i="1" l="1"/>
  <c r="D28" i="1"/>
  <c r="L26" i="1"/>
  <c r="D26" i="1"/>
  <c r="L25" i="1"/>
  <c r="D25" i="1"/>
  <c r="L23" i="1"/>
  <c r="D23" i="1"/>
  <c r="L2" i="1"/>
  <c r="D2" i="1"/>
  <c r="L5" i="1"/>
  <c r="D5" i="1"/>
  <c r="L4" i="1"/>
  <c r="D4" i="1"/>
  <c r="L3" i="1"/>
  <c r="D3" i="1"/>
  <c r="L66" i="1" l="1"/>
  <c r="D66" i="1"/>
  <c r="L6" i="1"/>
  <c r="L7" i="1"/>
  <c r="L8" i="1"/>
  <c r="L9" i="1"/>
  <c r="L10" i="1"/>
  <c r="L11" i="1"/>
  <c r="L13" i="1"/>
  <c r="L14" i="1"/>
  <c r="L15" i="1"/>
  <c r="L16" i="1"/>
  <c r="L17" i="1"/>
  <c r="L18" i="1"/>
  <c r="L19" i="1"/>
  <c r="L20" i="1"/>
  <c r="L21" i="1"/>
  <c r="L22" i="1"/>
  <c r="L24" i="1"/>
  <c r="L27" i="1"/>
  <c r="L29" i="1"/>
  <c r="L30" i="1"/>
  <c r="L35" i="1"/>
  <c r="L36" i="1"/>
  <c r="L39" i="1"/>
  <c r="L40" i="1"/>
  <c r="L44" i="1"/>
  <c r="L46" i="1"/>
  <c r="L60" i="1"/>
  <c r="L61" i="1"/>
  <c r="L64" i="1"/>
  <c r="L65" i="1"/>
  <c r="L67" i="1"/>
  <c r="L68" i="1"/>
  <c r="L70" i="1"/>
  <c r="L71" i="1"/>
  <c r="L73" i="1"/>
  <c r="L74" i="1"/>
  <c r="L76" i="1"/>
  <c r="L79" i="1"/>
  <c r="L80" i="1"/>
  <c r="L81" i="1"/>
  <c r="L82" i="1"/>
  <c r="L62" i="1"/>
  <c r="L63" i="1"/>
  <c r="L12" i="1"/>
  <c r="D63" i="1"/>
  <c r="D62" i="1"/>
  <c r="H383" i="11" l="1"/>
  <c r="G383" i="11"/>
  <c r="E383" i="11"/>
  <c r="D383" i="11"/>
  <c r="C383" i="11"/>
  <c r="H382" i="11"/>
  <c r="G382" i="11"/>
  <c r="E382" i="11"/>
  <c r="D382" i="11"/>
  <c r="C382" i="11"/>
  <c r="H381" i="11"/>
  <c r="G381" i="11"/>
  <c r="E381" i="11"/>
  <c r="D381" i="11"/>
  <c r="C381" i="11"/>
  <c r="H380" i="11"/>
  <c r="G380" i="11"/>
  <c r="E380" i="11"/>
  <c r="D380" i="11"/>
  <c r="C380" i="11"/>
  <c r="H379" i="11"/>
  <c r="G379" i="11"/>
  <c r="E379" i="11"/>
  <c r="D379" i="11"/>
  <c r="C379" i="11"/>
  <c r="H378" i="11"/>
  <c r="G378" i="11"/>
  <c r="E378" i="11"/>
  <c r="D378" i="11"/>
  <c r="C378" i="11"/>
  <c r="H377" i="11"/>
  <c r="G377" i="11"/>
  <c r="E377" i="11"/>
  <c r="D377" i="11"/>
  <c r="C377" i="11"/>
  <c r="H376" i="11"/>
  <c r="G376" i="11"/>
  <c r="E376" i="11"/>
  <c r="D376" i="11"/>
  <c r="C376" i="11"/>
  <c r="H375" i="11"/>
  <c r="G375" i="11"/>
  <c r="E375" i="11"/>
  <c r="D375" i="11"/>
  <c r="C375" i="11"/>
  <c r="H374" i="11"/>
  <c r="G374" i="11"/>
  <c r="E374" i="11"/>
  <c r="D374" i="11"/>
  <c r="C374" i="11"/>
  <c r="H373" i="11"/>
  <c r="G373" i="11"/>
  <c r="E373" i="11"/>
  <c r="D373" i="11"/>
  <c r="C373" i="11"/>
  <c r="H372" i="11"/>
  <c r="G372" i="11"/>
  <c r="E372" i="11"/>
  <c r="D372" i="11"/>
  <c r="C372" i="11"/>
  <c r="H371" i="11"/>
  <c r="G371" i="11"/>
  <c r="E371" i="11"/>
  <c r="D371" i="11"/>
  <c r="C371" i="11"/>
  <c r="H370" i="11"/>
  <c r="G370" i="11"/>
  <c r="E370" i="11"/>
  <c r="D370" i="11"/>
  <c r="C370" i="11"/>
  <c r="H369" i="11"/>
  <c r="G369" i="11"/>
  <c r="E369" i="11"/>
  <c r="D369" i="11"/>
  <c r="C369" i="11"/>
  <c r="H368" i="11"/>
  <c r="G368" i="11"/>
  <c r="E368" i="11"/>
  <c r="D368" i="11"/>
  <c r="C368" i="11"/>
  <c r="H367" i="11"/>
  <c r="G367" i="11"/>
  <c r="E367" i="11"/>
  <c r="D367" i="11"/>
  <c r="C367" i="11"/>
  <c r="H366" i="11"/>
  <c r="G366" i="11"/>
  <c r="E366" i="11"/>
  <c r="D366" i="11"/>
  <c r="C366" i="11"/>
  <c r="H365" i="11"/>
  <c r="G365" i="11"/>
  <c r="E365" i="11"/>
  <c r="D365" i="11"/>
  <c r="C365" i="11"/>
  <c r="H364" i="11"/>
  <c r="G364" i="11"/>
  <c r="E364" i="11"/>
  <c r="D364" i="11"/>
  <c r="C364" i="11"/>
  <c r="H363" i="11"/>
  <c r="G363" i="11"/>
  <c r="E363" i="11"/>
  <c r="D363" i="11"/>
  <c r="C363" i="11"/>
  <c r="H362" i="11"/>
  <c r="G362" i="11"/>
  <c r="E362" i="11"/>
  <c r="D362" i="11"/>
  <c r="C362" i="11"/>
  <c r="H361" i="11"/>
  <c r="G361" i="11"/>
  <c r="E361" i="11"/>
  <c r="D361" i="11"/>
  <c r="C361" i="11"/>
  <c r="H360" i="11"/>
  <c r="G360" i="11"/>
  <c r="E360" i="11"/>
  <c r="D360" i="11"/>
  <c r="C360" i="11"/>
  <c r="H359" i="11"/>
  <c r="G359" i="11"/>
  <c r="E359" i="11"/>
  <c r="D359" i="11"/>
  <c r="C359" i="11"/>
  <c r="H358" i="11"/>
  <c r="G358" i="11"/>
  <c r="E358" i="11"/>
  <c r="D358" i="11"/>
  <c r="C358" i="11"/>
  <c r="H357" i="11"/>
  <c r="G357" i="11"/>
  <c r="E357" i="11"/>
  <c r="D357" i="11"/>
  <c r="C357" i="11"/>
  <c r="H356" i="11"/>
  <c r="G356" i="11"/>
  <c r="E356" i="11"/>
  <c r="D356" i="11"/>
  <c r="C356" i="11"/>
  <c r="H355" i="11"/>
  <c r="G355" i="11"/>
  <c r="E355" i="11"/>
  <c r="D355" i="11"/>
  <c r="C355" i="11"/>
  <c r="H354" i="11"/>
  <c r="G354" i="11"/>
  <c r="E354" i="11"/>
  <c r="D354" i="11"/>
  <c r="C354" i="11"/>
  <c r="H353" i="11"/>
  <c r="G353" i="11"/>
  <c r="E353" i="11"/>
  <c r="D353" i="11"/>
  <c r="C353" i="11"/>
  <c r="H352" i="11"/>
  <c r="G352" i="11"/>
  <c r="E352" i="11"/>
  <c r="D352" i="11"/>
  <c r="C352" i="11"/>
  <c r="H351" i="11"/>
  <c r="G351" i="11"/>
  <c r="E351" i="11"/>
  <c r="D351" i="11"/>
  <c r="C351" i="11"/>
  <c r="H350" i="11"/>
  <c r="G350" i="11"/>
  <c r="E350" i="11"/>
  <c r="D350" i="11"/>
  <c r="C350" i="11"/>
  <c r="H349" i="11"/>
  <c r="G349" i="11"/>
  <c r="E349" i="11"/>
  <c r="D349" i="11"/>
  <c r="C349" i="11"/>
  <c r="H348" i="11"/>
  <c r="G348" i="11"/>
  <c r="E348" i="11"/>
  <c r="D348" i="11"/>
  <c r="C348" i="11"/>
  <c r="H347" i="11"/>
  <c r="G347" i="11"/>
  <c r="E347" i="11"/>
  <c r="D347" i="11"/>
  <c r="C347" i="11"/>
  <c r="H346" i="11"/>
  <c r="G346" i="11"/>
  <c r="E346" i="11"/>
  <c r="D346" i="11"/>
  <c r="C346" i="11"/>
  <c r="H345" i="11"/>
  <c r="G345" i="11"/>
  <c r="E345" i="11"/>
  <c r="D345" i="11"/>
  <c r="C345" i="11"/>
  <c r="H344" i="11"/>
  <c r="G344" i="11"/>
  <c r="E344" i="11"/>
  <c r="D344" i="11"/>
  <c r="C344" i="11"/>
  <c r="H343" i="11"/>
  <c r="G343" i="11"/>
  <c r="E343" i="11"/>
  <c r="D343" i="11"/>
  <c r="C343" i="11"/>
  <c r="H342" i="11"/>
  <c r="G342" i="11"/>
  <c r="E342" i="11"/>
  <c r="D342" i="11"/>
  <c r="C342" i="11"/>
  <c r="H341" i="11"/>
  <c r="G341" i="11"/>
  <c r="E341" i="11"/>
  <c r="D341" i="11"/>
  <c r="C341" i="11"/>
  <c r="H340" i="11"/>
  <c r="G340" i="11"/>
  <c r="E340" i="11"/>
  <c r="D340" i="11"/>
  <c r="C340" i="11"/>
  <c r="H339" i="11"/>
  <c r="G339" i="11"/>
  <c r="E339" i="11"/>
  <c r="D339" i="11"/>
  <c r="C339" i="11"/>
  <c r="H338" i="11"/>
  <c r="G338" i="11"/>
  <c r="E338" i="11"/>
  <c r="D338" i="11"/>
  <c r="C338" i="11"/>
  <c r="H337" i="11"/>
  <c r="G337" i="11"/>
  <c r="E337" i="11"/>
  <c r="D337" i="11"/>
  <c r="C337" i="11"/>
  <c r="H336" i="11"/>
  <c r="G336" i="11"/>
  <c r="E336" i="11"/>
  <c r="D336" i="11"/>
  <c r="C336" i="11"/>
  <c r="H335" i="11"/>
  <c r="G335" i="11"/>
  <c r="E335" i="11"/>
  <c r="D335" i="11"/>
  <c r="C335" i="11"/>
  <c r="H334" i="11"/>
  <c r="G334" i="11"/>
  <c r="E334" i="11"/>
  <c r="D334" i="11"/>
  <c r="C334" i="11"/>
  <c r="H333" i="11"/>
  <c r="G333" i="11"/>
  <c r="E333" i="11"/>
  <c r="D333" i="11"/>
  <c r="C333" i="11"/>
  <c r="H332" i="11"/>
  <c r="G332" i="11"/>
  <c r="E332" i="11"/>
  <c r="D332" i="11"/>
  <c r="C332" i="11"/>
  <c r="H331" i="11"/>
  <c r="G331" i="11"/>
  <c r="E331" i="11"/>
  <c r="D331" i="11"/>
  <c r="C331" i="11"/>
  <c r="H330" i="11"/>
  <c r="G330" i="11"/>
  <c r="E330" i="11"/>
  <c r="D330" i="11"/>
  <c r="C330" i="11"/>
  <c r="H329" i="11"/>
  <c r="G329" i="11"/>
  <c r="E329" i="11"/>
  <c r="D329" i="11"/>
  <c r="C329" i="11"/>
  <c r="H328" i="11"/>
  <c r="G328" i="11"/>
  <c r="E328" i="11"/>
  <c r="D328" i="11"/>
  <c r="C328" i="11"/>
  <c r="H327" i="11"/>
  <c r="G327" i="11"/>
  <c r="E327" i="11"/>
  <c r="D327" i="11"/>
  <c r="C327" i="11"/>
  <c r="H326" i="11"/>
  <c r="G326" i="11"/>
  <c r="E326" i="11"/>
  <c r="D326" i="11"/>
  <c r="C326" i="11"/>
  <c r="H325" i="11"/>
  <c r="G325" i="11"/>
  <c r="E325" i="11"/>
  <c r="D325" i="11"/>
  <c r="C325" i="11"/>
  <c r="H324" i="11"/>
  <c r="G324" i="11"/>
  <c r="E324" i="11"/>
  <c r="D324" i="11"/>
  <c r="C324" i="11"/>
  <c r="H323" i="11"/>
  <c r="G323" i="11"/>
  <c r="E323" i="11"/>
  <c r="D323" i="11"/>
  <c r="C323" i="11"/>
  <c r="H322" i="11"/>
  <c r="G322" i="11"/>
  <c r="E322" i="11"/>
  <c r="D322" i="11"/>
  <c r="C322" i="11"/>
  <c r="H321" i="11"/>
  <c r="G321" i="11"/>
  <c r="E321" i="11"/>
  <c r="D321" i="11"/>
  <c r="C321" i="11"/>
  <c r="H320" i="11"/>
  <c r="G320" i="11"/>
  <c r="E320" i="11"/>
  <c r="D320" i="11"/>
  <c r="C320" i="11"/>
  <c r="H319" i="11"/>
  <c r="G319" i="11"/>
  <c r="E319" i="11"/>
  <c r="D319" i="11"/>
  <c r="C319" i="11"/>
  <c r="H318" i="11"/>
  <c r="G318" i="11"/>
  <c r="E318" i="11"/>
  <c r="D318" i="11"/>
  <c r="C318" i="11"/>
  <c r="H317" i="11"/>
  <c r="G317" i="11"/>
  <c r="E317" i="11"/>
  <c r="D317" i="11"/>
  <c r="C317" i="11"/>
  <c r="H316" i="11"/>
  <c r="G316" i="11"/>
  <c r="E316" i="11"/>
  <c r="D316" i="11"/>
  <c r="C316" i="11"/>
  <c r="H315" i="11"/>
  <c r="G315" i="11"/>
  <c r="E315" i="11"/>
  <c r="D315" i="11"/>
  <c r="C315" i="11"/>
  <c r="H314" i="11"/>
  <c r="G314" i="11"/>
  <c r="E314" i="11"/>
  <c r="D314" i="11"/>
  <c r="C314" i="11"/>
  <c r="H313" i="11"/>
  <c r="G313" i="11"/>
  <c r="E313" i="11"/>
  <c r="D313" i="11"/>
  <c r="C313" i="11"/>
  <c r="H312" i="11"/>
  <c r="G312" i="11"/>
  <c r="E312" i="11"/>
  <c r="D312" i="11"/>
  <c r="C312" i="11"/>
  <c r="H311" i="11"/>
  <c r="G311" i="11"/>
  <c r="E311" i="11"/>
  <c r="D311" i="11"/>
  <c r="C311" i="11"/>
  <c r="H310" i="11"/>
  <c r="G310" i="11"/>
  <c r="E310" i="11"/>
  <c r="D310" i="11"/>
  <c r="C310" i="11"/>
  <c r="H309" i="11"/>
  <c r="G309" i="11"/>
  <c r="E309" i="11"/>
  <c r="D309" i="11"/>
  <c r="C309" i="11"/>
  <c r="H308" i="11"/>
  <c r="G308" i="11"/>
  <c r="E308" i="11"/>
  <c r="D308" i="11"/>
  <c r="C308" i="11"/>
  <c r="H307" i="11"/>
  <c r="G307" i="11"/>
  <c r="E307" i="11"/>
  <c r="D307" i="11"/>
  <c r="C307" i="11"/>
  <c r="H306" i="11"/>
  <c r="G306" i="11"/>
  <c r="E306" i="11"/>
  <c r="D306" i="11"/>
  <c r="C306" i="11"/>
  <c r="H305" i="11"/>
  <c r="G305" i="11"/>
  <c r="E305" i="11"/>
  <c r="D305" i="11"/>
  <c r="C305" i="11"/>
  <c r="H304" i="11"/>
  <c r="G304" i="11"/>
  <c r="E304" i="11"/>
  <c r="D304" i="11"/>
  <c r="C304" i="11"/>
  <c r="H303" i="11"/>
  <c r="G303" i="11"/>
  <c r="E303" i="11"/>
  <c r="D303" i="11"/>
  <c r="C303" i="11"/>
  <c r="H302" i="11"/>
  <c r="G302" i="11"/>
  <c r="E302" i="11"/>
  <c r="D302" i="11"/>
  <c r="C302" i="11"/>
  <c r="H301" i="11"/>
  <c r="G301" i="11"/>
  <c r="E301" i="11"/>
  <c r="D301" i="11"/>
  <c r="C301" i="11"/>
  <c r="H300" i="11"/>
  <c r="G300" i="11"/>
  <c r="E300" i="11"/>
  <c r="D300" i="11"/>
  <c r="C300" i="11"/>
  <c r="H299" i="11"/>
  <c r="G299" i="11"/>
  <c r="E299" i="11"/>
  <c r="D299" i="11"/>
  <c r="C299" i="11"/>
  <c r="H298" i="11"/>
  <c r="G298" i="11"/>
  <c r="E298" i="11"/>
  <c r="D298" i="11"/>
  <c r="C298" i="11"/>
  <c r="H297" i="11"/>
  <c r="G297" i="11"/>
  <c r="E297" i="11"/>
  <c r="D297" i="11"/>
  <c r="C297" i="11"/>
  <c r="H296" i="11"/>
  <c r="G296" i="11"/>
  <c r="E296" i="11"/>
  <c r="D296" i="11"/>
  <c r="C296" i="11"/>
  <c r="H295" i="11"/>
  <c r="G295" i="11"/>
  <c r="E295" i="11"/>
  <c r="D295" i="11"/>
  <c r="C295" i="11"/>
  <c r="H294" i="11"/>
  <c r="G294" i="11"/>
  <c r="E294" i="11"/>
  <c r="D294" i="11"/>
  <c r="C294" i="11"/>
  <c r="H293" i="11"/>
  <c r="G293" i="11"/>
  <c r="E293" i="11"/>
  <c r="D293" i="11"/>
  <c r="C293" i="11"/>
  <c r="H292" i="11"/>
  <c r="G292" i="11"/>
  <c r="E292" i="11"/>
  <c r="D292" i="11"/>
  <c r="C292" i="11"/>
  <c r="H291" i="11"/>
  <c r="G291" i="11"/>
  <c r="E291" i="11"/>
  <c r="D291" i="11"/>
  <c r="C291" i="11"/>
  <c r="H290" i="11"/>
  <c r="G290" i="11"/>
  <c r="E290" i="11"/>
  <c r="D290" i="11"/>
  <c r="C290" i="11"/>
  <c r="H289" i="11"/>
  <c r="G289" i="11"/>
  <c r="E289" i="11"/>
  <c r="D289" i="11"/>
  <c r="C289" i="11"/>
  <c r="H288" i="11"/>
  <c r="G288" i="11"/>
  <c r="E288" i="11"/>
  <c r="D288" i="11"/>
  <c r="C288" i="11"/>
  <c r="H287" i="11"/>
  <c r="G287" i="11"/>
  <c r="E287" i="11"/>
  <c r="D287" i="11"/>
  <c r="C287" i="11"/>
  <c r="H286" i="11"/>
  <c r="G286" i="11"/>
  <c r="E286" i="11"/>
  <c r="D286" i="11"/>
  <c r="C286" i="11"/>
  <c r="H285" i="11"/>
  <c r="G285" i="11"/>
  <c r="E285" i="11"/>
  <c r="D285" i="11"/>
  <c r="C285" i="11"/>
  <c r="H284" i="11"/>
  <c r="G284" i="11"/>
  <c r="E284" i="11"/>
  <c r="D284" i="11"/>
  <c r="C284" i="11"/>
  <c r="H283" i="11"/>
  <c r="G283" i="11"/>
  <c r="E283" i="11"/>
  <c r="D283" i="11"/>
  <c r="C283" i="11"/>
  <c r="H282" i="11"/>
  <c r="G282" i="11"/>
  <c r="E282" i="11"/>
  <c r="D282" i="11"/>
  <c r="C282" i="11"/>
  <c r="H281" i="11"/>
  <c r="G281" i="11"/>
  <c r="E281" i="11"/>
  <c r="D281" i="11"/>
  <c r="C281" i="11"/>
  <c r="H280" i="11"/>
  <c r="G280" i="11"/>
  <c r="E280" i="11"/>
  <c r="D280" i="11"/>
  <c r="C280" i="11"/>
  <c r="H279" i="11"/>
  <c r="G279" i="11"/>
  <c r="E279" i="11"/>
  <c r="D279" i="11"/>
  <c r="C279" i="11"/>
  <c r="H278" i="11"/>
  <c r="G278" i="11"/>
  <c r="E278" i="11"/>
  <c r="D278" i="11"/>
  <c r="C278" i="11"/>
  <c r="H277" i="11"/>
  <c r="G277" i="11"/>
  <c r="E277" i="11"/>
  <c r="D277" i="11"/>
  <c r="C277" i="11"/>
  <c r="H276" i="11"/>
  <c r="G276" i="11"/>
  <c r="E276" i="11"/>
  <c r="D276" i="11"/>
  <c r="C276" i="11"/>
  <c r="H275" i="11"/>
  <c r="G275" i="11"/>
  <c r="E275" i="11"/>
  <c r="D275" i="11"/>
  <c r="C275" i="11"/>
  <c r="H274" i="11"/>
  <c r="G274" i="11"/>
  <c r="E274" i="11"/>
  <c r="D274" i="11"/>
  <c r="C274" i="11"/>
  <c r="H273" i="11"/>
  <c r="G273" i="11"/>
  <c r="E273" i="11"/>
  <c r="D273" i="11"/>
  <c r="C273" i="11"/>
  <c r="H272" i="11"/>
  <c r="G272" i="11"/>
  <c r="E272" i="11"/>
  <c r="D272" i="11"/>
  <c r="C272" i="11"/>
  <c r="H271" i="11"/>
  <c r="G271" i="11"/>
  <c r="E271" i="11"/>
  <c r="D271" i="11"/>
  <c r="C271" i="11"/>
  <c r="H270" i="11"/>
  <c r="G270" i="11"/>
  <c r="E270" i="11"/>
  <c r="D270" i="11"/>
  <c r="C270" i="11"/>
  <c r="H269" i="11"/>
  <c r="G269" i="11"/>
  <c r="E269" i="11"/>
  <c r="D269" i="11"/>
  <c r="C269" i="11"/>
  <c r="H268" i="11"/>
  <c r="G268" i="11"/>
  <c r="E268" i="11"/>
  <c r="D268" i="11"/>
  <c r="C268" i="11"/>
  <c r="H267" i="11"/>
  <c r="G267" i="11"/>
  <c r="E267" i="11"/>
  <c r="D267" i="11"/>
  <c r="C267" i="11"/>
  <c r="H266" i="11"/>
  <c r="G266" i="11"/>
  <c r="E266" i="11"/>
  <c r="D266" i="11"/>
  <c r="C266" i="11"/>
  <c r="H265" i="11"/>
  <c r="G265" i="11"/>
  <c r="E265" i="11"/>
  <c r="D265" i="11"/>
  <c r="C265" i="11"/>
  <c r="H264" i="11"/>
  <c r="G264" i="11"/>
  <c r="E264" i="11"/>
  <c r="D264" i="11"/>
  <c r="C264" i="11"/>
  <c r="H263" i="11"/>
  <c r="G263" i="11"/>
  <c r="E263" i="11"/>
  <c r="D263" i="11"/>
  <c r="C263" i="11"/>
  <c r="H262" i="11"/>
  <c r="G262" i="11"/>
  <c r="E262" i="11"/>
  <c r="D262" i="11"/>
  <c r="C262" i="11"/>
  <c r="H261" i="11"/>
  <c r="G261" i="11"/>
  <c r="E261" i="11"/>
  <c r="D261" i="11"/>
  <c r="C261" i="11"/>
  <c r="H260" i="11"/>
  <c r="G260" i="11"/>
  <c r="E260" i="11"/>
  <c r="D260" i="11"/>
  <c r="C260" i="11"/>
  <c r="H259" i="11"/>
  <c r="G259" i="11"/>
  <c r="E259" i="11"/>
  <c r="D259" i="11"/>
  <c r="C259" i="11"/>
  <c r="H258" i="11"/>
  <c r="G258" i="11"/>
  <c r="E258" i="11"/>
  <c r="D258" i="11"/>
  <c r="C258" i="11"/>
  <c r="H257" i="11"/>
  <c r="G257" i="11"/>
  <c r="E257" i="11"/>
  <c r="D257" i="11"/>
  <c r="C257" i="11"/>
  <c r="H256" i="11"/>
  <c r="G256" i="11"/>
  <c r="E256" i="11"/>
  <c r="D256" i="11"/>
  <c r="C256" i="11"/>
  <c r="H255" i="11"/>
  <c r="G255" i="11"/>
  <c r="E255" i="11"/>
  <c r="D255" i="11"/>
  <c r="C255" i="11"/>
  <c r="H254" i="11"/>
  <c r="G254" i="11"/>
  <c r="E254" i="11"/>
  <c r="D254" i="11"/>
  <c r="C254" i="11"/>
  <c r="H253" i="11"/>
  <c r="G253" i="11"/>
  <c r="E253" i="11"/>
  <c r="D253" i="11"/>
  <c r="C253" i="11"/>
  <c r="H252" i="11"/>
  <c r="G252" i="11"/>
  <c r="E252" i="11"/>
  <c r="D252" i="11"/>
  <c r="C252" i="11"/>
  <c r="H251" i="11"/>
  <c r="G251" i="11"/>
  <c r="E251" i="11"/>
  <c r="D251" i="11"/>
  <c r="C251" i="11"/>
  <c r="H250" i="11"/>
  <c r="G250" i="11"/>
  <c r="E250" i="11"/>
  <c r="D250" i="11"/>
  <c r="C250" i="11"/>
  <c r="H249" i="11"/>
  <c r="G249" i="11"/>
  <c r="E249" i="11"/>
  <c r="D249" i="11"/>
  <c r="C249" i="11"/>
  <c r="H248" i="11"/>
  <c r="G248" i="11"/>
  <c r="E248" i="11"/>
  <c r="D248" i="11"/>
  <c r="C248" i="11"/>
  <c r="H247" i="11"/>
  <c r="G247" i="11"/>
  <c r="E247" i="11"/>
  <c r="D247" i="11"/>
  <c r="C247" i="11"/>
  <c r="H246" i="11"/>
  <c r="G246" i="11"/>
  <c r="E246" i="11"/>
  <c r="D246" i="11"/>
  <c r="C246" i="11"/>
  <c r="H245" i="11"/>
  <c r="G245" i="11"/>
  <c r="E245" i="11"/>
  <c r="D245" i="11"/>
  <c r="C245" i="11"/>
  <c r="H244" i="11"/>
  <c r="G244" i="11"/>
  <c r="E244" i="11"/>
  <c r="D244" i="11"/>
  <c r="C244" i="11"/>
  <c r="H243" i="11"/>
  <c r="G243" i="11"/>
  <c r="E243" i="11"/>
  <c r="D243" i="11"/>
  <c r="C243" i="11"/>
  <c r="H242" i="11"/>
  <c r="G242" i="11"/>
  <c r="E242" i="11"/>
  <c r="D242" i="11"/>
  <c r="C242" i="11"/>
  <c r="H241" i="11"/>
  <c r="G241" i="11"/>
  <c r="E241" i="11"/>
  <c r="D241" i="11"/>
  <c r="C241" i="11"/>
  <c r="H240" i="11"/>
  <c r="G240" i="11"/>
  <c r="E240" i="11"/>
  <c r="D240" i="11"/>
  <c r="C240" i="11"/>
  <c r="H239" i="11"/>
  <c r="G239" i="11"/>
  <c r="E239" i="11"/>
  <c r="D239" i="11"/>
  <c r="C239" i="11"/>
  <c r="H238" i="11"/>
  <c r="G238" i="11"/>
  <c r="E238" i="11"/>
  <c r="D238" i="11"/>
  <c r="C238" i="11"/>
  <c r="H237" i="11"/>
  <c r="G237" i="11"/>
  <c r="E237" i="11"/>
  <c r="D237" i="11"/>
  <c r="C237" i="11"/>
  <c r="H236" i="11"/>
  <c r="G236" i="11"/>
  <c r="E236" i="11"/>
  <c r="D236" i="11"/>
  <c r="C236" i="11"/>
  <c r="H235" i="11"/>
  <c r="G235" i="11"/>
  <c r="E235" i="11"/>
  <c r="D235" i="11"/>
  <c r="C235" i="11"/>
  <c r="H234" i="11"/>
  <c r="G234" i="11"/>
  <c r="E234" i="11"/>
  <c r="D234" i="11"/>
  <c r="C234" i="11"/>
  <c r="H233" i="11"/>
  <c r="G233" i="11"/>
  <c r="E233" i="11"/>
  <c r="D233" i="11"/>
  <c r="C233" i="11"/>
  <c r="H232" i="11"/>
  <c r="G232" i="11"/>
  <c r="E232" i="11"/>
  <c r="D232" i="11"/>
  <c r="C232" i="11"/>
  <c r="H231" i="11"/>
  <c r="G231" i="11"/>
  <c r="E231" i="11"/>
  <c r="D231" i="11"/>
  <c r="C231" i="11"/>
  <c r="H230" i="11"/>
  <c r="G230" i="11"/>
  <c r="E230" i="11"/>
  <c r="D230" i="11"/>
  <c r="C230" i="11"/>
  <c r="H229" i="11"/>
  <c r="G229" i="11"/>
  <c r="E229" i="11"/>
  <c r="D229" i="11"/>
  <c r="C229" i="11"/>
  <c r="H228" i="11"/>
  <c r="G228" i="11"/>
  <c r="E228" i="11"/>
  <c r="D228" i="11"/>
  <c r="C228" i="11"/>
  <c r="H227" i="11"/>
  <c r="G227" i="11"/>
  <c r="E227" i="11"/>
  <c r="D227" i="11"/>
  <c r="C227" i="11"/>
  <c r="H226" i="11"/>
  <c r="G226" i="11"/>
  <c r="E226" i="11"/>
  <c r="D226" i="11"/>
  <c r="C226" i="11"/>
  <c r="H225" i="11"/>
  <c r="G225" i="11"/>
  <c r="E225" i="11"/>
  <c r="D225" i="11"/>
  <c r="C225" i="11"/>
  <c r="H224" i="11"/>
  <c r="G224" i="11"/>
  <c r="E224" i="11"/>
  <c r="D224" i="11"/>
  <c r="C224" i="11"/>
  <c r="H223" i="11"/>
  <c r="G223" i="11"/>
  <c r="E223" i="11"/>
  <c r="D223" i="11"/>
  <c r="C223" i="11"/>
  <c r="H222" i="11"/>
  <c r="G222" i="11"/>
  <c r="E222" i="11"/>
  <c r="D222" i="11"/>
  <c r="C222" i="11"/>
  <c r="H221" i="11"/>
  <c r="G221" i="11"/>
  <c r="E221" i="11"/>
  <c r="D221" i="11"/>
  <c r="C221" i="11"/>
  <c r="H220" i="11"/>
  <c r="G220" i="11"/>
  <c r="E220" i="11"/>
  <c r="D220" i="11"/>
  <c r="C220" i="11"/>
  <c r="H219" i="11"/>
  <c r="G219" i="11"/>
  <c r="E219" i="11"/>
  <c r="D219" i="11"/>
  <c r="C219" i="11"/>
  <c r="H218" i="11"/>
  <c r="G218" i="11"/>
  <c r="E218" i="11"/>
  <c r="D218" i="11"/>
  <c r="C218" i="11"/>
  <c r="H217" i="11"/>
  <c r="G217" i="11"/>
  <c r="E217" i="11"/>
  <c r="D217" i="11"/>
  <c r="C217" i="11"/>
  <c r="H216" i="11"/>
  <c r="G216" i="11"/>
  <c r="E216" i="11"/>
  <c r="D216" i="11"/>
  <c r="C216" i="11"/>
  <c r="H215" i="11"/>
  <c r="G215" i="11"/>
  <c r="E215" i="11"/>
  <c r="D215" i="11"/>
  <c r="C215" i="11"/>
  <c r="H214" i="11"/>
  <c r="G214" i="11"/>
  <c r="E214" i="11"/>
  <c r="D214" i="11"/>
  <c r="C214" i="11"/>
  <c r="H213" i="11"/>
  <c r="G213" i="11"/>
  <c r="E213" i="11"/>
  <c r="D213" i="11"/>
  <c r="C213" i="11"/>
  <c r="H212" i="11"/>
  <c r="G212" i="11"/>
  <c r="E212" i="11"/>
  <c r="D212" i="11"/>
  <c r="C212" i="11"/>
  <c r="H211" i="11"/>
  <c r="G211" i="11"/>
  <c r="E211" i="11"/>
  <c r="D211" i="11"/>
  <c r="C211" i="11"/>
  <c r="H210" i="11"/>
  <c r="G210" i="11"/>
  <c r="E210" i="11"/>
  <c r="D210" i="11"/>
  <c r="C210" i="11"/>
  <c r="H209" i="11"/>
  <c r="G209" i="11"/>
  <c r="E209" i="11"/>
  <c r="D209" i="11"/>
  <c r="C209" i="11"/>
  <c r="H208" i="11"/>
  <c r="G208" i="11"/>
  <c r="E208" i="11"/>
  <c r="D208" i="11"/>
  <c r="C208" i="11"/>
  <c r="H207" i="11"/>
  <c r="G207" i="11"/>
  <c r="E207" i="11"/>
  <c r="D207" i="11"/>
  <c r="C207" i="11"/>
  <c r="H206" i="11"/>
  <c r="G206" i="11"/>
  <c r="E206" i="11"/>
  <c r="D206" i="11"/>
  <c r="C206" i="11"/>
  <c r="H205" i="11"/>
  <c r="G205" i="11"/>
  <c r="E205" i="11"/>
  <c r="D205" i="11"/>
  <c r="C205" i="11"/>
  <c r="H204" i="11"/>
  <c r="G204" i="11"/>
  <c r="E204" i="11"/>
  <c r="D204" i="11"/>
  <c r="C204" i="11"/>
  <c r="H203" i="11"/>
  <c r="G203" i="11"/>
  <c r="F203" i="11"/>
  <c r="E203" i="11"/>
  <c r="D203" i="11"/>
  <c r="C203" i="11"/>
  <c r="H202" i="11"/>
  <c r="G202" i="11"/>
  <c r="F202" i="11"/>
  <c r="E202" i="11"/>
  <c r="D202" i="11"/>
  <c r="C202" i="11"/>
  <c r="H201" i="11"/>
  <c r="G201" i="11"/>
  <c r="F201" i="11"/>
  <c r="E201" i="11"/>
  <c r="D201" i="11"/>
  <c r="C201" i="11"/>
  <c r="H200" i="11"/>
  <c r="G200" i="11"/>
  <c r="F200" i="11"/>
  <c r="E200" i="11"/>
  <c r="D200" i="11"/>
  <c r="C200" i="11"/>
  <c r="H199" i="11"/>
  <c r="G199" i="11"/>
  <c r="F199" i="11"/>
  <c r="E199" i="11"/>
  <c r="D199" i="11"/>
  <c r="C199" i="11"/>
  <c r="H198" i="11"/>
  <c r="G198" i="11"/>
  <c r="F198" i="11"/>
  <c r="E198" i="11"/>
  <c r="D198" i="11"/>
  <c r="C198" i="11"/>
  <c r="H197" i="11"/>
  <c r="G197" i="11"/>
  <c r="F197" i="11"/>
  <c r="E197" i="11"/>
  <c r="D197" i="11"/>
  <c r="C197" i="11"/>
  <c r="H196" i="11"/>
  <c r="G196" i="11"/>
  <c r="F196" i="11"/>
  <c r="E196" i="11"/>
  <c r="D196" i="11"/>
  <c r="C196" i="11"/>
  <c r="H195" i="11"/>
  <c r="G195" i="11"/>
  <c r="F195" i="11"/>
  <c r="E195" i="11"/>
  <c r="D195" i="11"/>
  <c r="C195" i="11"/>
  <c r="H194" i="11"/>
  <c r="G194" i="11"/>
  <c r="F194" i="11"/>
  <c r="E194" i="11"/>
  <c r="D194" i="11"/>
  <c r="C194" i="11"/>
  <c r="H193" i="11"/>
  <c r="G193" i="11"/>
  <c r="F193" i="11"/>
  <c r="E193" i="11"/>
  <c r="D193" i="11"/>
  <c r="C193" i="11"/>
  <c r="H192" i="11"/>
  <c r="G192" i="11"/>
  <c r="F192" i="11"/>
  <c r="E192" i="11"/>
  <c r="D192" i="11"/>
  <c r="C192" i="11"/>
  <c r="H191" i="11"/>
  <c r="G191" i="11"/>
  <c r="F191" i="11"/>
  <c r="E191" i="11"/>
  <c r="D191" i="11"/>
  <c r="C191" i="11"/>
  <c r="H190" i="11"/>
  <c r="G190" i="11"/>
  <c r="F190" i="11"/>
  <c r="E190" i="11"/>
  <c r="D190" i="11"/>
  <c r="C190" i="11"/>
  <c r="H189" i="11"/>
  <c r="G189" i="11"/>
  <c r="F189" i="11"/>
  <c r="E189" i="11"/>
  <c r="D189" i="11"/>
  <c r="C189" i="11"/>
  <c r="H188" i="11"/>
  <c r="G188" i="11"/>
  <c r="F188" i="11"/>
  <c r="E188" i="11"/>
  <c r="D188" i="11"/>
  <c r="C188" i="11"/>
  <c r="H187" i="11"/>
  <c r="G187" i="11"/>
  <c r="F187" i="11"/>
  <c r="E187" i="11"/>
  <c r="D187" i="11"/>
  <c r="C187" i="11"/>
  <c r="H186" i="11"/>
  <c r="G186" i="11"/>
  <c r="F186" i="11"/>
  <c r="E186" i="11"/>
  <c r="D186" i="11"/>
  <c r="C186" i="11"/>
  <c r="H185" i="11"/>
  <c r="G185" i="11"/>
  <c r="F185" i="11"/>
  <c r="E185" i="11"/>
  <c r="D185" i="11"/>
  <c r="C185" i="11"/>
  <c r="H184" i="11"/>
  <c r="G184" i="11"/>
  <c r="F184" i="11"/>
  <c r="E184" i="11"/>
  <c r="D184" i="11"/>
  <c r="C184" i="11"/>
  <c r="H183" i="11"/>
  <c r="G183" i="11"/>
  <c r="F183" i="11"/>
  <c r="E183" i="11"/>
  <c r="D183" i="11"/>
  <c r="C183" i="11"/>
  <c r="H182" i="11"/>
  <c r="G182" i="11"/>
  <c r="F182" i="11"/>
  <c r="E182" i="11"/>
  <c r="D182" i="11"/>
  <c r="C182" i="11"/>
  <c r="H181" i="11"/>
  <c r="G181" i="11"/>
  <c r="F181" i="11"/>
  <c r="E181" i="11"/>
  <c r="D181" i="11"/>
  <c r="C181" i="11"/>
  <c r="H180" i="11"/>
  <c r="G180" i="11"/>
  <c r="F180" i="11"/>
  <c r="E180" i="11"/>
  <c r="D180" i="11"/>
  <c r="C180" i="11"/>
  <c r="H179" i="11"/>
  <c r="G179" i="11"/>
  <c r="F179" i="11"/>
  <c r="E179" i="11"/>
  <c r="D179" i="11"/>
  <c r="C179" i="11"/>
  <c r="H178" i="11"/>
  <c r="G178" i="11"/>
  <c r="F178" i="11"/>
  <c r="E178" i="11"/>
  <c r="D178" i="11"/>
  <c r="C178" i="11"/>
  <c r="H177" i="11"/>
  <c r="G177" i="11"/>
  <c r="F177" i="11"/>
  <c r="E177" i="11"/>
  <c r="D177" i="11"/>
  <c r="C177" i="11"/>
  <c r="H176" i="11"/>
  <c r="G176" i="11"/>
  <c r="F176" i="11"/>
  <c r="E176" i="11"/>
  <c r="D176" i="11"/>
  <c r="C176" i="11"/>
  <c r="H175" i="11"/>
  <c r="G175" i="11"/>
  <c r="F175" i="11"/>
  <c r="E175" i="11"/>
  <c r="D175" i="11"/>
  <c r="C175" i="11"/>
  <c r="H174" i="11"/>
  <c r="G174" i="11"/>
  <c r="F174" i="11"/>
  <c r="E174" i="11"/>
  <c r="D174" i="11"/>
  <c r="C174" i="11"/>
  <c r="H173" i="11"/>
  <c r="G173" i="11"/>
  <c r="F173" i="11"/>
  <c r="E173" i="11"/>
  <c r="D173" i="11"/>
  <c r="C173" i="11"/>
  <c r="H172" i="11"/>
  <c r="G172" i="11"/>
  <c r="F172" i="11"/>
  <c r="E172" i="11"/>
  <c r="D172" i="11"/>
  <c r="C172" i="11"/>
  <c r="H171" i="11"/>
  <c r="G171" i="11"/>
  <c r="F171" i="11"/>
  <c r="E171" i="11"/>
  <c r="D171" i="11"/>
  <c r="C171" i="11"/>
  <c r="H170" i="11"/>
  <c r="G170" i="11"/>
  <c r="F170" i="11"/>
  <c r="E170" i="11"/>
  <c r="D170" i="11"/>
  <c r="C170" i="11"/>
  <c r="H169" i="11"/>
  <c r="G169" i="11"/>
  <c r="F169" i="11"/>
  <c r="E169" i="11"/>
  <c r="D169" i="11"/>
  <c r="C169" i="11"/>
  <c r="H168" i="11"/>
  <c r="G168" i="11"/>
  <c r="F168" i="11"/>
  <c r="E168" i="11"/>
  <c r="D168" i="11"/>
  <c r="C168" i="11"/>
  <c r="H167" i="11"/>
  <c r="G167" i="11"/>
  <c r="F167" i="11"/>
  <c r="E167" i="11"/>
  <c r="D167" i="11"/>
  <c r="C167" i="11"/>
  <c r="H166" i="11"/>
  <c r="G166" i="11"/>
  <c r="F166" i="11"/>
  <c r="E166" i="11"/>
  <c r="D166" i="11"/>
  <c r="C166" i="11"/>
  <c r="H165" i="11"/>
  <c r="G165" i="11"/>
  <c r="F165" i="11"/>
  <c r="E165" i="11"/>
  <c r="D165" i="11"/>
  <c r="C165" i="11"/>
  <c r="H164" i="11"/>
  <c r="G164" i="11"/>
  <c r="F164" i="11"/>
  <c r="E164" i="11"/>
  <c r="D164" i="11"/>
  <c r="C164" i="11"/>
  <c r="H163" i="11"/>
  <c r="G163" i="11"/>
  <c r="F163" i="11"/>
  <c r="E163" i="11"/>
  <c r="D163" i="11"/>
  <c r="C163" i="11"/>
  <c r="H162" i="11"/>
  <c r="G162" i="11"/>
  <c r="F162" i="11"/>
  <c r="E162" i="11"/>
  <c r="D162" i="11"/>
  <c r="C162" i="11"/>
  <c r="H161" i="11"/>
  <c r="G161" i="11"/>
  <c r="F161" i="11"/>
  <c r="E161" i="11"/>
  <c r="D161" i="11"/>
  <c r="C161" i="11"/>
  <c r="H160" i="11"/>
  <c r="G160" i="11"/>
  <c r="F160" i="11"/>
  <c r="E160" i="11"/>
  <c r="D160" i="11"/>
  <c r="C160" i="11"/>
  <c r="H159" i="11"/>
  <c r="G159" i="11"/>
  <c r="F159" i="11"/>
  <c r="E159" i="11"/>
  <c r="D159" i="11"/>
  <c r="C159" i="11"/>
  <c r="H158" i="11"/>
  <c r="G158" i="11"/>
  <c r="F158" i="11"/>
  <c r="E158" i="11"/>
  <c r="D158" i="11"/>
  <c r="C158" i="11"/>
  <c r="H157" i="11"/>
  <c r="G157" i="11"/>
  <c r="F157" i="11"/>
  <c r="E157" i="11"/>
  <c r="D157" i="11"/>
  <c r="C157" i="11"/>
  <c r="H156" i="11"/>
  <c r="G156" i="11"/>
  <c r="F156" i="11"/>
  <c r="E156" i="11"/>
  <c r="D156" i="11"/>
  <c r="C156" i="11"/>
  <c r="H155" i="11"/>
  <c r="G155" i="11"/>
  <c r="F155" i="11"/>
  <c r="E155" i="11"/>
  <c r="D155" i="11"/>
  <c r="C155" i="11"/>
  <c r="H154" i="11"/>
  <c r="G154" i="11"/>
  <c r="F154" i="11"/>
  <c r="E154" i="11"/>
  <c r="D154" i="11"/>
  <c r="C154" i="11"/>
  <c r="H153" i="11"/>
  <c r="G153" i="11"/>
  <c r="F153" i="11"/>
  <c r="E153" i="11"/>
  <c r="D153" i="11"/>
  <c r="C153" i="11"/>
  <c r="H152" i="11"/>
  <c r="G152" i="11"/>
  <c r="F152" i="11"/>
  <c r="E152" i="11"/>
  <c r="D152" i="11"/>
  <c r="C152" i="11"/>
  <c r="H151" i="11"/>
  <c r="G151" i="11"/>
  <c r="F151" i="11"/>
  <c r="E151" i="11"/>
  <c r="D151" i="11"/>
  <c r="C151" i="11"/>
  <c r="H150" i="11"/>
  <c r="G150" i="11"/>
  <c r="F150" i="11"/>
  <c r="E150" i="11"/>
  <c r="D150" i="11"/>
  <c r="C150" i="11"/>
  <c r="H149" i="11"/>
  <c r="G149" i="11"/>
  <c r="F149" i="11"/>
  <c r="E149" i="11"/>
  <c r="D149" i="11"/>
  <c r="C149" i="11"/>
  <c r="H148" i="11"/>
  <c r="G148" i="11"/>
  <c r="F148" i="11"/>
  <c r="E148" i="11"/>
  <c r="D148" i="11"/>
  <c r="C148" i="11"/>
  <c r="H147" i="11"/>
  <c r="G147" i="11"/>
  <c r="F147" i="11"/>
  <c r="E147" i="11"/>
  <c r="D147" i="11"/>
  <c r="C147" i="11"/>
  <c r="H146" i="11"/>
  <c r="G146" i="11"/>
  <c r="F146" i="11"/>
  <c r="E146" i="11"/>
  <c r="D146" i="11"/>
  <c r="C146" i="11"/>
  <c r="H145" i="11"/>
  <c r="G145" i="11"/>
  <c r="F145" i="11"/>
  <c r="E145" i="11"/>
  <c r="D145" i="11"/>
  <c r="C145" i="11"/>
  <c r="H144" i="11"/>
  <c r="G144" i="11"/>
  <c r="F144" i="11"/>
  <c r="E144" i="11"/>
  <c r="D144" i="11"/>
  <c r="C144" i="11"/>
  <c r="H143" i="11"/>
  <c r="G143" i="11"/>
  <c r="F143" i="11"/>
  <c r="E143" i="11"/>
  <c r="D143" i="11"/>
  <c r="C143" i="11"/>
  <c r="H142" i="11"/>
  <c r="G142" i="11"/>
  <c r="F142" i="11"/>
  <c r="E142" i="11"/>
  <c r="D142" i="11"/>
  <c r="C142" i="11"/>
  <c r="H141" i="11"/>
  <c r="G141" i="11"/>
  <c r="F141" i="11"/>
  <c r="E141" i="11"/>
  <c r="D141" i="11"/>
  <c r="C141" i="11"/>
  <c r="H140" i="11"/>
  <c r="G140" i="11"/>
  <c r="F140" i="11"/>
  <c r="E140" i="11"/>
  <c r="D140" i="11"/>
  <c r="C140" i="11"/>
  <c r="H139" i="11"/>
  <c r="G139" i="11"/>
  <c r="F139" i="11"/>
  <c r="E139" i="11"/>
  <c r="D139" i="11"/>
  <c r="C139" i="11"/>
  <c r="H138" i="11"/>
  <c r="G138" i="11"/>
  <c r="F138" i="11"/>
  <c r="E138" i="11"/>
  <c r="D138" i="11"/>
  <c r="C138" i="11"/>
  <c r="H137" i="11"/>
  <c r="G137" i="11"/>
  <c r="F137" i="11"/>
  <c r="E137" i="11"/>
  <c r="D137" i="11"/>
  <c r="C137" i="11"/>
  <c r="H136" i="11"/>
  <c r="G136" i="11"/>
  <c r="F136" i="11"/>
  <c r="E136" i="11"/>
  <c r="D136" i="11"/>
  <c r="C136" i="11"/>
  <c r="H135" i="11"/>
  <c r="G135" i="11"/>
  <c r="F135" i="11"/>
  <c r="E135" i="11"/>
  <c r="D135" i="11"/>
  <c r="C135" i="11"/>
  <c r="H134" i="11"/>
  <c r="G134" i="11"/>
  <c r="F134" i="11"/>
  <c r="E134" i="11"/>
  <c r="D134" i="11"/>
  <c r="C134" i="11"/>
  <c r="H133" i="11"/>
  <c r="G133" i="11"/>
  <c r="F133" i="11"/>
  <c r="E133" i="11"/>
  <c r="D133" i="11"/>
  <c r="C133" i="11"/>
  <c r="H132" i="11"/>
  <c r="G132" i="11"/>
  <c r="F132" i="11"/>
  <c r="E132" i="11"/>
  <c r="D132" i="11"/>
  <c r="C132" i="11"/>
  <c r="H131" i="11"/>
  <c r="G131" i="11"/>
  <c r="F131" i="11"/>
  <c r="E131" i="11"/>
  <c r="D131" i="11"/>
  <c r="C131" i="11"/>
  <c r="H130" i="11"/>
  <c r="G130" i="11"/>
  <c r="F130" i="11"/>
  <c r="E130" i="11"/>
  <c r="D130" i="11"/>
  <c r="C130" i="11"/>
  <c r="H129" i="11"/>
  <c r="G129" i="11"/>
  <c r="F129" i="11"/>
  <c r="E129" i="11"/>
  <c r="D129" i="11"/>
  <c r="C129" i="11"/>
  <c r="H128" i="11"/>
  <c r="G128" i="11"/>
  <c r="F128" i="11"/>
  <c r="E128" i="11"/>
  <c r="D128" i="11"/>
  <c r="C128" i="11"/>
  <c r="H127" i="11"/>
  <c r="G127" i="11"/>
  <c r="F127" i="11"/>
  <c r="E127" i="11"/>
  <c r="D127" i="11"/>
  <c r="C127" i="11"/>
  <c r="H126" i="11"/>
  <c r="G126" i="11"/>
  <c r="F126" i="11"/>
  <c r="E126" i="11"/>
  <c r="D126" i="11"/>
  <c r="C126" i="11"/>
  <c r="H125" i="11"/>
  <c r="G125" i="11"/>
  <c r="F125" i="11"/>
  <c r="E125" i="11"/>
  <c r="D125" i="11"/>
  <c r="C125" i="11"/>
  <c r="H124" i="11"/>
  <c r="G124" i="11"/>
  <c r="F124" i="11"/>
  <c r="E124" i="11"/>
  <c r="D124" i="11"/>
  <c r="C124" i="11"/>
  <c r="H123" i="11"/>
  <c r="G123" i="11"/>
  <c r="F123" i="11"/>
  <c r="E123" i="11"/>
  <c r="D123" i="11"/>
  <c r="C123" i="11"/>
  <c r="H122" i="11"/>
  <c r="G122" i="11"/>
  <c r="F122" i="11"/>
  <c r="E122" i="11"/>
  <c r="D122" i="11"/>
  <c r="C122" i="11"/>
  <c r="H121" i="11"/>
  <c r="G121" i="11"/>
  <c r="F121" i="11"/>
  <c r="E121" i="11"/>
  <c r="D121" i="11"/>
  <c r="C121" i="11"/>
  <c r="H120" i="11"/>
  <c r="G120" i="11"/>
  <c r="F120" i="11"/>
  <c r="E120" i="11"/>
  <c r="D120" i="11"/>
  <c r="C120" i="11"/>
  <c r="H119" i="11"/>
  <c r="G119" i="11"/>
  <c r="F119" i="11"/>
  <c r="E119" i="11"/>
  <c r="D119" i="11"/>
  <c r="C119" i="11"/>
  <c r="H118" i="11"/>
  <c r="G118" i="11"/>
  <c r="F118" i="11"/>
  <c r="E118" i="11"/>
  <c r="D118" i="11"/>
  <c r="C118" i="11"/>
  <c r="H117" i="11"/>
  <c r="G117" i="11"/>
  <c r="F117" i="11"/>
  <c r="E117" i="11"/>
  <c r="D117" i="11"/>
  <c r="C117" i="11"/>
  <c r="H116" i="11"/>
  <c r="G116" i="11"/>
  <c r="F116" i="11"/>
  <c r="E116" i="11"/>
  <c r="D116" i="11"/>
  <c r="C116" i="11"/>
  <c r="H115" i="11"/>
  <c r="G115" i="11"/>
  <c r="F115" i="11"/>
  <c r="E115" i="11"/>
  <c r="D115" i="11"/>
  <c r="C115" i="11"/>
  <c r="H114" i="11"/>
  <c r="G114" i="11"/>
  <c r="F114" i="11"/>
  <c r="E114" i="11"/>
  <c r="D114" i="11"/>
  <c r="C114" i="11"/>
  <c r="H113" i="11"/>
  <c r="G113" i="11"/>
  <c r="F113" i="11"/>
  <c r="E113" i="11"/>
  <c r="D113" i="11"/>
  <c r="C113" i="11"/>
  <c r="H112" i="11"/>
  <c r="G112" i="11"/>
  <c r="F112" i="11"/>
  <c r="E112" i="11"/>
  <c r="D112" i="11"/>
  <c r="C112" i="11"/>
  <c r="H111" i="11"/>
  <c r="G111" i="11"/>
  <c r="F111" i="11"/>
  <c r="E111" i="11"/>
  <c r="D111" i="11"/>
  <c r="C111" i="11"/>
  <c r="H110" i="11"/>
  <c r="G110" i="11"/>
  <c r="F110" i="11"/>
  <c r="E110" i="11"/>
  <c r="D110" i="11"/>
  <c r="C110" i="11"/>
  <c r="H109" i="11"/>
  <c r="G109" i="11"/>
  <c r="F109" i="11"/>
  <c r="E109" i="11"/>
  <c r="D109" i="11"/>
  <c r="C109" i="11"/>
  <c r="H108" i="11"/>
  <c r="G108" i="11"/>
  <c r="F108" i="11"/>
  <c r="E108" i="11"/>
  <c r="D108" i="11"/>
  <c r="C108" i="11"/>
  <c r="H107" i="11"/>
  <c r="G107" i="11"/>
  <c r="F107" i="11"/>
  <c r="E107" i="11"/>
  <c r="D107" i="11"/>
  <c r="C107" i="11"/>
  <c r="H106" i="11"/>
  <c r="G106" i="11"/>
  <c r="F106" i="11"/>
  <c r="E106" i="11"/>
  <c r="D106" i="11"/>
  <c r="C106" i="11"/>
  <c r="H105" i="11"/>
  <c r="G105" i="11"/>
  <c r="F105" i="11"/>
  <c r="E105" i="11"/>
  <c r="D105" i="11"/>
  <c r="C105" i="11"/>
  <c r="H104" i="11"/>
  <c r="G104" i="11"/>
  <c r="F104" i="11"/>
  <c r="E104" i="11"/>
  <c r="D104" i="11"/>
  <c r="C104" i="11"/>
  <c r="H103" i="11"/>
  <c r="G103" i="11"/>
  <c r="F103" i="11"/>
  <c r="E103" i="11"/>
  <c r="D103" i="11"/>
  <c r="C103" i="11"/>
  <c r="H102" i="11"/>
  <c r="G102" i="11"/>
  <c r="F102" i="11"/>
  <c r="E102" i="11"/>
  <c r="D102" i="11"/>
  <c r="C102" i="11"/>
  <c r="H101" i="11"/>
  <c r="G101" i="11"/>
  <c r="F101" i="11"/>
  <c r="E101" i="11"/>
  <c r="D101" i="11"/>
  <c r="C101" i="11"/>
  <c r="H100" i="11"/>
  <c r="G100" i="11"/>
  <c r="F100" i="11"/>
  <c r="E100" i="11"/>
  <c r="D100" i="11"/>
  <c r="C100" i="11"/>
  <c r="H99" i="11"/>
  <c r="G99" i="11"/>
  <c r="F99" i="11"/>
  <c r="E99" i="11"/>
  <c r="D99" i="11"/>
  <c r="C99" i="11"/>
  <c r="H98" i="11"/>
  <c r="G98" i="11"/>
  <c r="F98" i="11"/>
  <c r="E98" i="11"/>
  <c r="D98" i="11"/>
  <c r="C98" i="11"/>
  <c r="H97" i="11"/>
  <c r="G97" i="11"/>
  <c r="F97" i="11"/>
  <c r="E97" i="11"/>
  <c r="D97" i="11"/>
  <c r="C97" i="11"/>
  <c r="H96" i="11"/>
  <c r="G96" i="11"/>
  <c r="F96" i="11"/>
  <c r="E96" i="11"/>
  <c r="D96" i="11"/>
  <c r="C96" i="11"/>
  <c r="H95" i="11"/>
  <c r="G95" i="11"/>
  <c r="F95" i="11"/>
  <c r="E95" i="11"/>
  <c r="D95" i="11"/>
  <c r="C95" i="11"/>
  <c r="H94" i="11"/>
  <c r="G94" i="11"/>
  <c r="F94" i="11"/>
  <c r="E94" i="11"/>
  <c r="D94" i="11"/>
  <c r="C94" i="11"/>
  <c r="H93" i="11"/>
  <c r="G93" i="11"/>
  <c r="F93" i="11"/>
  <c r="E93" i="11"/>
  <c r="D93" i="11"/>
  <c r="C93" i="11"/>
  <c r="H92" i="11"/>
  <c r="G92" i="11"/>
  <c r="F92" i="11"/>
  <c r="E92" i="11"/>
  <c r="D92" i="11"/>
  <c r="C92" i="11"/>
  <c r="H91" i="11"/>
  <c r="G91" i="11"/>
  <c r="F91" i="11"/>
  <c r="E91" i="11"/>
  <c r="D91" i="11"/>
  <c r="C91" i="11"/>
  <c r="H90" i="11"/>
  <c r="G90" i="11"/>
  <c r="F90" i="11"/>
  <c r="E90" i="11"/>
  <c r="D90" i="11"/>
  <c r="C90" i="11"/>
  <c r="H89" i="11"/>
  <c r="G89" i="11"/>
  <c r="F89" i="11"/>
  <c r="E89" i="11"/>
  <c r="D89" i="11"/>
  <c r="C89" i="11"/>
  <c r="H88" i="11"/>
  <c r="G88" i="11"/>
  <c r="F88" i="11"/>
  <c r="E88" i="11"/>
  <c r="D88" i="11"/>
  <c r="C88" i="11"/>
  <c r="H87" i="11"/>
  <c r="G87" i="11"/>
  <c r="F87" i="11"/>
  <c r="E87" i="11"/>
  <c r="D87" i="11"/>
  <c r="C87" i="11"/>
  <c r="H86" i="11"/>
  <c r="G86" i="11"/>
  <c r="F86" i="11"/>
  <c r="E86" i="11"/>
  <c r="D86" i="11"/>
  <c r="C86" i="11"/>
  <c r="H85" i="11"/>
  <c r="G85" i="11"/>
  <c r="F85" i="11"/>
  <c r="E85" i="11"/>
  <c r="D85" i="11"/>
  <c r="C85" i="11"/>
  <c r="H84" i="11"/>
  <c r="G84" i="11"/>
  <c r="F84" i="11"/>
  <c r="E84" i="11"/>
  <c r="D84" i="11"/>
  <c r="C84" i="11"/>
  <c r="H83" i="11"/>
  <c r="G83" i="11"/>
  <c r="F83" i="11"/>
  <c r="E83" i="11"/>
  <c r="D83" i="11"/>
  <c r="C83" i="11"/>
  <c r="H82" i="11"/>
  <c r="G82" i="11"/>
  <c r="F82" i="11"/>
  <c r="E82" i="11"/>
  <c r="D82" i="11"/>
  <c r="C82" i="11"/>
  <c r="H81" i="11"/>
  <c r="G81" i="11"/>
  <c r="F81" i="11"/>
  <c r="E81" i="11"/>
  <c r="D81" i="11"/>
  <c r="C81" i="11"/>
  <c r="H80" i="11"/>
  <c r="G80" i="11"/>
  <c r="F80" i="11"/>
  <c r="E80" i="11"/>
  <c r="D80" i="11"/>
  <c r="C80" i="11"/>
  <c r="H79" i="11"/>
  <c r="G79" i="11"/>
  <c r="F79" i="11"/>
  <c r="E79" i="11"/>
  <c r="D79" i="11"/>
  <c r="C79" i="11"/>
  <c r="H78" i="11"/>
  <c r="G78" i="11"/>
  <c r="F78" i="11"/>
  <c r="E78" i="11"/>
  <c r="D78" i="11"/>
  <c r="C78" i="11"/>
  <c r="H77" i="11"/>
  <c r="G77" i="11"/>
  <c r="F77" i="11"/>
  <c r="E77" i="11"/>
  <c r="D77" i="11"/>
  <c r="C77" i="11"/>
  <c r="H76" i="11"/>
  <c r="G76" i="11"/>
  <c r="F76" i="11"/>
  <c r="E76" i="11"/>
  <c r="D76" i="11"/>
  <c r="C76" i="11"/>
  <c r="H75" i="11"/>
  <c r="G75" i="11"/>
  <c r="F75" i="11"/>
  <c r="E75" i="11"/>
  <c r="D75" i="11"/>
  <c r="C75" i="11"/>
  <c r="H74" i="11"/>
  <c r="G74" i="11"/>
  <c r="F74" i="11"/>
  <c r="E74" i="11"/>
  <c r="D74" i="11"/>
  <c r="C74" i="11"/>
  <c r="H73" i="11"/>
  <c r="G73" i="11"/>
  <c r="F73" i="11"/>
  <c r="E73" i="11"/>
  <c r="D73" i="11"/>
  <c r="C73" i="11"/>
  <c r="H72" i="11"/>
  <c r="G72" i="11"/>
  <c r="F72" i="11"/>
  <c r="E72" i="11"/>
  <c r="D72" i="11"/>
  <c r="C72" i="11"/>
  <c r="H71" i="11"/>
  <c r="G71" i="11"/>
  <c r="F71" i="11"/>
  <c r="E71" i="11"/>
  <c r="D71" i="11"/>
  <c r="C71" i="11"/>
  <c r="H70" i="11"/>
  <c r="G70" i="11"/>
  <c r="F70" i="11"/>
  <c r="E70" i="11"/>
  <c r="D70" i="11"/>
  <c r="C70" i="11"/>
  <c r="H69" i="11"/>
  <c r="G69" i="11"/>
  <c r="F69" i="11"/>
  <c r="E69" i="11"/>
  <c r="D69" i="11"/>
  <c r="C69" i="11"/>
  <c r="H68" i="11"/>
  <c r="G68" i="11"/>
  <c r="F68" i="11"/>
  <c r="E68" i="11"/>
  <c r="D68" i="11"/>
  <c r="C68" i="11"/>
  <c r="H67" i="11"/>
  <c r="G67" i="11"/>
  <c r="F67" i="11"/>
  <c r="E67" i="11"/>
  <c r="D67" i="11"/>
  <c r="C67" i="11"/>
  <c r="H66" i="11"/>
  <c r="G66" i="11"/>
  <c r="F66" i="11"/>
  <c r="E66" i="11"/>
  <c r="D66" i="11"/>
  <c r="C66" i="11"/>
  <c r="H65" i="11"/>
  <c r="G65" i="11"/>
  <c r="F65" i="11"/>
  <c r="E65" i="11"/>
  <c r="D65" i="11"/>
  <c r="C65" i="11"/>
  <c r="H64" i="11"/>
  <c r="G64" i="11"/>
  <c r="F64" i="11"/>
  <c r="E64" i="11"/>
  <c r="D64" i="11"/>
  <c r="C64" i="11"/>
  <c r="H63" i="11"/>
  <c r="G63" i="11"/>
  <c r="F63" i="11"/>
  <c r="E63" i="11"/>
  <c r="D63" i="11"/>
  <c r="C63" i="11"/>
  <c r="H62" i="11"/>
  <c r="G62" i="11"/>
  <c r="F62" i="11"/>
  <c r="E62" i="11"/>
  <c r="D62" i="11"/>
  <c r="C62" i="11"/>
  <c r="H61" i="11"/>
  <c r="G61" i="11"/>
  <c r="F61" i="11"/>
  <c r="E61" i="11"/>
  <c r="D61" i="11"/>
  <c r="C61" i="11"/>
  <c r="H60" i="11"/>
  <c r="G60" i="11"/>
  <c r="F60" i="11"/>
  <c r="E60" i="11"/>
  <c r="D60" i="11"/>
  <c r="C60" i="11"/>
  <c r="H59" i="11"/>
  <c r="G59" i="11"/>
  <c r="F59" i="11"/>
  <c r="E59" i="11"/>
  <c r="D59" i="11"/>
  <c r="C59" i="11"/>
  <c r="H58" i="11"/>
  <c r="G58" i="11"/>
  <c r="F58" i="11"/>
  <c r="E58" i="11"/>
  <c r="D58" i="11"/>
  <c r="C58" i="11"/>
  <c r="H57" i="11"/>
  <c r="G57" i="11"/>
  <c r="F57" i="11"/>
  <c r="E57" i="11"/>
  <c r="D57" i="11"/>
  <c r="C57" i="11"/>
  <c r="H56" i="11"/>
  <c r="G56" i="11"/>
  <c r="F56" i="11"/>
  <c r="E56" i="11"/>
  <c r="D56" i="11"/>
  <c r="C56" i="11"/>
  <c r="H55" i="11"/>
  <c r="G55" i="11"/>
  <c r="F55" i="11"/>
  <c r="E55" i="11"/>
  <c r="D55" i="11"/>
  <c r="C55" i="11"/>
  <c r="H54" i="11"/>
  <c r="G54" i="11"/>
  <c r="F54" i="11"/>
  <c r="E54" i="11"/>
  <c r="D54" i="11"/>
  <c r="C54" i="11"/>
  <c r="H53" i="11"/>
  <c r="G53" i="11"/>
  <c r="F53" i="11"/>
  <c r="E53" i="11"/>
  <c r="D53" i="11"/>
  <c r="C53" i="11"/>
  <c r="H52" i="11"/>
  <c r="G52" i="11"/>
  <c r="F52" i="11"/>
  <c r="E52" i="11"/>
  <c r="D52" i="11"/>
  <c r="C52" i="11"/>
  <c r="H51" i="11"/>
  <c r="G51" i="11"/>
  <c r="F51" i="11"/>
  <c r="E51" i="11"/>
  <c r="D51" i="11"/>
  <c r="C51" i="11"/>
  <c r="H50" i="11"/>
  <c r="G50" i="11"/>
  <c r="F50" i="11"/>
  <c r="E50" i="11"/>
  <c r="D50" i="11"/>
  <c r="C50" i="11"/>
  <c r="H49" i="11"/>
  <c r="G49" i="11"/>
  <c r="F49" i="11"/>
  <c r="E49" i="11"/>
  <c r="D49" i="11"/>
  <c r="C49" i="11"/>
  <c r="H48" i="11"/>
  <c r="G48" i="11"/>
  <c r="F48" i="11"/>
  <c r="E48" i="11"/>
  <c r="D48" i="11"/>
  <c r="C48" i="11"/>
  <c r="H47" i="11"/>
  <c r="G47" i="11"/>
  <c r="F47" i="11"/>
  <c r="E47" i="11"/>
  <c r="D47" i="11"/>
  <c r="C47" i="11"/>
  <c r="H46" i="11"/>
  <c r="G46" i="11"/>
  <c r="F46" i="11"/>
  <c r="E46" i="11"/>
  <c r="D46" i="11"/>
  <c r="C46" i="11"/>
  <c r="H45" i="11"/>
  <c r="G45" i="11"/>
  <c r="F45" i="11"/>
  <c r="E45" i="11"/>
  <c r="D45" i="11"/>
  <c r="C45" i="11"/>
  <c r="H44" i="11"/>
  <c r="G44" i="11"/>
  <c r="F44" i="11"/>
  <c r="E44" i="11"/>
  <c r="D44" i="11"/>
  <c r="C44" i="11"/>
  <c r="H43" i="11"/>
  <c r="G43" i="11"/>
  <c r="F43" i="11"/>
  <c r="E43" i="11"/>
  <c r="D43" i="11"/>
  <c r="C43" i="11"/>
  <c r="H42" i="11"/>
  <c r="G42" i="11"/>
  <c r="F42" i="11"/>
  <c r="E42" i="11"/>
  <c r="D42" i="11"/>
  <c r="C42" i="11"/>
  <c r="H41" i="11"/>
  <c r="G41" i="11"/>
  <c r="F41" i="11"/>
  <c r="E41" i="11"/>
  <c r="D41" i="11"/>
  <c r="C41" i="11"/>
  <c r="H40" i="11"/>
  <c r="G40" i="11"/>
  <c r="F40" i="11"/>
  <c r="E40" i="11"/>
  <c r="D40" i="11"/>
  <c r="C40" i="11"/>
  <c r="H39" i="11"/>
  <c r="G39" i="11"/>
  <c r="F39" i="11"/>
  <c r="E39" i="11"/>
  <c r="D39" i="11"/>
  <c r="C39" i="11"/>
  <c r="H38" i="11"/>
  <c r="G38" i="11"/>
  <c r="F38" i="11"/>
  <c r="E38" i="11"/>
  <c r="D38" i="11"/>
  <c r="C38" i="11"/>
  <c r="H37" i="11"/>
  <c r="G37" i="11"/>
  <c r="F37" i="11"/>
  <c r="E37" i="11"/>
  <c r="D37" i="11"/>
  <c r="C37" i="11"/>
  <c r="H36" i="11"/>
  <c r="G36" i="11"/>
  <c r="F36" i="11"/>
  <c r="E36" i="11"/>
  <c r="D36" i="11"/>
  <c r="C36" i="11"/>
  <c r="H35" i="11"/>
  <c r="G35" i="11"/>
  <c r="F35" i="11"/>
  <c r="E35" i="11"/>
  <c r="D35" i="11"/>
  <c r="C35" i="11"/>
  <c r="H34" i="11"/>
  <c r="G34" i="11"/>
  <c r="F34" i="11"/>
  <c r="E34" i="11"/>
  <c r="D34" i="11"/>
  <c r="C34" i="11"/>
  <c r="H33" i="11"/>
  <c r="G33" i="11"/>
  <c r="F33" i="11"/>
  <c r="E33" i="11"/>
  <c r="D33" i="11"/>
  <c r="C33" i="11"/>
  <c r="H32" i="11"/>
  <c r="G32" i="11"/>
  <c r="F32" i="11"/>
  <c r="E32" i="11"/>
  <c r="D32" i="11"/>
  <c r="C32" i="11"/>
  <c r="H31" i="11"/>
  <c r="G31" i="11"/>
  <c r="F31" i="11"/>
  <c r="E31" i="11"/>
  <c r="D31" i="11"/>
  <c r="C31" i="11"/>
  <c r="H30" i="11"/>
  <c r="G30" i="11"/>
  <c r="F30" i="11"/>
  <c r="E30" i="11"/>
  <c r="D30" i="11"/>
  <c r="C30" i="11"/>
  <c r="H29" i="11"/>
  <c r="G29" i="11"/>
  <c r="F29" i="11"/>
  <c r="E29" i="11"/>
  <c r="D29" i="11"/>
  <c r="C29" i="11"/>
  <c r="H28" i="11"/>
  <c r="G28" i="11"/>
  <c r="F28" i="11"/>
  <c r="E28" i="11"/>
  <c r="D28" i="11"/>
  <c r="C28" i="11"/>
  <c r="H27" i="11"/>
  <c r="G27" i="11"/>
  <c r="F27" i="11"/>
  <c r="E27" i="11"/>
  <c r="D27" i="11"/>
  <c r="C27" i="11"/>
  <c r="H26" i="11"/>
  <c r="G26" i="11"/>
  <c r="F26" i="11"/>
  <c r="E26" i="11"/>
  <c r="D26" i="11"/>
  <c r="C26" i="11"/>
  <c r="H25" i="11"/>
  <c r="G25" i="11"/>
  <c r="F25" i="11"/>
  <c r="E25" i="11"/>
  <c r="D25" i="11"/>
  <c r="C25" i="11"/>
  <c r="H24" i="11"/>
  <c r="G24" i="11"/>
  <c r="F24" i="11"/>
  <c r="E24" i="11"/>
  <c r="D24" i="11"/>
  <c r="C24" i="11"/>
  <c r="H23" i="11"/>
  <c r="G23" i="11"/>
  <c r="F23" i="11"/>
  <c r="E23" i="11"/>
  <c r="D23" i="11"/>
  <c r="C23" i="11"/>
  <c r="H22" i="11"/>
  <c r="G22" i="11"/>
  <c r="F22" i="11"/>
  <c r="E22" i="11"/>
  <c r="D22" i="11"/>
  <c r="C22" i="11"/>
  <c r="H21" i="11"/>
  <c r="G21" i="11"/>
  <c r="F21" i="11"/>
  <c r="E21" i="11"/>
  <c r="D21" i="11"/>
  <c r="C21" i="11"/>
  <c r="H20" i="11"/>
  <c r="G20" i="11"/>
  <c r="F20" i="11"/>
  <c r="E20" i="11"/>
  <c r="D20" i="11"/>
  <c r="C20" i="11"/>
  <c r="H19" i="11"/>
  <c r="G19" i="11"/>
  <c r="F19" i="11"/>
  <c r="E19" i="11"/>
  <c r="D19" i="11"/>
  <c r="C19" i="11"/>
  <c r="H18" i="11"/>
  <c r="G18" i="11"/>
  <c r="F18" i="11"/>
  <c r="E18" i="11"/>
  <c r="D18" i="11"/>
  <c r="C18" i="11"/>
  <c r="H17" i="11"/>
  <c r="G17" i="11"/>
  <c r="F17" i="11"/>
  <c r="E17" i="11"/>
  <c r="D17" i="11"/>
  <c r="C17" i="11"/>
  <c r="H16" i="11"/>
  <c r="G16" i="11"/>
  <c r="F16" i="11"/>
  <c r="E16" i="11"/>
  <c r="D16" i="11"/>
  <c r="C16" i="11"/>
  <c r="H15" i="11"/>
  <c r="G15" i="11"/>
  <c r="F15" i="11"/>
  <c r="E15" i="11"/>
  <c r="D15" i="11"/>
  <c r="C15" i="11"/>
  <c r="H14" i="11"/>
  <c r="G14" i="11"/>
  <c r="F14" i="11"/>
  <c r="E14" i="11"/>
  <c r="D14" i="11"/>
  <c r="C14" i="11"/>
  <c r="H13" i="11"/>
  <c r="G13" i="11"/>
  <c r="F13" i="11"/>
  <c r="E13" i="11"/>
  <c r="D13" i="11"/>
  <c r="C13" i="11"/>
  <c r="H12" i="11"/>
  <c r="G12" i="11"/>
  <c r="F12" i="11"/>
  <c r="E12" i="11"/>
  <c r="D12" i="11"/>
  <c r="C12" i="11"/>
  <c r="H11" i="11"/>
  <c r="G11" i="11"/>
  <c r="F11" i="11"/>
  <c r="E11" i="11"/>
  <c r="D11" i="11"/>
  <c r="C11" i="11"/>
  <c r="H10" i="11"/>
  <c r="G10" i="11"/>
  <c r="F10" i="11"/>
  <c r="E10" i="11"/>
  <c r="D10" i="11"/>
  <c r="C10" i="11"/>
  <c r="H9" i="11"/>
  <c r="G9" i="11"/>
  <c r="F9" i="11"/>
  <c r="E9" i="11"/>
  <c r="D9" i="11"/>
  <c r="C9" i="11"/>
  <c r="H8" i="11"/>
  <c r="G8" i="11"/>
  <c r="F8" i="11"/>
  <c r="E8" i="11"/>
  <c r="D8" i="11"/>
  <c r="C8" i="11"/>
  <c r="H7" i="11"/>
  <c r="G7" i="11"/>
  <c r="F7" i="11"/>
  <c r="E7" i="11"/>
  <c r="D7" i="11"/>
  <c r="C7" i="11"/>
  <c r="H6" i="11"/>
  <c r="G6" i="11"/>
  <c r="F6" i="11"/>
  <c r="E6" i="11"/>
  <c r="D6" i="11"/>
  <c r="C6" i="11"/>
  <c r="H5" i="11"/>
  <c r="G5" i="11"/>
  <c r="F5" i="11"/>
  <c r="E5" i="11"/>
  <c r="D5" i="11"/>
  <c r="C5" i="11"/>
  <c r="H4" i="11"/>
  <c r="G4" i="11"/>
  <c r="F4" i="11"/>
  <c r="E4" i="11"/>
  <c r="D4" i="11"/>
  <c r="C4" i="11"/>
  <c r="H3" i="11"/>
  <c r="G3" i="11"/>
  <c r="F3" i="11"/>
  <c r="E3" i="11"/>
  <c r="D3" i="11"/>
  <c r="C3" i="11"/>
  <c r="D6" i="1"/>
  <c r="D7" i="1"/>
  <c r="D8" i="1"/>
  <c r="D9" i="1"/>
  <c r="D10" i="1"/>
  <c r="D11" i="1"/>
  <c r="D13" i="1"/>
  <c r="D14" i="1"/>
  <c r="D15" i="1"/>
  <c r="D16" i="1"/>
  <c r="D17" i="1"/>
  <c r="D18" i="1"/>
  <c r="D19" i="1"/>
  <c r="D20" i="1"/>
  <c r="D21" i="1"/>
  <c r="D22" i="1"/>
  <c r="D24" i="1"/>
  <c r="D27" i="1"/>
  <c r="D29" i="1"/>
  <c r="D30" i="1"/>
  <c r="D35" i="1"/>
  <c r="D36" i="1"/>
  <c r="D39" i="1"/>
  <c r="D40" i="1"/>
  <c r="D44" i="1"/>
  <c r="D46" i="1"/>
  <c r="D60" i="1"/>
  <c r="D61" i="1"/>
  <c r="D64" i="1"/>
  <c r="D65" i="1"/>
  <c r="D67" i="1"/>
  <c r="D68" i="1"/>
  <c r="D70" i="1"/>
  <c r="D71" i="1"/>
  <c r="D73" i="1"/>
  <c r="D74" i="1"/>
  <c r="D76" i="1"/>
  <c r="D79" i="1"/>
  <c r="D80" i="1"/>
  <c r="D81" i="1"/>
  <c r="D82" i="1"/>
  <c r="D12" i="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4" i="11"/>
  <c r="B3" i="11"/>
  <c r="C4" i="10"/>
  <c r="H4" i="10" s="1"/>
  <c r="D4" i="10"/>
  <c r="E4" i="10"/>
  <c r="F4" i="10"/>
  <c r="G4" i="10"/>
  <c r="C5" i="10"/>
  <c r="H5" i="10" s="1"/>
  <c r="D5" i="10"/>
  <c r="E5" i="10"/>
  <c r="F5" i="10"/>
  <c r="G5" i="10"/>
  <c r="C6" i="10"/>
  <c r="H6" i="10" s="1"/>
  <c r="D6" i="10"/>
  <c r="E6" i="10"/>
  <c r="F6" i="10"/>
  <c r="G6" i="10"/>
  <c r="C7" i="10"/>
  <c r="H7" i="10" s="1"/>
  <c r="D7" i="10"/>
  <c r="E7" i="10"/>
  <c r="F7" i="10"/>
  <c r="G7" i="10"/>
  <c r="C8" i="10"/>
  <c r="H8" i="10" s="1"/>
  <c r="D8" i="10"/>
  <c r="E8" i="10"/>
  <c r="F8" i="10"/>
  <c r="G8" i="10"/>
  <c r="C9" i="10"/>
  <c r="H9" i="10" s="1"/>
  <c r="D9" i="10"/>
  <c r="E9" i="10"/>
  <c r="F9" i="10"/>
  <c r="G9" i="10"/>
  <c r="C10" i="10"/>
  <c r="H10" i="10" s="1"/>
  <c r="D10" i="10"/>
  <c r="E10" i="10"/>
  <c r="F10" i="10"/>
  <c r="G10" i="10"/>
  <c r="C11" i="10"/>
  <c r="H11" i="10" s="1"/>
  <c r="D11" i="10"/>
  <c r="E11" i="10"/>
  <c r="F11" i="10"/>
  <c r="G11" i="10"/>
  <c r="C12" i="10"/>
  <c r="H12" i="10" s="1"/>
  <c r="D12" i="10"/>
  <c r="E12" i="10"/>
  <c r="F12" i="10"/>
  <c r="G12" i="10"/>
  <c r="C13" i="10"/>
  <c r="H13" i="10" s="1"/>
  <c r="D13" i="10"/>
  <c r="E13" i="10"/>
  <c r="F13" i="10"/>
  <c r="G13" i="10"/>
  <c r="O373" i="11" l="1"/>
  <c r="O374" i="11"/>
  <c r="O378" i="11"/>
  <c r="O382" i="11"/>
  <c r="O371" i="11"/>
  <c r="O375" i="11"/>
  <c r="O379" i="11"/>
  <c r="O383" i="11"/>
  <c r="O5" i="11"/>
  <c r="O7" i="11"/>
  <c r="O9" i="11"/>
  <c r="O11" i="11"/>
  <c r="O13" i="11"/>
  <c r="O15" i="11"/>
  <c r="O17" i="11"/>
  <c r="O19" i="11"/>
  <c r="O21" i="11"/>
  <c r="O23" i="11"/>
  <c r="O25" i="11"/>
  <c r="O27" i="11"/>
  <c r="O29" i="11"/>
  <c r="O31" i="11"/>
  <c r="O33" i="11"/>
  <c r="O35" i="11"/>
  <c r="O37" i="11"/>
  <c r="O39" i="11"/>
  <c r="O41" i="11"/>
  <c r="O43" i="11"/>
  <c r="O45" i="11"/>
  <c r="O47" i="11"/>
  <c r="O49" i="11"/>
  <c r="O51" i="11"/>
  <c r="O53" i="11"/>
  <c r="O55" i="11"/>
  <c r="O57" i="11"/>
  <c r="O59" i="11"/>
  <c r="O61" i="11"/>
  <c r="O63" i="11"/>
  <c r="O65" i="11"/>
  <c r="O67" i="11"/>
  <c r="O69" i="11"/>
  <c r="O71" i="11"/>
  <c r="O73" i="11"/>
  <c r="O75" i="11"/>
  <c r="O77" i="11"/>
  <c r="O79" i="11"/>
  <c r="O81" i="11"/>
  <c r="O83" i="11"/>
  <c r="O85" i="11"/>
  <c r="O87" i="11"/>
  <c r="O89" i="11"/>
  <c r="O91" i="11"/>
  <c r="O93" i="11"/>
  <c r="O95" i="11"/>
  <c r="O97" i="11"/>
  <c r="O99" i="11"/>
  <c r="O101" i="11"/>
  <c r="O103" i="11"/>
  <c r="O105" i="11"/>
  <c r="O107" i="11"/>
  <c r="O109" i="11"/>
  <c r="O111" i="11"/>
  <c r="O113" i="11"/>
  <c r="O115" i="11"/>
  <c r="O117" i="11"/>
  <c r="O345" i="11"/>
  <c r="O353" i="11"/>
  <c r="O357" i="11"/>
  <c r="O361" i="11"/>
  <c r="O377" i="11"/>
  <c r="O119" i="11"/>
  <c r="O121" i="11"/>
  <c r="O123" i="11"/>
  <c r="O125" i="11"/>
  <c r="O127" i="11"/>
  <c r="O129" i="11"/>
  <c r="O131" i="11"/>
  <c r="O133" i="11"/>
  <c r="O135" i="11"/>
  <c r="O137" i="11"/>
  <c r="O139" i="11"/>
  <c r="O141" i="11"/>
  <c r="O143" i="11"/>
  <c r="O145" i="11"/>
  <c r="O147" i="11"/>
  <c r="O149" i="11"/>
  <c r="O151" i="11"/>
  <c r="O153" i="11"/>
  <c r="O155" i="11"/>
  <c r="O157" i="11"/>
  <c r="O159" i="11"/>
  <c r="O161" i="11"/>
  <c r="O163" i="11"/>
  <c r="O165" i="11"/>
  <c r="O167" i="11"/>
  <c r="O169" i="11"/>
  <c r="O171" i="11"/>
  <c r="O173" i="11"/>
  <c r="O175" i="11"/>
  <c r="O177" i="11"/>
  <c r="O179" i="11"/>
  <c r="O181" i="11"/>
  <c r="O183" i="11"/>
  <c r="O185" i="11"/>
  <c r="O187" i="11"/>
  <c r="O189" i="11"/>
  <c r="O191" i="11"/>
  <c r="O193" i="11"/>
  <c r="O195" i="11"/>
  <c r="O197" i="11"/>
  <c r="O199" i="11"/>
  <c r="O201" i="11"/>
  <c r="O203" i="11"/>
  <c r="O206" i="11"/>
  <c r="O210" i="11"/>
  <c r="O214" i="11"/>
  <c r="O218" i="11"/>
  <c r="O222" i="11"/>
  <c r="O226" i="11"/>
  <c r="O230" i="11"/>
  <c r="O234" i="11"/>
  <c r="O238" i="11"/>
  <c r="O242" i="11"/>
  <c r="O246" i="11"/>
  <c r="O250" i="11"/>
  <c r="O254" i="11"/>
  <c r="O258" i="11"/>
  <c r="O262" i="11"/>
  <c r="O266" i="11"/>
  <c r="O270" i="11"/>
  <c r="O274" i="11"/>
  <c r="O278" i="11"/>
  <c r="O282" i="11"/>
  <c r="O286" i="11"/>
  <c r="O290" i="11"/>
  <c r="O294" i="11"/>
  <c r="O298" i="11"/>
  <c r="O302" i="11"/>
  <c r="O306" i="11"/>
  <c r="O310" i="11"/>
  <c r="O314" i="11"/>
  <c r="O318" i="11"/>
  <c r="O322" i="11"/>
  <c r="O326" i="11"/>
  <c r="O330" i="11"/>
  <c r="O334" i="11"/>
  <c r="O338" i="11"/>
  <c r="O342" i="11"/>
  <c r="O346" i="11"/>
  <c r="O350" i="11"/>
  <c r="O354" i="11"/>
  <c r="O358" i="11"/>
  <c r="O362" i="11"/>
  <c r="O366" i="11"/>
  <c r="O370" i="11"/>
  <c r="O343" i="11"/>
  <c r="O347" i="11"/>
  <c r="O351" i="11"/>
  <c r="O355" i="11"/>
  <c r="O359" i="11"/>
  <c r="O363" i="11"/>
  <c r="O367" i="11"/>
  <c r="O4" i="11"/>
  <c r="O6" i="11"/>
  <c r="O8" i="11"/>
  <c r="O10" i="11"/>
  <c r="O12" i="11"/>
  <c r="O14" i="11"/>
  <c r="O16" i="11"/>
  <c r="O18" i="11"/>
  <c r="O20" i="11"/>
  <c r="O22" i="11"/>
  <c r="O24" i="11"/>
  <c r="O26" i="11"/>
  <c r="O28" i="11"/>
  <c r="O30" i="11"/>
  <c r="O32" i="11"/>
  <c r="O34" i="11"/>
  <c r="O36" i="11"/>
  <c r="O38" i="11"/>
  <c r="O40" i="11"/>
  <c r="O42" i="11"/>
  <c r="O44" i="11"/>
  <c r="O46" i="11"/>
  <c r="O48" i="11"/>
  <c r="O50" i="11"/>
  <c r="O52" i="11"/>
  <c r="O54" i="11"/>
  <c r="O56" i="11"/>
  <c r="O58" i="11"/>
  <c r="O60" i="11"/>
  <c r="O62" i="11"/>
  <c r="O64" i="11"/>
  <c r="O66" i="11"/>
  <c r="O68" i="11"/>
  <c r="O70" i="11"/>
  <c r="O72" i="11"/>
  <c r="O74" i="11"/>
  <c r="O76" i="11"/>
  <c r="O78" i="11"/>
  <c r="O80" i="11"/>
  <c r="O82" i="11"/>
  <c r="O84" i="11"/>
  <c r="O86" i="11"/>
  <c r="O88" i="11"/>
  <c r="O90" i="11"/>
  <c r="O92" i="11"/>
  <c r="O94" i="11"/>
  <c r="O96" i="11"/>
  <c r="O98" i="11"/>
  <c r="O100" i="11"/>
  <c r="O102" i="11"/>
  <c r="O104" i="11"/>
  <c r="O106" i="11"/>
  <c r="O108" i="11"/>
  <c r="O110" i="11"/>
  <c r="O112" i="11"/>
  <c r="O114" i="11"/>
  <c r="O116" i="11"/>
  <c r="O118" i="11"/>
  <c r="O120" i="11"/>
  <c r="O122" i="11"/>
  <c r="O124" i="11"/>
  <c r="O126" i="11"/>
  <c r="O128" i="11"/>
  <c r="O130" i="11"/>
  <c r="O132" i="11"/>
  <c r="O134" i="11"/>
  <c r="O136" i="11"/>
  <c r="O138" i="11"/>
  <c r="O140" i="11"/>
  <c r="O142" i="11"/>
  <c r="O144" i="11"/>
  <c r="O146" i="11"/>
  <c r="O148" i="11"/>
  <c r="O150" i="11"/>
  <c r="O152" i="11"/>
  <c r="O154" i="11"/>
  <c r="O156" i="11"/>
  <c r="O158" i="11"/>
  <c r="O160" i="11"/>
  <c r="O162" i="11"/>
  <c r="O164" i="11"/>
  <c r="O166" i="11"/>
  <c r="O168" i="11"/>
  <c r="O170" i="11"/>
  <c r="O172" i="11"/>
  <c r="O174" i="11"/>
  <c r="O176" i="11"/>
  <c r="O178" i="11"/>
  <c r="O180" i="11"/>
  <c r="O182" i="11"/>
  <c r="O184" i="11"/>
  <c r="O186" i="11"/>
  <c r="O188" i="11"/>
  <c r="O190" i="11"/>
  <c r="O192" i="11"/>
  <c r="O194" i="11"/>
  <c r="O196" i="11"/>
  <c r="O198" i="11"/>
  <c r="O200" i="11"/>
  <c r="O202" i="11"/>
  <c r="O204" i="11"/>
  <c r="O208" i="11"/>
  <c r="O212" i="11"/>
  <c r="O216" i="11"/>
  <c r="O220" i="11"/>
  <c r="O224" i="11"/>
  <c r="O228" i="11"/>
  <c r="O232" i="11"/>
  <c r="O236" i="11"/>
  <c r="O240" i="11"/>
  <c r="O244" i="11"/>
  <c r="O248" i="11"/>
  <c r="O252" i="11"/>
  <c r="O256" i="11"/>
  <c r="O260" i="11"/>
  <c r="O264" i="11"/>
  <c r="O268" i="11"/>
  <c r="O272" i="11"/>
  <c r="O276" i="11"/>
  <c r="O280" i="11"/>
  <c r="O284" i="11"/>
  <c r="O288" i="11"/>
  <c r="O292" i="11"/>
  <c r="O296" i="11"/>
  <c r="O300" i="11"/>
  <c r="O304" i="11"/>
  <c r="O308" i="11"/>
  <c r="O312" i="11"/>
  <c r="O316" i="11"/>
  <c r="O320" i="11"/>
  <c r="O324" i="11"/>
  <c r="O328" i="11"/>
  <c r="O332" i="11"/>
  <c r="O336" i="11"/>
  <c r="O340" i="11"/>
  <c r="O344" i="11"/>
  <c r="O348" i="11"/>
  <c r="O352" i="11"/>
  <c r="O356" i="11"/>
  <c r="O360" i="11"/>
  <c r="O364" i="11"/>
  <c r="O368" i="11"/>
  <c r="O372" i="11"/>
  <c r="O376" i="11"/>
  <c r="O380" i="11"/>
  <c r="O205" i="11"/>
  <c r="O209" i="11"/>
  <c r="O213" i="11"/>
  <c r="O217" i="11"/>
  <c r="O221" i="11"/>
  <c r="O225" i="11"/>
  <c r="O229" i="11"/>
  <c r="O233" i="11"/>
  <c r="O237" i="11"/>
  <c r="O241" i="11"/>
  <c r="O245" i="11"/>
  <c r="O249" i="11"/>
  <c r="O253" i="11"/>
  <c r="O257" i="11"/>
  <c r="O261" i="11"/>
  <c r="O265" i="11"/>
  <c r="O269" i="11"/>
  <c r="O273" i="11"/>
  <c r="O277" i="11"/>
  <c r="O281" i="11"/>
  <c r="O285" i="11"/>
  <c r="O289" i="11"/>
  <c r="O293" i="11"/>
  <c r="O297" i="11"/>
  <c r="O301" i="11"/>
  <c r="O305" i="11"/>
  <c r="O309" i="11"/>
  <c r="O313" i="11"/>
  <c r="O317" i="11"/>
  <c r="O321" i="11"/>
  <c r="O325" i="11"/>
  <c r="O329" i="11"/>
  <c r="O333" i="11"/>
  <c r="O337" i="11"/>
  <c r="O341" i="11"/>
  <c r="O349" i="11"/>
  <c r="O365" i="11"/>
  <c r="O369" i="11"/>
  <c r="O381" i="11"/>
  <c r="O207" i="11"/>
  <c r="O211" i="11"/>
  <c r="O215" i="11"/>
  <c r="O219" i="11"/>
  <c r="O223" i="11"/>
  <c r="O227" i="11"/>
  <c r="O231" i="11"/>
  <c r="O235" i="11"/>
  <c r="O239" i="11"/>
  <c r="O243" i="11"/>
  <c r="O247" i="11"/>
  <c r="O251" i="11"/>
  <c r="O255" i="11"/>
  <c r="O259" i="11"/>
  <c r="O263" i="11"/>
  <c r="O267" i="11"/>
  <c r="O271" i="11"/>
  <c r="O275" i="11"/>
  <c r="O279" i="11"/>
  <c r="O283" i="11"/>
  <c r="O287" i="11"/>
  <c r="O291" i="11"/>
  <c r="O295" i="11"/>
  <c r="O299" i="11"/>
  <c r="O303" i="11"/>
  <c r="O307" i="11"/>
  <c r="O311" i="11"/>
  <c r="O315" i="11"/>
  <c r="O319" i="11"/>
  <c r="O323" i="11"/>
  <c r="O327" i="11"/>
  <c r="O331" i="11"/>
  <c r="O335" i="11"/>
  <c r="O339" i="11"/>
  <c r="O3" i="11"/>
  <c r="C2" i="11"/>
  <c r="F2" i="11"/>
  <c r="D2" i="11"/>
  <c r="G2" i="11"/>
  <c r="H2" i="11"/>
  <c r="E2" i="11"/>
</calcChain>
</file>

<file path=xl/comments1.xml><?xml version="1.0" encoding="utf-8"?>
<comments xmlns="http://schemas.openxmlformats.org/spreadsheetml/2006/main">
  <authors>
    <author>FXML PrintRoom (FXV HCM)</author>
    <author>Nguyen, ThanhMy (FXV HCM)</author>
  </authors>
  <commentList>
    <comment ref="G147" authorId="0" shapeId="0">
      <text>
        <r>
          <rPr>
            <b/>
            <sz val="9"/>
            <color indexed="81"/>
            <rFont val="Tahoma"/>
            <family val="2"/>
          </rPr>
          <t>FXML PrintRoom (FXV HCM):</t>
        </r>
        <r>
          <rPr>
            <sz val="9"/>
            <color indexed="81"/>
            <rFont val="Tahoma"/>
            <family val="2"/>
          </rPr>
          <t xml:space="preserve">
Mother in law passed away</t>
        </r>
      </text>
    </comment>
    <comment ref="G148" authorId="0" shapeId="0">
      <text>
        <r>
          <rPr>
            <b/>
            <sz val="9"/>
            <color indexed="81"/>
            <rFont val="Tahoma"/>
            <family val="2"/>
          </rPr>
          <t>FXML PrintRoom (FXV HCM):</t>
        </r>
        <r>
          <rPr>
            <sz val="9"/>
            <color indexed="81"/>
            <rFont val="Tahoma"/>
            <family val="2"/>
          </rPr>
          <t xml:space="preserve">
Mother in law passed away</t>
        </r>
      </text>
    </comment>
    <comment ref="G149" authorId="0" shapeId="0">
      <text>
        <r>
          <rPr>
            <b/>
            <sz val="9"/>
            <color indexed="81"/>
            <rFont val="Tahoma"/>
            <family val="2"/>
          </rPr>
          <t>FXML PrintRoom (FXV HCM):</t>
        </r>
        <r>
          <rPr>
            <sz val="9"/>
            <color indexed="81"/>
            <rFont val="Tahoma"/>
            <family val="2"/>
          </rPr>
          <t xml:space="preserve">
Mother in law passed away</t>
        </r>
      </text>
    </comment>
    <comment ref="G171" authorId="0" shapeId="0">
      <text>
        <r>
          <rPr>
            <b/>
            <sz val="9"/>
            <color indexed="81"/>
            <rFont val="Tahoma"/>
            <family val="2"/>
          </rPr>
          <t>FXML PrintRoom (FXV HCM):</t>
        </r>
        <r>
          <rPr>
            <sz val="9"/>
            <color indexed="81"/>
            <rFont val="Tahoma"/>
            <family val="2"/>
          </rPr>
          <t xml:space="preserve">
Mother in law passed away</t>
        </r>
      </text>
    </comment>
    <comment ref="N213" authorId="1" shapeId="0">
      <text>
        <r>
          <rPr>
            <b/>
            <sz val="9"/>
            <color indexed="81"/>
            <rFont val="Tahoma"/>
            <family val="2"/>
          </rPr>
          <t>Nguyen, ThanhMy (FXV HCM):</t>
        </r>
        <r>
          <rPr>
            <sz val="9"/>
            <color indexed="81"/>
            <rFont val="Tahoma"/>
            <family val="2"/>
          </rPr>
          <t xml:space="preserve">
Forgot to record =&gt; he can use other day</t>
        </r>
      </text>
    </comment>
    <comment ref="N214" authorId="1" shapeId="0">
      <text>
        <r>
          <rPr>
            <b/>
            <sz val="9"/>
            <color indexed="81"/>
            <rFont val="Tahoma"/>
            <family val="2"/>
          </rPr>
          <t>Nguyen, ThanhMy (FXV HCM):</t>
        </r>
        <r>
          <rPr>
            <sz val="9"/>
            <color indexed="81"/>
            <rFont val="Tahoma"/>
            <family val="2"/>
          </rPr>
          <t xml:space="preserve">
Forgot to record =&gt; he can use other day</t>
        </r>
      </text>
    </comment>
  </commentList>
</comments>
</file>

<file path=xl/sharedStrings.xml><?xml version="1.0" encoding="utf-8"?>
<sst xmlns="http://schemas.openxmlformats.org/spreadsheetml/2006/main" count="376" uniqueCount="73">
  <si>
    <t>Nr.</t>
  </si>
  <si>
    <t>Annual Leave</t>
  </si>
  <si>
    <t>Full name</t>
  </si>
  <si>
    <t>Sick Leave</t>
  </si>
  <si>
    <t>Balance</t>
  </si>
  <si>
    <t>LEAVE MANAGEMENT</t>
  </si>
  <si>
    <t>Nguyen Thanh My</t>
  </si>
  <si>
    <t>Dang Minh Phuc</t>
  </si>
  <si>
    <t>Total available leaves</t>
  </si>
  <si>
    <t>Other Leaves</t>
  </si>
  <si>
    <t>Le Thanh Vi</t>
  </si>
  <si>
    <t>Nguyen Nhu Y Vi</t>
  </si>
  <si>
    <t>Off In lieu</t>
  </si>
  <si>
    <t>Nguyen Minh Tuan</t>
  </si>
  <si>
    <t>Nguyen Thanh Loc</t>
  </si>
  <si>
    <t>Tran Thi Kim Thoa</t>
  </si>
  <si>
    <t>Trinh Thi Hue</t>
  </si>
  <si>
    <t>Tran Thai Thuan</t>
  </si>
  <si>
    <t>Date</t>
  </si>
  <si>
    <t>Approved Date</t>
  </si>
  <si>
    <t>Mariage Leave</t>
  </si>
  <si>
    <t>Total Leave</t>
  </si>
  <si>
    <t>Unpaid leave</t>
  </si>
  <si>
    <t>Julkifli Osmanl</t>
  </si>
  <si>
    <t>Tran Thi Kim Oanh</t>
  </si>
  <si>
    <t>Tran Ngoc Hieu</t>
  </si>
  <si>
    <t>Funeral Leave</t>
  </si>
  <si>
    <t>Remark</t>
  </si>
  <si>
    <t>Do Thi Hue</t>
  </si>
  <si>
    <t>Le Hoang Ngoc</t>
  </si>
  <si>
    <t>Nguyen Truong Loc</t>
  </si>
  <si>
    <t>Dinh Thi Ngoc Van</t>
  </si>
  <si>
    <t>Trinh Hoang Oanh</t>
  </si>
  <si>
    <t>Nguyen Trung Tin</t>
  </si>
  <si>
    <t>Le Thi Thu Thanh</t>
  </si>
  <si>
    <t>Vuong Quoc Trieu</t>
  </si>
  <si>
    <t>Backfill by Dinh Thi Ngoc Van</t>
  </si>
  <si>
    <t>Backfill by Dinh Thi Ngoc Van (8:30-15:00)</t>
  </si>
  <si>
    <t>Nguyen Ngoc Truong Loc</t>
  </si>
  <si>
    <t>Nguyen Thi Hai Yen</t>
  </si>
  <si>
    <t>Backfill by Nguyen Thi Thuy NgaNgoc Van</t>
  </si>
  <si>
    <t>Backfill by Nga</t>
  </si>
  <si>
    <t>Backfill by Trang</t>
  </si>
  <si>
    <t>Backfill by Thanh Vi</t>
  </si>
  <si>
    <t>Backfill by Trinh Hoang Oanh, Thanh Vi</t>
  </si>
  <si>
    <t>Tran Kim Thuong</t>
  </si>
  <si>
    <t>Mainpower</t>
  </si>
  <si>
    <t>DOW</t>
  </si>
  <si>
    <t>Fullname</t>
  </si>
  <si>
    <t>#</t>
  </si>
  <si>
    <t>To achieve better relationship among staff &amp; strong teamwork</t>
  </si>
  <si>
    <t>a) To participate &amp; submit staff survey every year.
Tham gia khảo sát nhân viên mỗi năm.
b) Staff to share the workload, documenting &amp; sharing knowledge/experience monthly.
Nhân viên chia sẻ khối lượng công việc, tư liệu và chia sẻ kiến thức / kinh nghiệm hàng tháng.
c) Staff to participate in at least 1 team building event/year
Nhân viên tham gia vào ít nhất 1 sự kiện đội nhóm</t>
  </si>
  <si>
    <t>Main Goal</t>
  </si>
  <si>
    <t>Description</t>
  </si>
  <si>
    <t>To enforce staff work discipline</t>
  </si>
  <si>
    <t xml:space="preserve">To incorporate performance measure on all production stations
</t>
  </si>
  <si>
    <t>a) Ensure QC check is done at all station (aided by check list)
Đảm bảo kiểm tra được thực hiện tại tất cả các trạm (được hỗ trợ bởi danh sách kiểm tra)
b) To meet agreed SLA for all line of services
Để thỏa mãn đồng ý SLA cho tất cả các dòng dịch vụ
c) Participate in 6sigma initiatives.
Tham gia vào chương trình 6 Sigma để đảm bảo chất lượng công việc</t>
  </si>
  <si>
    <t>Weight</t>
  </si>
  <si>
    <t>a</t>
  </si>
  <si>
    <t>b</t>
  </si>
  <si>
    <t>c</t>
  </si>
  <si>
    <t xml:space="preserve">To promote Health &amp; safety practices
</t>
  </si>
  <si>
    <t xml:space="preserve">a) Atleast 1 improvement initiative/half yearly
Ít nhất 1 sáng kiến cải tiến năng suất trong nửa năm
b) Discuss to agree on the action plan/initiative
Thảo luận, đồng ý trên phương án triển khai năn suất, sáng kiến
c) Implementing, tracking and review the effectiveness of the initiative monthly. 
Thực hiện, theo dõi và tổng kết lại hiệu quả của các sáng kiến hàng tháng
</t>
  </si>
  <si>
    <t xml:space="preserve">Discuss healthy, safety working habit in monthly team meeting.
Thảo luận về sức khỏe và thói quen an toàn lao động thàng trong các cuộc họp nhóm hàng tháng
</t>
  </si>
  <si>
    <t xml:space="preserve">a) Attend monthly team meeting to discuss work discipline
Tham dự cuộc họp nhóm hàng tháng để thảo luận về kỷ luật lao động
b) Submit leave plan every quarter.
Lập kế hoạch nghỉ phép hàng quý
d) Attendance &amp; Over-time commitment.
Sự chuyên cần và nghỉ phép có kế hoạch, cam kết làm việc tăng ca
</t>
  </si>
  <si>
    <t>Unpaid day</t>
  </si>
  <si>
    <t>Leave with full paid day</t>
  </si>
  <si>
    <t>Backfill by Thanh Vi, Oanh</t>
  </si>
  <si>
    <t>To inculcate continuous improvement within operation</t>
  </si>
  <si>
    <t xml:space="preserve"> 4 Apr - 5 Apr: Take 2 days leave plan on peak cycle (family's member wedding)</t>
  </si>
  <si>
    <t>3 Apr - 5 Apr 2019: 3 days unplanned leave on peak cycle (it's an unforeseeable situation)
23 Apr 2019: an hour unplanned late (take mother to the hospital)</t>
  </si>
  <si>
    <t>Trinh Kim Toan</t>
  </si>
  <si>
    <t>Tran Tan Thinh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</si>
</sst>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
    <numFmt numFmtId="166" formatCode="[$-409]d\-mmm\-yy;@"/>
  </numFmts>
  <fonts count="10" x14ac:knownFonts="1">
    <font>
      <sz val="11"/>
      <color theme="1"/>
      <name val="Calibri"/>
      <family val="2"/>
      <scheme val="minor"/>
    </font>
    <font>
      <sz val="13"/>
      <color theme="1"/>
      <name val="Times New Roman"/>
      <family val="1"/>
    </font>
    <font>
      <b/>
      <sz val="13"/>
      <color theme="1"/>
      <name val="Times New Roman"/>
      <family val="1"/>
    </font>
    <font>
      <b/>
      <sz val="13"/>
      <color theme="0"/>
      <name val="Times New Roman"/>
      <family val="1"/>
    </font>
    <font>
      <sz val="9"/>
      <color indexed="81"/>
      <name val="Tahoma"/>
      <family val="2"/>
    </font>
    <font>
      <b/>
      <sz val="9"/>
      <color indexed="81"/>
      <name val="Tahoma"/>
      <family val="2"/>
    </font>
    <font>
      <sz val="13"/>
      <color rgb="FFFF0000"/>
      <name val="Times New Roman"/>
      <family val="1"/>
    </font>
    <font>
      <sz val="13"/>
      <color rgb="FF252525"/>
      <name val="Times New Roman"/>
      <family val="1"/>
    </font>
    <font>
      <b/>
      <sz val="13"/>
      <color rgb="FF252525"/>
      <name val="Times New Roman"/>
      <family val="1"/>
    </font>
    <font>
      <b/>
      <sz val="20"/>
      <color rgb="FFFFFFFF"/>
      <name val="Times New Roman"/>
      <family val="1"/>
    </font>
  </fonts>
  <fills count="8">
    <fill>
      <patternFill patternType="none"/>
    </fill>
    <fill>
      <patternFill patternType="gray125"/>
    </fill>
    <fill>
      <patternFill patternType="solid">
        <fgColor rgb="FFBC2716"/>
        <bgColor indexed="64"/>
      </patternFill>
    </fill>
    <fill>
      <patternFill patternType="lightGray">
        <fgColor rgb="FFFFFF00"/>
        <bgColor rgb="FFFFFFEF"/>
      </patternFill>
    </fill>
    <fill>
      <patternFill patternType="solid">
        <fgColor rgb="FFFF0000"/>
        <bgColor rgb="FFFFFF00"/>
      </patternFill>
    </fill>
    <fill>
      <patternFill patternType="solid">
        <fgColor theme="8" tint="-0.499984740745262"/>
        <bgColor indexed="64"/>
      </patternFill>
    </fill>
    <fill>
      <patternFill patternType="solid">
        <fgColor rgb="FFFFFF00"/>
        <bgColor indexed="64"/>
      </patternFill>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165" fontId="1" fillId="0" borderId="1" xfId="0" applyNumberFormat="1" applyFont="1" applyBorder="1"/>
    <xf numFmtId="0" fontId="1" fillId="0" borderId="1" xfId="0" applyFont="1" applyBorder="1" applyAlignment="1">
      <alignment horizontal="center"/>
    </xf>
    <xf numFmtId="0" fontId="1" fillId="0" borderId="0" xfId="0" applyFont="1"/>
    <xf numFmtId="166" fontId="1" fillId="0" borderId="1" xfId="0" applyNumberFormat="1" applyFont="1" applyBorder="1"/>
    <xf numFmtId="0" fontId="2" fillId="3" borderId="1" xfId="0" applyFont="1" applyFill="1" applyBorder="1" applyAlignment="1">
      <alignment vertical="center" wrapText="1"/>
    </xf>
    <xf numFmtId="0" fontId="1" fillId="0" borderId="1" xfId="0" applyFont="1" applyBorder="1"/>
    <xf numFmtId="164" fontId="1" fillId="0" borderId="1" xfId="0" applyNumberFormat="1" applyFont="1" applyBorder="1" applyAlignment="1">
      <alignment horizontal="center"/>
    </xf>
    <xf numFmtId="164" fontId="1" fillId="0" borderId="1" xfId="0" applyNumberFormat="1" applyFont="1" applyFill="1" applyBorder="1" applyAlignment="1">
      <alignment horizontal="center"/>
    </xf>
    <xf numFmtId="0" fontId="2" fillId="3" borderId="1" xfId="0" applyFont="1" applyFill="1" applyBorder="1" applyAlignment="1">
      <alignment horizontal="left" vertical="top" wrapText="1"/>
    </xf>
    <xf numFmtId="0" fontId="3" fillId="4" borderId="1" xfId="0" applyFont="1" applyFill="1" applyBorder="1" applyAlignment="1">
      <alignment horizontal="left" vertical="top" wrapText="1"/>
    </xf>
    <xf numFmtId="164" fontId="1" fillId="0" borderId="2" xfId="0" applyNumberFormat="1" applyFont="1" applyBorder="1" applyAlignment="1">
      <alignment horizontal="center"/>
    </xf>
    <xf numFmtId="0" fontId="2" fillId="3" borderId="1" xfId="0" applyFont="1" applyFill="1" applyBorder="1" applyAlignment="1">
      <alignment vertical="top" wrapText="1"/>
    </xf>
    <xf numFmtId="0" fontId="1" fillId="0" borderId="0" xfId="0" applyFont="1" applyAlignment="1">
      <alignment vertical="top"/>
    </xf>
    <xf numFmtId="0" fontId="1" fillId="0" borderId="0" xfId="0" applyFont="1" applyAlignment="1">
      <alignment horizontal="center"/>
    </xf>
    <xf numFmtId="164" fontId="1" fillId="6" borderId="1" xfId="0" applyNumberFormat="1" applyFont="1" applyFill="1" applyBorder="1" applyAlignment="1">
      <alignment horizontal="center"/>
    </xf>
    <xf numFmtId="0" fontId="3" fillId="5" borderId="3" xfId="0" applyFont="1" applyFill="1" applyBorder="1" applyAlignment="1">
      <alignment horizontal="center" vertical="top" wrapText="1"/>
    </xf>
    <xf numFmtId="164" fontId="3" fillId="5" borderId="4" xfId="0" applyNumberFormat="1" applyFont="1" applyFill="1" applyBorder="1" applyAlignment="1">
      <alignment horizontal="center" vertical="top" wrapText="1"/>
    </xf>
    <xf numFmtId="164" fontId="3" fillId="5" borderId="5" xfId="0" applyNumberFormat="1" applyFont="1" applyFill="1" applyBorder="1" applyAlignment="1">
      <alignment horizontal="center" vertical="top" wrapText="1"/>
    </xf>
    <xf numFmtId="0" fontId="2" fillId="3" borderId="1" xfId="0" applyFont="1" applyFill="1" applyBorder="1" applyAlignment="1">
      <alignment horizontal="center" vertical="center" wrapText="1"/>
    </xf>
    <xf numFmtId="0" fontId="1" fillId="0" borderId="1" xfId="0" applyFont="1" applyBorder="1" applyAlignment="1">
      <alignment vertical="center"/>
    </xf>
    <xf numFmtId="0" fontId="6" fillId="0" borderId="1" xfId="0" applyFont="1" applyBorder="1" applyAlignment="1">
      <alignment vertical="center"/>
    </xf>
    <xf numFmtId="0" fontId="1" fillId="0" borderId="0" xfId="0" applyFont="1" applyAlignment="1">
      <alignment vertical="center"/>
    </xf>
    <xf numFmtId="0" fontId="1" fillId="0" borderId="0" xfId="0" applyFont="1" applyBorder="1"/>
    <xf numFmtId="166" fontId="1" fillId="0" borderId="1" xfId="0" applyNumberFormat="1" applyFont="1" applyBorder="1" applyAlignment="1">
      <alignment horizontal="center"/>
    </xf>
    <xf numFmtId="0" fontId="7" fillId="0" borderId="1" xfId="0" applyFont="1" applyBorder="1" applyAlignment="1">
      <alignment vertical="top" wrapText="1"/>
    </xf>
    <xf numFmtId="0" fontId="3" fillId="5" borderId="8" xfId="0" applyFont="1" applyFill="1" applyBorder="1" applyAlignment="1">
      <alignment horizontal="left" vertical="top" wrapText="1"/>
    </xf>
    <xf numFmtId="0" fontId="1" fillId="0" borderId="1" xfId="0" applyFont="1" applyBorder="1" applyAlignment="1">
      <alignment horizontal="center" vertical="top"/>
    </xf>
    <xf numFmtId="0" fontId="3" fillId="5" borderId="8" xfId="0" applyFont="1" applyFill="1" applyBorder="1" applyAlignment="1">
      <alignment horizontal="center" vertical="top" wrapText="1"/>
    </xf>
    <xf numFmtId="0" fontId="3" fillId="5" borderId="8" xfId="0" applyFont="1" applyFill="1" applyBorder="1" applyAlignment="1">
      <alignment horizontal="left" vertical="center" wrapText="1"/>
    </xf>
    <xf numFmtId="0" fontId="3" fillId="5" borderId="8" xfId="0" applyFont="1" applyFill="1" applyBorder="1" applyAlignment="1">
      <alignment horizontal="center" vertical="center" wrapText="1"/>
    </xf>
    <xf numFmtId="0" fontId="7" fillId="0" borderId="1" xfId="0" applyFont="1" applyBorder="1" applyAlignment="1">
      <alignment horizontal="center" vertical="center" wrapText="1"/>
    </xf>
    <xf numFmtId="9" fontId="7" fillId="0" borderId="1" xfId="0" applyNumberFormat="1" applyFont="1" applyBorder="1" applyAlignment="1">
      <alignment horizontal="center" vertical="center" wrapText="1"/>
    </xf>
    <xf numFmtId="0" fontId="1" fillId="0" borderId="0" xfId="0" applyFont="1" applyAlignment="1">
      <alignment horizontal="center" vertical="center"/>
    </xf>
    <xf numFmtId="0" fontId="8" fillId="6" borderId="1" xfId="0" applyFont="1" applyFill="1" applyBorder="1" applyAlignment="1">
      <alignment horizontal="right" vertical="top" wrapText="1"/>
    </xf>
    <xf numFmtId="0" fontId="3" fillId="5" borderId="3" xfId="0" applyFont="1" applyFill="1" applyBorder="1" applyAlignment="1">
      <alignment horizontal="left" vertical="top" wrapText="1"/>
    </xf>
    <xf numFmtId="0" fontId="1" fillId="0" borderId="1" xfId="0" applyFont="1" applyBorder="1" applyAlignment="1">
      <alignment horizontal="center" vertical="center"/>
    </xf>
    <xf numFmtId="0" fontId="1" fillId="0" borderId="1" xfId="0" applyFont="1" applyBorder="1" applyAlignment="1">
      <alignment vertical="center" wrapText="1"/>
    </xf>
    <xf numFmtId="166" fontId="1" fillId="6" borderId="1" xfId="0" applyNumberFormat="1" applyFont="1" applyFill="1" applyBorder="1" applyAlignment="1">
      <alignment horizontal="center"/>
    </xf>
    <xf numFmtId="166" fontId="1" fillId="7" borderId="1" xfId="0" applyNumberFormat="1" applyFont="1" applyFill="1" applyBorder="1"/>
    <xf numFmtId="0" fontId="3" fillId="5" borderId="6" xfId="0" applyFont="1" applyFill="1" applyBorder="1" applyAlignment="1">
      <alignment horizontal="center" vertical="center" wrapText="1"/>
    </xf>
    <xf numFmtId="0" fontId="3" fillId="5" borderId="7" xfId="0" applyFont="1" applyFill="1" applyBorder="1" applyAlignment="1">
      <alignment horizontal="center" vertical="center" wrapText="1"/>
    </xf>
    <xf numFmtId="0" fontId="9" fillId="2" borderId="9" xfId="0" applyFont="1" applyFill="1" applyBorder="1" applyAlignment="1">
      <alignment horizontal="center" vertical="center" wrapText="1"/>
    </xf>
    <xf numFmtId="0" fontId="9" fillId="2" borderId="10" xfId="0" applyFont="1" applyFill="1" applyBorder="1" applyAlignment="1">
      <alignment horizontal="center" vertical="center" wrapText="1"/>
    </xf>
    <xf numFmtId="0" fontId="9" fillId="2" borderId="11" xfId="0" applyFont="1" applyFill="1" applyBorder="1" applyAlignment="1">
      <alignment horizontal="center" vertical="center" wrapText="1"/>
    </xf>
  </cellXfs>
  <cellStyles count="1">
    <cellStyle name="Normal" xfId="0" builtinId="0"/>
  </cellStyles>
  <dxfs count="1007">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9C0006"/>
      </font>
      <fill>
        <patternFill>
          <bgColor rgb="FFFFC7CE"/>
        </patternFill>
      </fill>
    </dxf>
    <dxf>
      <font>
        <color theme="0"/>
      </font>
    </dxf>
    <dxf>
      <font>
        <color theme="0"/>
      </font>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219075</xdr:colOff>
      <xdr:row>0</xdr:row>
      <xdr:rowOff>228600</xdr:rowOff>
    </xdr:from>
    <xdr:to>
      <xdr:col>1</xdr:col>
      <xdr:colOff>1247775</xdr:colOff>
      <xdr:row>0</xdr:row>
      <xdr:rowOff>476250</xdr:rowOff>
    </xdr:to>
    <xdr:sp macro="[0]!_xludf.Sort" textlink="">
      <xdr:nvSpPr>
        <xdr:cNvPr id="2" name="Rectangle 1">
          <a:extLst>
            <a:ext uri="{FF2B5EF4-FFF2-40B4-BE49-F238E27FC236}">
              <a16:creationId xmlns:a16="http://schemas.microsoft.com/office/drawing/2014/main" id="{2494470A-3828-4A87-AC7B-E8A218648A2D}"/>
            </a:ext>
          </a:extLst>
        </xdr:cNvPr>
        <xdr:cNvSpPr/>
      </xdr:nvSpPr>
      <xdr:spPr>
        <a:xfrm>
          <a:off x="561975" y="228600"/>
          <a:ext cx="1028700" cy="2476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Do</a:t>
          </a:r>
          <a:r>
            <a:rPr lang="en-US" sz="1200" b="1" baseline="0">
              <a:latin typeface="Times New Roman" panose="02020603050405020304" pitchFamily="18" charset="0"/>
              <a:cs typeface="Times New Roman" panose="02020603050405020304" pitchFamily="18" charset="0"/>
            </a:rPr>
            <a:t> Sorting</a:t>
          </a:r>
          <a:endParaRPr lang="en-US" sz="1200" b="1">
            <a:latin typeface="Times New Roman" panose="02020603050405020304" pitchFamily="18" charset="0"/>
            <a:cs typeface="Times New Roman" panose="02020603050405020304" pitchFamily="18"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1"/>
  <sheetViews>
    <sheetView showGridLines="0" workbookViewId="0">
      <pane xSplit="2" ySplit="1" topLeftCell="C229" activePane="bottomRight" state="frozen"/>
      <selection pane="topRight" activeCell="C1" sqref="C1"/>
      <selection pane="bottomLeft" activeCell="A16" sqref="A16"/>
      <selection pane="bottomRight" activeCell="C250" sqref="C250"/>
    </sheetView>
  </sheetViews>
  <sheetFormatPr defaultRowHeight="16.5" x14ac:dyDescent="0.25"/>
  <cols>
    <col min="1" max="1" width="5.140625" style="3" bestFit="1" customWidth="1"/>
    <col min="2" max="2" width="27.7109375" style="3" customWidth="1"/>
    <col min="3" max="3" width="12.42578125" bestFit="1" customWidth="1"/>
    <col min="4" max="4" width="5.85546875" style="3" bestFit="1" customWidth="1"/>
    <col min="5" max="9" width="10.5703125" style="3" customWidth="1"/>
    <col min="10" max="11" width="10.5703125" style="14" customWidth="1"/>
    <col min="12" max="12" width="9.42578125" style="14" customWidth="1"/>
    <col min="13" max="13" width="12" style="3" customWidth="1"/>
    <col min="14" max="14" width="31.5703125" style="22" customWidth="1"/>
    <col min="15" max="15" width="12.7109375" style="3" customWidth="1"/>
    <col min="16" max="16" width="16.140625" style="3" customWidth="1"/>
    <col min="17" max="17" width="30" style="3" bestFit="1" customWidth="1"/>
    <col min="18" max="18" width="20.7109375" style="3" bestFit="1" customWidth="1"/>
    <col min="19" max="16384" width="9.140625" style="3"/>
  </cols>
  <sheetData>
    <row r="1" spans="1:14" s="13" customFormat="1" ht="42" customHeight="1" x14ac:dyDescent="0.25">
      <c r="A1" s="12" t="s">
        <v>0</v>
      </c>
      <c r="B1" s="12" t="s">
        <v>2</v>
      </c>
      <c r="C1" s="12" t="s">
        <v>18</v>
      </c>
      <c r="D1" s="12"/>
      <c r="E1" s="19" t="s">
        <v>1</v>
      </c>
      <c r="F1" s="19" t="s">
        <v>3</v>
      </c>
      <c r="G1" s="19" t="s">
        <v>26</v>
      </c>
      <c r="H1" s="19" t="s">
        <v>12</v>
      </c>
      <c r="I1" s="19" t="s">
        <v>20</v>
      </c>
      <c r="J1" s="19" t="s">
        <v>22</v>
      </c>
      <c r="K1" s="19" t="s">
        <v>9</v>
      </c>
      <c r="L1" s="19" t="s">
        <v>21</v>
      </c>
      <c r="M1" s="19" t="s">
        <v>19</v>
      </c>
      <c r="N1" s="19" t="s">
        <v>27</v>
      </c>
    </row>
    <row r="2" spans="1:14" x14ac:dyDescent="0.25">
      <c r="A2" s="6">
        <v>1</v>
      </c>
      <c r="B2" s="6" t="s">
        <v>10</v>
      </c>
      <c r="C2" s="4">
        <v>43108</v>
      </c>
      <c r="D2" s="1" t="str">
        <f t="shared" ref="D2:D65" si="0">CHOOSE(WEEKDAY(C2),"Sun","Mon","Tue","Wed","Thu","Fri","Sat")</f>
        <v>Mon</v>
      </c>
      <c r="E2" s="7"/>
      <c r="F2" s="7"/>
      <c r="G2" s="7"/>
      <c r="H2" s="7">
        <v>1</v>
      </c>
      <c r="I2" s="7"/>
      <c r="J2" s="2"/>
      <c r="K2" s="2"/>
      <c r="L2" s="7">
        <f t="shared" ref="L2:L33" si="1">SUM(E2:K2)</f>
        <v>1</v>
      </c>
      <c r="M2" s="6"/>
      <c r="N2" s="20"/>
    </row>
    <row r="3" spans="1:14" x14ac:dyDescent="0.25">
      <c r="A3" s="6">
        <v>2</v>
      </c>
      <c r="B3" s="6" t="s">
        <v>7</v>
      </c>
      <c r="C3" s="4">
        <v>43108</v>
      </c>
      <c r="D3" s="1" t="str">
        <f t="shared" si="0"/>
        <v>Mon</v>
      </c>
      <c r="E3" s="7">
        <v>1</v>
      </c>
      <c r="F3" s="7"/>
      <c r="G3" s="7"/>
      <c r="H3" s="7"/>
      <c r="I3" s="7"/>
      <c r="J3" s="2"/>
      <c r="K3" s="2"/>
      <c r="L3" s="7">
        <f t="shared" si="1"/>
        <v>1</v>
      </c>
      <c r="M3" s="6"/>
      <c r="N3" s="20"/>
    </row>
    <row r="4" spans="1:14" x14ac:dyDescent="0.25">
      <c r="A4" s="6">
        <v>3</v>
      </c>
      <c r="B4" s="6" t="s">
        <v>7</v>
      </c>
      <c r="C4" s="4">
        <v>43109</v>
      </c>
      <c r="D4" s="1" t="str">
        <f t="shared" si="0"/>
        <v>Tue</v>
      </c>
      <c r="E4" s="7">
        <v>1</v>
      </c>
      <c r="F4" s="7"/>
      <c r="G4" s="7"/>
      <c r="H4" s="7"/>
      <c r="I4" s="7"/>
      <c r="J4" s="2"/>
      <c r="K4" s="2"/>
      <c r="L4" s="7">
        <f t="shared" si="1"/>
        <v>1</v>
      </c>
      <c r="M4" s="6"/>
      <c r="N4" s="20"/>
    </row>
    <row r="5" spans="1:14" x14ac:dyDescent="0.25">
      <c r="A5" s="6">
        <v>4</v>
      </c>
      <c r="B5" s="6" t="s">
        <v>11</v>
      </c>
      <c r="C5" s="4">
        <v>43110</v>
      </c>
      <c r="D5" s="1" t="str">
        <f t="shared" si="0"/>
        <v>Wed</v>
      </c>
      <c r="E5" s="7">
        <v>1</v>
      </c>
      <c r="F5" s="8"/>
      <c r="G5" s="8"/>
      <c r="H5" s="8"/>
      <c r="I5" s="8"/>
      <c r="J5" s="2"/>
      <c r="K5" s="2"/>
      <c r="L5" s="7">
        <f t="shared" si="1"/>
        <v>1</v>
      </c>
      <c r="M5" s="6"/>
      <c r="N5" s="20"/>
    </row>
    <row r="6" spans="1:14" x14ac:dyDescent="0.25">
      <c r="A6" s="6">
        <v>5</v>
      </c>
      <c r="B6" s="6" t="s">
        <v>11</v>
      </c>
      <c r="C6" s="4">
        <v>43111</v>
      </c>
      <c r="D6" s="1" t="str">
        <f t="shared" si="0"/>
        <v>Thu</v>
      </c>
      <c r="E6" s="7">
        <v>1</v>
      </c>
      <c r="F6" s="8"/>
      <c r="G6" s="8"/>
      <c r="H6" s="8"/>
      <c r="I6" s="8"/>
      <c r="J6" s="2"/>
      <c r="K6" s="2"/>
      <c r="L6" s="7">
        <f t="shared" si="1"/>
        <v>1</v>
      </c>
      <c r="M6" s="6"/>
      <c r="N6" s="20"/>
    </row>
    <row r="7" spans="1:14" x14ac:dyDescent="0.25">
      <c r="A7" s="6">
        <v>6</v>
      </c>
      <c r="B7" s="6" t="s">
        <v>10</v>
      </c>
      <c r="C7" s="4">
        <v>43111</v>
      </c>
      <c r="D7" s="1" t="str">
        <f t="shared" si="0"/>
        <v>Thu</v>
      </c>
      <c r="E7" s="7">
        <v>1</v>
      </c>
      <c r="F7" s="7"/>
      <c r="G7" s="7"/>
      <c r="H7" s="7"/>
      <c r="I7" s="7"/>
      <c r="J7" s="2"/>
      <c r="K7" s="2"/>
      <c r="L7" s="7">
        <f t="shared" si="1"/>
        <v>1</v>
      </c>
      <c r="M7" s="6"/>
      <c r="N7" s="20"/>
    </row>
    <row r="8" spans="1:14" x14ac:dyDescent="0.25">
      <c r="A8" s="6">
        <v>7</v>
      </c>
      <c r="B8" s="6" t="s">
        <v>11</v>
      </c>
      <c r="C8" s="4">
        <v>43112</v>
      </c>
      <c r="D8" s="1" t="str">
        <f t="shared" si="0"/>
        <v>Fri</v>
      </c>
      <c r="E8" s="7">
        <v>1</v>
      </c>
      <c r="F8" s="8"/>
      <c r="G8" s="8"/>
      <c r="H8" s="8"/>
      <c r="I8" s="8"/>
      <c r="J8" s="2"/>
      <c r="K8" s="2"/>
      <c r="L8" s="7">
        <f t="shared" si="1"/>
        <v>1</v>
      </c>
      <c r="M8" s="6"/>
      <c r="N8" s="20"/>
    </row>
    <row r="9" spans="1:14" x14ac:dyDescent="0.25">
      <c r="A9" s="6">
        <v>8</v>
      </c>
      <c r="B9" s="6" t="s">
        <v>6</v>
      </c>
      <c r="C9" s="4">
        <v>43115</v>
      </c>
      <c r="D9" s="1" t="str">
        <f t="shared" si="0"/>
        <v>Mon</v>
      </c>
      <c r="E9" s="7"/>
      <c r="F9" s="7"/>
      <c r="G9" s="7"/>
      <c r="H9" s="7">
        <v>1</v>
      </c>
      <c r="I9" s="7"/>
      <c r="J9" s="2"/>
      <c r="K9" s="2"/>
      <c r="L9" s="7">
        <f t="shared" si="1"/>
        <v>1</v>
      </c>
      <c r="M9" s="6"/>
      <c r="N9" s="20"/>
    </row>
    <row r="10" spans="1:14" x14ac:dyDescent="0.25">
      <c r="A10" s="6">
        <v>9</v>
      </c>
      <c r="B10" s="6" t="s">
        <v>6</v>
      </c>
      <c r="C10" s="4">
        <v>43116</v>
      </c>
      <c r="D10" s="1" t="str">
        <f t="shared" si="0"/>
        <v>Tue</v>
      </c>
      <c r="E10" s="7"/>
      <c r="F10" s="7"/>
      <c r="G10" s="7"/>
      <c r="H10" s="7">
        <v>1</v>
      </c>
      <c r="I10" s="7"/>
      <c r="J10" s="2"/>
      <c r="K10" s="2"/>
      <c r="L10" s="7">
        <f t="shared" si="1"/>
        <v>1</v>
      </c>
      <c r="M10" s="6"/>
      <c r="N10" s="20"/>
    </row>
    <row r="11" spans="1:14" x14ac:dyDescent="0.25">
      <c r="A11" s="6">
        <v>10</v>
      </c>
      <c r="B11" s="6" t="s">
        <v>6</v>
      </c>
      <c r="C11" s="4">
        <v>43117</v>
      </c>
      <c r="D11" s="1" t="str">
        <f t="shared" si="0"/>
        <v>Wed</v>
      </c>
      <c r="E11" s="7">
        <v>1</v>
      </c>
      <c r="F11" s="7"/>
      <c r="G11" s="7"/>
      <c r="H11" s="7"/>
      <c r="I11" s="7"/>
      <c r="J11" s="2"/>
      <c r="K11" s="2"/>
      <c r="L11" s="7">
        <f t="shared" si="1"/>
        <v>1</v>
      </c>
      <c r="M11" s="6"/>
      <c r="N11" s="20"/>
    </row>
    <row r="12" spans="1:14" x14ac:dyDescent="0.25">
      <c r="A12" s="6">
        <v>11</v>
      </c>
      <c r="B12" s="6" t="s">
        <v>10</v>
      </c>
      <c r="C12" s="4">
        <v>43118</v>
      </c>
      <c r="D12" s="1" t="str">
        <f t="shared" si="0"/>
        <v>Thu</v>
      </c>
      <c r="E12" s="7"/>
      <c r="F12" s="7"/>
      <c r="G12" s="7"/>
      <c r="H12" s="7">
        <v>1</v>
      </c>
      <c r="I12" s="7"/>
      <c r="J12" s="2"/>
      <c r="K12" s="2"/>
      <c r="L12" s="7">
        <f t="shared" si="1"/>
        <v>1</v>
      </c>
      <c r="M12" s="6"/>
      <c r="N12" s="20"/>
    </row>
    <row r="13" spans="1:14" x14ac:dyDescent="0.25">
      <c r="A13" s="6">
        <v>12</v>
      </c>
      <c r="B13" s="6" t="s">
        <v>6</v>
      </c>
      <c r="C13" s="4">
        <v>43118</v>
      </c>
      <c r="D13" s="1" t="str">
        <f t="shared" si="0"/>
        <v>Thu</v>
      </c>
      <c r="E13" s="7">
        <v>1</v>
      </c>
      <c r="F13" s="7"/>
      <c r="G13" s="7"/>
      <c r="H13" s="7"/>
      <c r="I13" s="7"/>
      <c r="J13" s="2"/>
      <c r="K13" s="2"/>
      <c r="L13" s="7">
        <f t="shared" si="1"/>
        <v>1</v>
      </c>
      <c r="M13" s="6"/>
      <c r="N13" s="20"/>
    </row>
    <row r="14" spans="1:14" x14ac:dyDescent="0.25">
      <c r="A14" s="6">
        <v>13</v>
      </c>
      <c r="B14" s="6" t="s">
        <v>13</v>
      </c>
      <c r="C14" s="4">
        <v>43119</v>
      </c>
      <c r="D14" s="1" t="str">
        <f t="shared" si="0"/>
        <v>Fri</v>
      </c>
      <c r="E14" s="7"/>
      <c r="F14" s="7"/>
      <c r="G14" s="7"/>
      <c r="H14" s="7">
        <v>1</v>
      </c>
      <c r="I14" s="7"/>
      <c r="J14" s="2"/>
      <c r="K14" s="2"/>
      <c r="L14" s="7">
        <f t="shared" si="1"/>
        <v>1</v>
      </c>
      <c r="M14" s="6"/>
      <c r="N14" s="20"/>
    </row>
    <row r="15" spans="1:14" x14ac:dyDescent="0.25">
      <c r="A15" s="6">
        <v>14</v>
      </c>
      <c r="B15" s="6" t="s">
        <v>11</v>
      </c>
      <c r="C15" s="4">
        <v>43119</v>
      </c>
      <c r="D15" s="1" t="str">
        <f t="shared" si="0"/>
        <v>Fri</v>
      </c>
      <c r="E15" s="7">
        <v>1</v>
      </c>
      <c r="F15" s="7"/>
      <c r="G15" s="7"/>
      <c r="H15" s="7"/>
      <c r="I15" s="7"/>
      <c r="J15" s="2"/>
      <c r="K15" s="2"/>
      <c r="L15" s="7">
        <f t="shared" si="1"/>
        <v>1</v>
      </c>
      <c r="M15" s="6"/>
      <c r="N15" s="20"/>
    </row>
    <row r="16" spans="1:14" x14ac:dyDescent="0.25">
      <c r="A16" s="6">
        <v>15</v>
      </c>
      <c r="B16" s="6" t="s">
        <v>13</v>
      </c>
      <c r="C16" s="4">
        <v>43122</v>
      </c>
      <c r="D16" s="1" t="str">
        <f t="shared" si="0"/>
        <v>Mon</v>
      </c>
      <c r="E16" s="7"/>
      <c r="F16" s="7"/>
      <c r="G16" s="7"/>
      <c r="H16" s="7">
        <v>1</v>
      </c>
      <c r="I16" s="7"/>
      <c r="J16" s="2"/>
      <c r="K16" s="2"/>
      <c r="L16" s="7">
        <f t="shared" si="1"/>
        <v>1</v>
      </c>
      <c r="M16" s="6"/>
      <c r="N16" s="20"/>
    </row>
    <row r="17" spans="1:14" x14ac:dyDescent="0.25">
      <c r="A17" s="6">
        <v>16</v>
      </c>
      <c r="B17" s="6" t="s">
        <v>11</v>
      </c>
      <c r="C17" s="4">
        <v>43122</v>
      </c>
      <c r="D17" s="1" t="str">
        <f t="shared" si="0"/>
        <v>Mon</v>
      </c>
      <c r="E17" s="7"/>
      <c r="F17" s="8"/>
      <c r="G17" s="8"/>
      <c r="H17" s="8">
        <v>1</v>
      </c>
      <c r="I17" s="8"/>
      <c r="J17" s="2"/>
      <c r="K17" s="2"/>
      <c r="L17" s="7">
        <f t="shared" si="1"/>
        <v>1</v>
      </c>
      <c r="M17" s="6"/>
      <c r="N17" s="20"/>
    </row>
    <row r="18" spans="1:14" x14ac:dyDescent="0.25">
      <c r="A18" s="6">
        <v>17</v>
      </c>
      <c r="B18" s="6" t="s">
        <v>6</v>
      </c>
      <c r="C18" s="4">
        <v>43123</v>
      </c>
      <c r="D18" s="1" t="str">
        <f t="shared" si="0"/>
        <v>Tue</v>
      </c>
      <c r="E18" s="7">
        <v>1</v>
      </c>
      <c r="F18" s="7"/>
      <c r="G18" s="7"/>
      <c r="H18" s="7"/>
      <c r="I18" s="7"/>
      <c r="J18" s="2"/>
      <c r="K18" s="2"/>
      <c r="L18" s="7">
        <f t="shared" si="1"/>
        <v>1</v>
      </c>
      <c r="M18" s="6"/>
      <c r="N18" s="20"/>
    </row>
    <row r="19" spans="1:14" x14ac:dyDescent="0.25">
      <c r="A19" s="6">
        <v>18</v>
      </c>
      <c r="B19" s="6" t="s">
        <v>10</v>
      </c>
      <c r="C19" s="4">
        <v>43123</v>
      </c>
      <c r="D19" s="1" t="str">
        <f t="shared" si="0"/>
        <v>Tue</v>
      </c>
      <c r="E19" s="7">
        <v>1</v>
      </c>
      <c r="F19" s="7"/>
      <c r="G19" s="7"/>
      <c r="H19" s="7"/>
      <c r="I19" s="7"/>
      <c r="J19" s="2"/>
      <c r="K19" s="2"/>
      <c r="L19" s="7">
        <f t="shared" si="1"/>
        <v>1</v>
      </c>
      <c r="M19" s="6"/>
      <c r="N19" s="20"/>
    </row>
    <row r="20" spans="1:14" x14ac:dyDescent="0.25">
      <c r="A20" s="6">
        <v>19</v>
      </c>
      <c r="B20" s="6" t="s">
        <v>11</v>
      </c>
      <c r="C20" s="4">
        <v>43125</v>
      </c>
      <c r="D20" s="1" t="str">
        <f t="shared" si="0"/>
        <v>Thu</v>
      </c>
      <c r="E20" s="7"/>
      <c r="F20" s="8"/>
      <c r="G20" s="8"/>
      <c r="H20" s="8">
        <v>1</v>
      </c>
      <c r="I20" s="8"/>
      <c r="J20" s="2"/>
      <c r="K20" s="2"/>
      <c r="L20" s="7">
        <f t="shared" si="1"/>
        <v>1</v>
      </c>
      <c r="M20" s="6"/>
      <c r="N20" s="20"/>
    </row>
    <row r="21" spans="1:14" x14ac:dyDescent="0.25">
      <c r="A21" s="6">
        <v>20</v>
      </c>
      <c r="B21" s="6" t="s">
        <v>13</v>
      </c>
      <c r="C21" s="4">
        <v>43126</v>
      </c>
      <c r="D21" s="1" t="str">
        <f t="shared" si="0"/>
        <v>Fri</v>
      </c>
      <c r="E21" s="7">
        <v>1</v>
      </c>
      <c r="F21" s="7"/>
      <c r="G21" s="7"/>
      <c r="H21" s="7"/>
      <c r="I21" s="7"/>
      <c r="J21" s="2"/>
      <c r="K21" s="2"/>
      <c r="L21" s="7">
        <f t="shared" si="1"/>
        <v>1</v>
      </c>
      <c r="M21" s="6"/>
      <c r="N21" s="20"/>
    </row>
    <row r="22" spans="1:14" x14ac:dyDescent="0.25">
      <c r="A22" s="6">
        <v>21</v>
      </c>
      <c r="B22" s="6" t="s">
        <v>11</v>
      </c>
      <c r="C22" s="4">
        <v>43126</v>
      </c>
      <c r="D22" s="1" t="str">
        <f t="shared" si="0"/>
        <v>Fri</v>
      </c>
      <c r="E22" s="7"/>
      <c r="F22" s="8"/>
      <c r="G22" s="8"/>
      <c r="H22" s="8">
        <v>1</v>
      </c>
      <c r="I22" s="8"/>
      <c r="J22" s="2"/>
      <c r="K22" s="2"/>
      <c r="L22" s="7">
        <f t="shared" si="1"/>
        <v>1</v>
      </c>
      <c r="M22" s="6"/>
      <c r="N22" s="20"/>
    </row>
    <row r="23" spans="1:14" x14ac:dyDescent="0.25">
      <c r="A23" s="6">
        <v>22</v>
      </c>
      <c r="B23" s="6" t="s">
        <v>11</v>
      </c>
      <c r="C23" s="4">
        <v>43129</v>
      </c>
      <c r="D23" s="1" t="str">
        <f t="shared" si="0"/>
        <v>Mon</v>
      </c>
      <c r="E23" s="7">
        <v>1</v>
      </c>
      <c r="F23" s="7"/>
      <c r="G23" s="7"/>
      <c r="H23" s="7"/>
      <c r="I23" s="7"/>
      <c r="J23" s="2"/>
      <c r="K23" s="2"/>
      <c r="L23" s="7">
        <f t="shared" si="1"/>
        <v>1</v>
      </c>
      <c r="M23" s="6"/>
      <c r="N23" s="20"/>
    </row>
    <row r="24" spans="1:14" x14ac:dyDescent="0.25">
      <c r="A24" s="6">
        <v>23</v>
      </c>
      <c r="B24" s="6" t="s">
        <v>13</v>
      </c>
      <c r="C24" s="4">
        <v>43129</v>
      </c>
      <c r="D24" s="1" t="str">
        <f t="shared" si="0"/>
        <v>Mon</v>
      </c>
      <c r="E24" s="7">
        <v>1</v>
      </c>
      <c r="F24" s="7"/>
      <c r="G24" s="7"/>
      <c r="H24" s="7"/>
      <c r="I24" s="7"/>
      <c r="J24" s="2"/>
      <c r="K24" s="2"/>
      <c r="L24" s="7">
        <f t="shared" si="1"/>
        <v>1</v>
      </c>
      <c r="M24" s="6"/>
      <c r="N24" s="20"/>
    </row>
    <row r="25" spans="1:14" x14ac:dyDescent="0.25">
      <c r="A25" s="6">
        <v>24</v>
      </c>
      <c r="B25" s="6" t="s">
        <v>11</v>
      </c>
      <c r="C25" s="4">
        <v>43130</v>
      </c>
      <c r="D25" s="1" t="str">
        <f t="shared" si="0"/>
        <v>Tue</v>
      </c>
      <c r="E25" s="7">
        <v>1</v>
      </c>
      <c r="F25" s="7"/>
      <c r="G25" s="7"/>
      <c r="H25" s="7"/>
      <c r="I25" s="7"/>
      <c r="J25" s="2"/>
      <c r="K25" s="2"/>
      <c r="L25" s="7">
        <f t="shared" si="1"/>
        <v>1</v>
      </c>
      <c r="M25" s="6"/>
      <c r="N25" s="20"/>
    </row>
    <row r="26" spans="1:14" x14ac:dyDescent="0.25">
      <c r="A26" s="6">
        <v>25</v>
      </c>
      <c r="B26" s="6" t="s">
        <v>13</v>
      </c>
      <c r="C26" s="4">
        <v>43130</v>
      </c>
      <c r="D26" s="1" t="str">
        <f t="shared" si="0"/>
        <v>Tue</v>
      </c>
      <c r="E26" s="7">
        <v>1</v>
      </c>
      <c r="F26" s="7"/>
      <c r="G26" s="7"/>
      <c r="H26" s="7"/>
      <c r="I26" s="7"/>
      <c r="J26" s="2"/>
      <c r="K26" s="2"/>
      <c r="L26" s="7">
        <f t="shared" si="1"/>
        <v>1</v>
      </c>
      <c r="M26" s="6"/>
      <c r="N26" s="20"/>
    </row>
    <row r="27" spans="1:14" x14ac:dyDescent="0.25">
      <c r="A27" s="6">
        <v>26</v>
      </c>
      <c r="B27" s="6" t="s">
        <v>13</v>
      </c>
      <c r="C27" s="4">
        <v>43131</v>
      </c>
      <c r="D27" s="1" t="str">
        <f t="shared" si="0"/>
        <v>Wed</v>
      </c>
      <c r="E27" s="7">
        <v>1</v>
      </c>
      <c r="F27" s="7"/>
      <c r="G27" s="7"/>
      <c r="H27" s="7"/>
      <c r="I27" s="7"/>
      <c r="J27" s="2"/>
      <c r="K27" s="2"/>
      <c r="L27" s="7">
        <f t="shared" si="1"/>
        <v>1</v>
      </c>
      <c r="M27" s="6"/>
      <c r="N27" s="20"/>
    </row>
    <row r="28" spans="1:14" x14ac:dyDescent="0.25">
      <c r="A28" s="6">
        <v>27</v>
      </c>
      <c r="B28" s="6" t="s">
        <v>11</v>
      </c>
      <c r="C28" s="4">
        <v>43131</v>
      </c>
      <c r="D28" s="1" t="str">
        <f t="shared" si="0"/>
        <v>Wed</v>
      </c>
      <c r="E28" s="7">
        <v>1</v>
      </c>
      <c r="F28" s="7"/>
      <c r="G28" s="7"/>
      <c r="H28" s="7"/>
      <c r="I28" s="7"/>
      <c r="J28" s="2"/>
      <c r="K28" s="2"/>
      <c r="L28" s="7">
        <f t="shared" si="1"/>
        <v>1</v>
      </c>
      <c r="M28" s="6"/>
      <c r="N28" s="20"/>
    </row>
    <row r="29" spans="1:14" x14ac:dyDescent="0.25">
      <c r="A29" s="6">
        <v>28</v>
      </c>
      <c r="B29" s="6" t="s">
        <v>6</v>
      </c>
      <c r="C29" s="4">
        <v>43136</v>
      </c>
      <c r="D29" s="1" t="str">
        <f t="shared" si="0"/>
        <v>Mon</v>
      </c>
      <c r="E29" s="7">
        <v>1</v>
      </c>
      <c r="F29" s="7"/>
      <c r="G29" s="7"/>
      <c r="H29" s="7"/>
      <c r="I29" s="7"/>
      <c r="J29" s="2"/>
      <c r="K29" s="2"/>
      <c r="L29" s="7">
        <f t="shared" si="1"/>
        <v>1</v>
      </c>
      <c r="M29" s="6"/>
      <c r="N29" s="20"/>
    </row>
    <row r="30" spans="1:14" x14ac:dyDescent="0.25">
      <c r="A30" s="6">
        <v>29</v>
      </c>
      <c r="B30" s="6" t="s">
        <v>6</v>
      </c>
      <c r="C30" s="4">
        <v>43137</v>
      </c>
      <c r="D30" s="1" t="str">
        <f t="shared" si="0"/>
        <v>Tue</v>
      </c>
      <c r="E30" s="7">
        <v>1</v>
      </c>
      <c r="F30" s="7"/>
      <c r="G30" s="7"/>
      <c r="H30" s="7"/>
      <c r="I30" s="7"/>
      <c r="J30" s="2"/>
      <c r="K30" s="2"/>
      <c r="L30" s="7">
        <f t="shared" si="1"/>
        <v>1</v>
      </c>
      <c r="M30" s="6"/>
      <c r="N30" s="20"/>
    </row>
    <row r="31" spans="1:14" x14ac:dyDescent="0.25">
      <c r="A31" s="6">
        <v>30</v>
      </c>
      <c r="B31" s="6" t="s">
        <v>10</v>
      </c>
      <c r="C31" s="4">
        <v>43138</v>
      </c>
      <c r="D31" s="1" t="str">
        <f t="shared" si="0"/>
        <v>Wed</v>
      </c>
      <c r="E31" s="7">
        <v>1</v>
      </c>
      <c r="F31" s="7"/>
      <c r="G31" s="7"/>
      <c r="H31" s="7"/>
      <c r="I31" s="7"/>
      <c r="J31" s="2"/>
      <c r="K31" s="2"/>
      <c r="L31" s="7">
        <f t="shared" si="1"/>
        <v>1</v>
      </c>
      <c r="M31" s="6"/>
      <c r="N31" s="20"/>
    </row>
    <row r="32" spans="1:14" x14ac:dyDescent="0.25">
      <c r="A32" s="6">
        <v>31</v>
      </c>
      <c r="B32" s="6" t="s">
        <v>7</v>
      </c>
      <c r="C32" s="4">
        <v>43139</v>
      </c>
      <c r="D32" s="1" t="str">
        <f t="shared" si="0"/>
        <v>Thu</v>
      </c>
      <c r="E32" s="7">
        <v>1</v>
      </c>
      <c r="F32" s="7"/>
      <c r="G32" s="7"/>
      <c r="H32" s="7"/>
      <c r="I32" s="7"/>
      <c r="J32" s="2"/>
      <c r="K32" s="2"/>
      <c r="L32" s="7">
        <f t="shared" si="1"/>
        <v>1</v>
      </c>
      <c r="M32" s="6"/>
      <c r="N32" s="20"/>
    </row>
    <row r="33" spans="1:14" x14ac:dyDescent="0.25">
      <c r="A33" s="6">
        <v>32</v>
      </c>
      <c r="B33" s="6" t="s">
        <v>7</v>
      </c>
      <c r="C33" s="4">
        <v>43143</v>
      </c>
      <c r="D33" s="1" t="str">
        <f t="shared" si="0"/>
        <v>Mon</v>
      </c>
      <c r="E33" s="7">
        <v>1</v>
      </c>
      <c r="F33" s="7"/>
      <c r="G33" s="7"/>
      <c r="H33" s="7"/>
      <c r="I33" s="7"/>
      <c r="J33" s="2"/>
      <c r="K33" s="2"/>
      <c r="L33" s="7">
        <f t="shared" si="1"/>
        <v>1</v>
      </c>
      <c r="M33" s="6"/>
      <c r="N33" s="20"/>
    </row>
    <row r="34" spans="1:14" x14ac:dyDescent="0.25">
      <c r="A34" s="6">
        <v>33</v>
      </c>
      <c r="B34" s="6" t="s">
        <v>7</v>
      </c>
      <c r="C34" s="4">
        <v>43144</v>
      </c>
      <c r="D34" s="1" t="str">
        <f t="shared" si="0"/>
        <v>Tue</v>
      </c>
      <c r="E34" s="7">
        <v>1</v>
      </c>
      <c r="F34" s="7"/>
      <c r="G34" s="7"/>
      <c r="H34" s="7"/>
      <c r="I34" s="7"/>
      <c r="J34" s="2"/>
      <c r="K34" s="2"/>
      <c r="L34" s="7">
        <f t="shared" ref="L34:L65" si="2">SUM(E34:K34)</f>
        <v>1</v>
      </c>
      <c r="M34" s="6"/>
      <c r="N34" s="20"/>
    </row>
    <row r="35" spans="1:14" x14ac:dyDescent="0.25">
      <c r="A35" s="6">
        <v>34</v>
      </c>
      <c r="B35" s="6" t="s">
        <v>10</v>
      </c>
      <c r="C35" s="4">
        <v>43153</v>
      </c>
      <c r="D35" s="1" t="str">
        <f t="shared" si="0"/>
        <v>Thu</v>
      </c>
      <c r="E35" s="7">
        <v>1</v>
      </c>
      <c r="F35" s="7"/>
      <c r="G35" s="7"/>
      <c r="H35" s="7"/>
      <c r="I35" s="7"/>
      <c r="J35" s="2"/>
      <c r="K35" s="2"/>
      <c r="L35" s="7">
        <f t="shared" si="2"/>
        <v>1</v>
      </c>
      <c r="M35" s="6"/>
      <c r="N35" s="20"/>
    </row>
    <row r="36" spans="1:14" x14ac:dyDescent="0.25">
      <c r="A36" s="6">
        <v>35</v>
      </c>
      <c r="B36" s="6" t="s">
        <v>10</v>
      </c>
      <c r="C36" s="4">
        <v>43154</v>
      </c>
      <c r="D36" s="1" t="str">
        <f t="shared" si="0"/>
        <v>Fri</v>
      </c>
      <c r="E36" s="7">
        <v>1</v>
      </c>
      <c r="F36" s="7"/>
      <c r="G36" s="7"/>
      <c r="H36" s="7"/>
      <c r="I36" s="7"/>
      <c r="J36" s="2"/>
      <c r="K36" s="2"/>
      <c r="L36" s="7">
        <f t="shared" si="2"/>
        <v>1</v>
      </c>
      <c r="M36" s="6"/>
      <c r="N36" s="20"/>
    </row>
    <row r="37" spans="1:14" x14ac:dyDescent="0.25">
      <c r="A37" s="6">
        <v>36</v>
      </c>
      <c r="B37" s="6" t="s">
        <v>7</v>
      </c>
      <c r="C37" s="4">
        <v>43164</v>
      </c>
      <c r="D37" s="1" t="str">
        <f t="shared" si="0"/>
        <v>Mon</v>
      </c>
      <c r="E37" s="7">
        <v>1</v>
      </c>
      <c r="F37" s="7"/>
      <c r="G37" s="7"/>
      <c r="H37" s="7"/>
      <c r="I37" s="7"/>
      <c r="J37" s="2"/>
      <c r="K37" s="2"/>
      <c r="L37" s="7">
        <f t="shared" si="2"/>
        <v>1</v>
      </c>
      <c r="M37" s="6"/>
      <c r="N37" s="20"/>
    </row>
    <row r="38" spans="1:14" x14ac:dyDescent="0.25">
      <c r="A38" s="6">
        <v>37</v>
      </c>
      <c r="B38" s="6" t="s">
        <v>11</v>
      </c>
      <c r="C38" s="4">
        <v>43166</v>
      </c>
      <c r="D38" s="1" t="str">
        <f t="shared" si="0"/>
        <v>Wed</v>
      </c>
      <c r="E38" s="7">
        <v>1</v>
      </c>
      <c r="F38" s="7"/>
      <c r="G38" s="7"/>
      <c r="H38" s="7"/>
      <c r="I38" s="7"/>
      <c r="J38" s="2"/>
      <c r="K38" s="2"/>
      <c r="L38" s="7">
        <f t="shared" si="2"/>
        <v>1</v>
      </c>
      <c r="M38" s="6"/>
      <c r="N38" s="20"/>
    </row>
    <row r="39" spans="1:14" x14ac:dyDescent="0.25">
      <c r="A39" s="6">
        <v>38</v>
      </c>
      <c r="B39" s="6" t="s">
        <v>6</v>
      </c>
      <c r="C39" s="4">
        <v>43167</v>
      </c>
      <c r="D39" s="1" t="str">
        <f t="shared" si="0"/>
        <v>Thu</v>
      </c>
      <c r="E39" s="7"/>
      <c r="F39" s="7"/>
      <c r="G39" s="7"/>
      <c r="H39" s="7"/>
      <c r="I39" s="7">
        <v>1</v>
      </c>
      <c r="J39" s="2"/>
      <c r="K39" s="2"/>
      <c r="L39" s="7">
        <f t="shared" si="2"/>
        <v>1</v>
      </c>
      <c r="M39" s="6"/>
      <c r="N39" s="20"/>
    </row>
    <row r="40" spans="1:14" x14ac:dyDescent="0.25">
      <c r="A40" s="6">
        <v>39</v>
      </c>
      <c r="B40" s="6" t="s">
        <v>6</v>
      </c>
      <c r="C40" s="4">
        <v>43168</v>
      </c>
      <c r="D40" s="1" t="str">
        <f t="shared" si="0"/>
        <v>Fri</v>
      </c>
      <c r="E40" s="7"/>
      <c r="F40" s="7"/>
      <c r="G40" s="7"/>
      <c r="H40" s="7"/>
      <c r="I40" s="7">
        <v>1</v>
      </c>
      <c r="J40" s="2"/>
      <c r="K40" s="2"/>
      <c r="L40" s="7">
        <f t="shared" si="2"/>
        <v>1</v>
      </c>
      <c r="M40" s="6"/>
      <c r="N40" s="20"/>
    </row>
    <row r="41" spans="1:14" x14ac:dyDescent="0.25">
      <c r="A41" s="6">
        <v>40</v>
      </c>
      <c r="B41" s="6" t="s">
        <v>6</v>
      </c>
      <c r="C41" s="4">
        <v>43171</v>
      </c>
      <c r="D41" s="1" t="str">
        <f t="shared" si="0"/>
        <v>Mon</v>
      </c>
      <c r="E41" s="7">
        <v>1</v>
      </c>
      <c r="F41" s="7"/>
      <c r="G41" s="7"/>
      <c r="H41" s="7"/>
      <c r="I41" s="7"/>
      <c r="J41" s="2"/>
      <c r="K41" s="2"/>
      <c r="L41" s="7">
        <f t="shared" si="2"/>
        <v>1</v>
      </c>
      <c r="M41" s="6"/>
      <c r="N41" s="20"/>
    </row>
    <row r="42" spans="1:14" x14ac:dyDescent="0.25">
      <c r="A42" s="6">
        <v>41</v>
      </c>
      <c r="B42" s="6" t="s">
        <v>6</v>
      </c>
      <c r="C42" s="4">
        <v>43172</v>
      </c>
      <c r="D42" s="1" t="str">
        <f t="shared" si="0"/>
        <v>Tue</v>
      </c>
      <c r="E42" s="7">
        <v>1</v>
      </c>
      <c r="F42" s="7"/>
      <c r="G42" s="7"/>
      <c r="H42" s="7"/>
      <c r="I42" s="7"/>
      <c r="J42" s="2"/>
      <c r="K42" s="2"/>
      <c r="L42" s="7">
        <f t="shared" si="2"/>
        <v>1</v>
      </c>
      <c r="M42" s="6"/>
      <c r="N42" s="20"/>
    </row>
    <row r="43" spans="1:14" x14ac:dyDescent="0.25">
      <c r="A43" s="6">
        <v>42</v>
      </c>
      <c r="B43" s="6" t="s">
        <v>6</v>
      </c>
      <c r="C43" s="4">
        <v>43173</v>
      </c>
      <c r="D43" s="1" t="str">
        <f t="shared" si="0"/>
        <v>Wed</v>
      </c>
      <c r="E43" s="7">
        <v>1</v>
      </c>
      <c r="F43" s="7"/>
      <c r="G43" s="7"/>
      <c r="H43" s="7"/>
      <c r="I43" s="7"/>
      <c r="J43" s="2"/>
      <c r="K43" s="2"/>
      <c r="L43" s="7">
        <f t="shared" si="2"/>
        <v>1</v>
      </c>
      <c r="M43" s="6"/>
      <c r="N43" s="20"/>
    </row>
    <row r="44" spans="1:14" x14ac:dyDescent="0.25">
      <c r="A44" s="6">
        <v>43</v>
      </c>
      <c r="B44" s="6" t="s">
        <v>6</v>
      </c>
      <c r="C44" s="4">
        <v>43174</v>
      </c>
      <c r="D44" s="1" t="str">
        <f t="shared" si="0"/>
        <v>Thu</v>
      </c>
      <c r="E44" s="7"/>
      <c r="F44" s="7"/>
      <c r="G44" s="7"/>
      <c r="H44" s="7"/>
      <c r="I44" s="7">
        <v>1</v>
      </c>
      <c r="J44" s="2"/>
      <c r="K44" s="2"/>
      <c r="L44" s="7">
        <f t="shared" si="2"/>
        <v>1</v>
      </c>
      <c r="M44" s="6"/>
      <c r="N44" s="20"/>
    </row>
    <row r="45" spans="1:14" x14ac:dyDescent="0.25">
      <c r="A45" s="6">
        <v>44</v>
      </c>
      <c r="B45" s="6" t="s">
        <v>10</v>
      </c>
      <c r="C45" s="4">
        <v>43179</v>
      </c>
      <c r="D45" s="1" t="str">
        <f t="shared" si="0"/>
        <v>Tue</v>
      </c>
      <c r="E45" s="7">
        <v>1</v>
      </c>
      <c r="F45" s="7"/>
      <c r="G45" s="7"/>
      <c r="H45" s="7"/>
      <c r="I45" s="7"/>
      <c r="J45" s="2"/>
      <c r="K45" s="2"/>
      <c r="L45" s="7">
        <f t="shared" si="2"/>
        <v>1</v>
      </c>
      <c r="M45" s="6"/>
      <c r="N45" s="20"/>
    </row>
    <row r="46" spans="1:14" x14ac:dyDescent="0.25">
      <c r="A46" s="6">
        <v>45</v>
      </c>
      <c r="B46" s="6" t="s">
        <v>6</v>
      </c>
      <c r="C46" s="4">
        <v>43195</v>
      </c>
      <c r="D46" s="1" t="str">
        <f t="shared" si="0"/>
        <v>Thu</v>
      </c>
      <c r="E46" s="7"/>
      <c r="F46" s="7"/>
      <c r="G46" s="7"/>
      <c r="H46" s="7">
        <v>1</v>
      </c>
      <c r="I46" s="7"/>
      <c r="J46" s="2"/>
      <c r="K46" s="2"/>
      <c r="L46" s="7">
        <f t="shared" si="2"/>
        <v>1</v>
      </c>
      <c r="M46" s="6"/>
      <c r="N46" s="20"/>
    </row>
    <row r="47" spans="1:14" x14ac:dyDescent="0.25">
      <c r="A47" s="6">
        <v>46</v>
      </c>
      <c r="B47" s="6" t="s">
        <v>6</v>
      </c>
      <c r="C47" s="4">
        <v>43199</v>
      </c>
      <c r="D47" s="1" t="str">
        <f t="shared" si="0"/>
        <v>Mon</v>
      </c>
      <c r="E47" s="7">
        <v>1</v>
      </c>
      <c r="F47" s="7"/>
      <c r="G47" s="7"/>
      <c r="H47" s="7"/>
      <c r="I47" s="7"/>
      <c r="J47" s="2"/>
      <c r="K47" s="2"/>
      <c r="L47" s="7">
        <f t="shared" si="2"/>
        <v>1</v>
      </c>
      <c r="M47" s="6"/>
      <c r="N47" s="20"/>
    </row>
    <row r="48" spans="1:14" x14ac:dyDescent="0.25">
      <c r="A48" s="6">
        <v>47</v>
      </c>
      <c r="B48" s="6" t="s">
        <v>7</v>
      </c>
      <c r="C48" s="4">
        <v>43202</v>
      </c>
      <c r="D48" s="1" t="str">
        <f t="shared" si="0"/>
        <v>Thu</v>
      </c>
      <c r="E48" s="7">
        <v>1</v>
      </c>
      <c r="F48" s="7"/>
      <c r="G48" s="7"/>
      <c r="H48" s="7"/>
      <c r="I48" s="7"/>
      <c r="J48" s="2"/>
      <c r="K48" s="2"/>
      <c r="L48" s="7">
        <f t="shared" si="2"/>
        <v>1</v>
      </c>
      <c r="M48" s="6"/>
      <c r="N48" s="20"/>
    </row>
    <row r="49" spans="1:14" x14ac:dyDescent="0.25">
      <c r="A49" s="6">
        <v>48</v>
      </c>
      <c r="B49" s="6" t="s">
        <v>7</v>
      </c>
      <c r="C49" s="4">
        <v>43203</v>
      </c>
      <c r="D49" s="1" t="str">
        <f t="shared" si="0"/>
        <v>Fri</v>
      </c>
      <c r="E49" s="7">
        <v>1</v>
      </c>
      <c r="F49" s="7"/>
      <c r="G49" s="7"/>
      <c r="H49" s="7"/>
      <c r="I49" s="7"/>
      <c r="J49" s="2"/>
      <c r="K49" s="2"/>
      <c r="L49" s="7">
        <f t="shared" si="2"/>
        <v>1</v>
      </c>
      <c r="M49" s="6"/>
      <c r="N49" s="20"/>
    </row>
    <row r="50" spans="1:14" x14ac:dyDescent="0.25">
      <c r="A50" s="6">
        <v>49</v>
      </c>
      <c r="B50" s="6" t="s">
        <v>11</v>
      </c>
      <c r="C50" s="4">
        <v>43206</v>
      </c>
      <c r="D50" s="1" t="str">
        <f t="shared" si="0"/>
        <v>Mon</v>
      </c>
      <c r="E50" s="7">
        <v>1</v>
      </c>
      <c r="F50" s="7"/>
      <c r="G50" s="7"/>
      <c r="H50" s="7"/>
      <c r="I50" s="7"/>
      <c r="J50" s="2"/>
      <c r="K50" s="2"/>
      <c r="L50" s="7">
        <f t="shared" si="2"/>
        <v>1</v>
      </c>
      <c r="M50" s="6"/>
      <c r="N50" s="20"/>
    </row>
    <row r="51" spans="1:14" x14ac:dyDescent="0.25">
      <c r="A51" s="6">
        <v>50</v>
      </c>
      <c r="B51" s="6" t="s">
        <v>11</v>
      </c>
      <c r="C51" s="4">
        <v>43207</v>
      </c>
      <c r="D51" s="1" t="str">
        <f t="shared" si="0"/>
        <v>Tue</v>
      </c>
      <c r="E51" s="7">
        <v>1</v>
      </c>
      <c r="F51" s="7"/>
      <c r="G51" s="7"/>
      <c r="H51" s="7"/>
      <c r="I51" s="7"/>
      <c r="J51" s="2"/>
      <c r="K51" s="2"/>
      <c r="L51" s="7">
        <f t="shared" si="2"/>
        <v>1</v>
      </c>
      <c r="M51" s="6"/>
      <c r="N51" s="20"/>
    </row>
    <row r="52" spans="1:14" x14ac:dyDescent="0.25">
      <c r="A52" s="6">
        <v>51</v>
      </c>
      <c r="B52" s="6" t="s">
        <v>13</v>
      </c>
      <c r="C52" s="4">
        <v>43208</v>
      </c>
      <c r="D52" s="1" t="str">
        <f t="shared" si="0"/>
        <v>Wed</v>
      </c>
      <c r="E52" s="7">
        <v>1</v>
      </c>
      <c r="F52" s="7"/>
      <c r="G52" s="7"/>
      <c r="H52" s="7"/>
      <c r="I52" s="7"/>
      <c r="J52" s="2"/>
      <c r="K52" s="2"/>
      <c r="L52" s="7">
        <f t="shared" si="2"/>
        <v>1</v>
      </c>
      <c r="M52" s="6"/>
      <c r="N52" s="20"/>
    </row>
    <row r="53" spans="1:14" x14ac:dyDescent="0.25">
      <c r="A53" s="6">
        <v>52</v>
      </c>
      <c r="B53" s="6" t="s">
        <v>10</v>
      </c>
      <c r="C53" s="4">
        <v>43209</v>
      </c>
      <c r="D53" s="1" t="str">
        <f t="shared" si="0"/>
        <v>Thu</v>
      </c>
      <c r="E53" s="7">
        <v>1</v>
      </c>
      <c r="F53" s="7"/>
      <c r="G53" s="7"/>
      <c r="H53" s="7"/>
      <c r="I53" s="7"/>
      <c r="J53" s="2"/>
      <c r="K53" s="2"/>
      <c r="L53" s="7">
        <f t="shared" si="2"/>
        <v>1</v>
      </c>
      <c r="M53" s="6"/>
      <c r="N53" s="20"/>
    </row>
    <row r="54" spans="1:14" x14ac:dyDescent="0.25">
      <c r="A54" s="6">
        <v>53</v>
      </c>
      <c r="B54" s="6" t="s">
        <v>13</v>
      </c>
      <c r="C54" s="4">
        <v>43209</v>
      </c>
      <c r="D54" s="1" t="str">
        <f t="shared" si="0"/>
        <v>Thu</v>
      </c>
      <c r="E54" s="7">
        <v>1</v>
      </c>
      <c r="F54" s="7"/>
      <c r="G54" s="7"/>
      <c r="H54" s="7"/>
      <c r="I54" s="7"/>
      <c r="J54" s="2"/>
      <c r="K54" s="2"/>
      <c r="L54" s="7">
        <f t="shared" si="2"/>
        <v>1</v>
      </c>
      <c r="M54" s="6"/>
      <c r="N54" s="20"/>
    </row>
    <row r="55" spans="1:14" x14ac:dyDescent="0.25">
      <c r="A55" s="6">
        <v>54</v>
      </c>
      <c r="B55" s="6" t="s">
        <v>13</v>
      </c>
      <c r="C55" s="4">
        <v>43210</v>
      </c>
      <c r="D55" s="1" t="str">
        <f t="shared" si="0"/>
        <v>Fri</v>
      </c>
      <c r="E55" s="7">
        <v>1</v>
      </c>
      <c r="F55" s="7"/>
      <c r="G55" s="7"/>
      <c r="H55" s="7"/>
      <c r="I55" s="7"/>
      <c r="J55" s="2"/>
      <c r="K55" s="2"/>
      <c r="L55" s="7">
        <f t="shared" si="2"/>
        <v>1</v>
      </c>
      <c r="M55" s="6"/>
      <c r="N55" s="20"/>
    </row>
    <row r="56" spans="1:14" x14ac:dyDescent="0.25">
      <c r="A56" s="6">
        <v>55</v>
      </c>
      <c r="B56" s="6" t="s">
        <v>10</v>
      </c>
      <c r="C56" s="4">
        <v>43210</v>
      </c>
      <c r="D56" s="1" t="str">
        <f t="shared" si="0"/>
        <v>Fri</v>
      </c>
      <c r="E56" s="7">
        <v>1</v>
      </c>
      <c r="F56" s="7"/>
      <c r="G56" s="7"/>
      <c r="H56" s="7"/>
      <c r="I56" s="7"/>
      <c r="J56" s="2"/>
      <c r="K56" s="2"/>
      <c r="L56" s="7">
        <f t="shared" si="2"/>
        <v>1</v>
      </c>
      <c r="M56" s="6"/>
      <c r="N56" s="20"/>
    </row>
    <row r="57" spans="1:14" x14ac:dyDescent="0.25">
      <c r="A57" s="6">
        <v>56</v>
      </c>
      <c r="B57" s="6" t="s">
        <v>6</v>
      </c>
      <c r="C57" s="4">
        <v>43210</v>
      </c>
      <c r="D57" s="1" t="str">
        <f t="shared" si="0"/>
        <v>Fri</v>
      </c>
      <c r="E57" s="7">
        <v>1</v>
      </c>
      <c r="F57" s="7"/>
      <c r="G57" s="7"/>
      <c r="H57" s="7"/>
      <c r="I57" s="7"/>
      <c r="J57" s="2"/>
      <c r="K57" s="2"/>
      <c r="L57" s="7">
        <f t="shared" si="2"/>
        <v>1</v>
      </c>
      <c r="M57" s="6"/>
      <c r="N57" s="20"/>
    </row>
    <row r="58" spans="1:14" x14ac:dyDescent="0.25">
      <c r="A58" s="6">
        <v>57</v>
      </c>
      <c r="B58" s="6" t="s">
        <v>7</v>
      </c>
      <c r="C58" s="4">
        <v>43213</v>
      </c>
      <c r="D58" s="1" t="str">
        <f t="shared" si="0"/>
        <v>Mon</v>
      </c>
      <c r="E58" s="7">
        <v>1</v>
      </c>
      <c r="F58" s="7"/>
      <c r="G58" s="7"/>
      <c r="H58" s="7"/>
      <c r="I58" s="7"/>
      <c r="J58" s="2"/>
      <c r="K58" s="2"/>
      <c r="L58" s="7">
        <f t="shared" si="2"/>
        <v>1</v>
      </c>
      <c r="M58" s="6"/>
      <c r="N58" s="20"/>
    </row>
    <row r="59" spans="1:14" x14ac:dyDescent="0.25">
      <c r="A59" s="6">
        <v>58</v>
      </c>
      <c r="B59" s="6" t="s">
        <v>7</v>
      </c>
      <c r="C59" s="4">
        <v>43214</v>
      </c>
      <c r="D59" s="1" t="str">
        <f t="shared" si="0"/>
        <v>Tue</v>
      </c>
      <c r="E59" s="7">
        <v>1</v>
      </c>
      <c r="F59" s="7"/>
      <c r="G59" s="7"/>
      <c r="H59" s="7"/>
      <c r="I59" s="7"/>
      <c r="J59" s="2"/>
      <c r="K59" s="2"/>
      <c r="L59" s="7">
        <f t="shared" si="2"/>
        <v>1</v>
      </c>
      <c r="M59" s="6"/>
      <c r="N59" s="20"/>
    </row>
    <row r="60" spans="1:14" x14ac:dyDescent="0.25">
      <c r="A60" s="6">
        <v>59</v>
      </c>
      <c r="B60" s="6" t="s">
        <v>13</v>
      </c>
      <c r="C60" s="4">
        <v>43218</v>
      </c>
      <c r="D60" s="1" t="str">
        <f t="shared" si="0"/>
        <v>Sat</v>
      </c>
      <c r="E60" s="7"/>
      <c r="F60" s="7"/>
      <c r="G60" s="7"/>
      <c r="H60" s="7">
        <v>1</v>
      </c>
      <c r="I60" s="7"/>
      <c r="J60" s="2"/>
      <c r="K60" s="2"/>
      <c r="L60" s="7">
        <f t="shared" si="2"/>
        <v>1</v>
      </c>
      <c r="M60" s="6"/>
      <c r="N60" s="20"/>
    </row>
    <row r="61" spans="1:14" x14ac:dyDescent="0.25">
      <c r="A61" s="6">
        <v>60</v>
      </c>
      <c r="B61" s="6" t="s">
        <v>11</v>
      </c>
      <c r="C61" s="4">
        <v>43218</v>
      </c>
      <c r="D61" s="1" t="str">
        <f t="shared" si="0"/>
        <v>Sat</v>
      </c>
      <c r="E61" s="7"/>
      <c r="F61" s="8"/>
      <c r="G61" s="8"/>
      <c r="H61" s="7">
        <v>1</v>
      </c>
      <c r="I61" s="8"/>
      <c r="J61" s="2"/>
      <c r="K61" s="2"/>
      <c r="L61" s="7">
        <f t="shared" si="2"/>
        <v>1</v>
      </c>
      <c r="M61" s="6"/>
      <c r="N61" s="20"/>
    </row>
    <row r="62" spans="1:14" x14ac:dyDescent="0.25">
      <c r="A62" s="6">
        <v>61</v>
      </c>
      <c r="B62" s="6" t="s">
        <v>15</v>
      </c>
      <c r="C62" s="4">
        <v>43238</v>
      </c>
      <c r="D62" s="1" t="str">
        <f t="shared" si="0"/>
        <v>Fri</v>
      </c>
      <c r="E62" s="7"/>
      <c r="F62" s="7"/>
      <c r="G62" s="7"/>
      <c r="H62" s="7"/>
      <c r="I62" s="7"/>
      <c r="J62" s="7">
        <v>1</v>
      </c>
      <c r="K62" s="2"/>
      <c r="L62" s="7">
        <f t="shared" si="2"/>
        <v>1</v>
      </c>
      <c r="M62" s="6"/>
      <c r="N62" s="20"/>
    </row>
    <row r="63" spans="1:14" x14ac:dyDescent="0.25">
      <c r="A63" s="6">
        <v>62</v>
      </c>
      <c r="B63" s="6" t="s">
        <v>16</v>
      </c>
      <c r="C63" s="4">
        <v>43241</v>
      </c>
      <c r="D63" s="1" t="str">
        <f t="shared" si="0"/>
        <v>Mon</v>
      </c>
      <c r="E63" s="7"/>
      <c r="F63" s="7"/>
      <c r="G63" s="7"/>
      <c r="H63" s="7"/>
      <c r="I63" s="7"/>
      <c r="J63" s="7">
        <v>1</v>
      </c>
      <c r="K63" s="2"/>
      <c r="L63" s="7">
        <f t="shared" si="2"/>
        <v>1</v>
      </c>
      <c r="M63" s="6"/>
      <c r="N63" s="20"/>
    </row>
    <row r="64" spans="1:14" x14ac:dyDescent="0.25">
      <c r="A64" s="6">
        <v>63</v>
      </c>
      <c r="B64" s="6" t="s">
        <v>11</v>
      </c>
      <c r="C64" s="4">
        <v>43244</v>
      </c>
      <c r="D64" s="1" t="str">
        <f t="shared" si="0"/>
        <v>Thu</v>
      </c>
      <c r="E64" s="7">
        <v>1</v>
      </c>
      <c r="F64" s="7"/>
      <c r="G64" s="7"/>
      <c r="H64" s="7"/>
      <c r="I64" s="7"/>
      <c r="J64" s="2"/>
      <c r="K64" s="2"/>
      <c r="L64" s="7">
        <f t="shared" si="2"/>
        <v>1</v>
      </c>
      <c r="M64" s="6"/>
      <c r="N64" s="20"/>
    </row>
    <row r="65" spans="1:14" x14ac:dyDescent="0.25">
      <c r="A65" s="6">
        <v>64</v>
      </c>
      <c r="B65" s="6" t="s">
        <v>11</v>
      </c>
      <c r="C65" s="4">
        <v>43245</v>
      </c>
      <c r="D65" s="1" t="str">
        <f t="shared" si="0"/>
        <v>Fri</v>
      </c>
      <c r="E65" s="7">
        <v>1</v>
      </c>
      <c r="F65" s="7"/>
      <c r="G65" s="7"/>
      <c r="H65" s="7"/>
      <c r="I65" s="7"/>
      <c r="J65" s="2"/>
      <c r="K65" s="2"/>
      <c r="L65" s="7">
        <f t="shared" si="2"/>
        <v>1</v>
      </c>
      <c r="M65" s="6"/>
      <c r="N65" s="20"/>
    </row>
    <row r="66" spans="1:14" x14ac:dyDescent="0.25">
      <c r="A66" s="6">
        <v>65</v>
      </c>
      <c r="B66" s="6" t="s">
        <v>17</v>
      </c>
      <c r="C66" s="4">
        <v>43245</v>
      </c>
      <c r="D66" s="1" t="str">
        <f t="shared" ref="D66:D129" si="3">CHOOSE(WEEKDAY(C66),"Sun","Mon","Tue","Wed","Thu","Fri","Sat")</f>
        <v>Fri</v>
      </c>
      <c r="E66" s="7">
        <v>1</v>
      </c>
      <c r="F66" s="7"/>
      <c r="G66" s="7"/>
      <c r="H66" s="7"/>
      <c r="I66" s="7"/>
      <c r="J66" s="2"/>
      <c r="K66" s="2"/>
      <c r="L66" s="7">
        <f t="shared" ref="L66:L97" si="4">SUM(E66:K66)</f>
        <v>1</v>
      </c>
      <c r="M66" s="6"/>
      <c r="N66" s="20"/>
    </row>
    <row r="67" spans="1:14" x14ac:dyDescent="0.25">
      <c r="A67" s="6">
        <v>66</v>
      </c>
      <c r="B67" s="6" t="s">
        <v>13</v>
      </c>
      <c r="C67" s="4">
        <v>43246</v>
      </c>
      <c r="D67" s="1" t="str">
        <f t="shared" si="3"/>
        <v>Sat</v>
      </c>
      <c r="E67" s="7"/>
      <c r="F67" s="7">
        <v>1</v>
      </c>
      <c r="G67" s="7">
        <v>1</v>
      </c>
      <c r="H67" s="7"/>
      <c r="I67" s="7"/>
      <c r="J67" s="2"/>
      <c r="K67" s="2"/>
      <c r="L67" s="7">
        <f t="shared" si="4"/>
        <v>2</v>
      </c>
      <c r="M67" s="6"/>
      <c r="N67" s="20"/>
    </row>
    <row r="68" spans="1:14" x14ac:dyDescent="0.25">
      <c r="A68" s="6">
        <v>67</v>
      </c>
      <c r="B68" s="6" t="s">
        <v>10</v>
      </c>
      <c r="C68" s="4">
        <v>43257</v>
      </c>
      <c r="D68" s="1" t="str">
        <f t="shared" si="3"/>
        <v>Wed</v>
      </c>
      <c r="E68" s="7">
        <v>1</v>
      </c>
      <c r="F68" s="7"/>
      <c r="G68" s="7"/>
      <c r="H68" s="7"/>
      <c r="I68" s="7"/>
      <c r="J68" s="2"/>
      <c r="K68" s="2"/>
      <c r="L68" s="7">
        <f t="shared" si="4"/>
        <v>1</v>
      </c>
      <c r="M68" s="6"/>
      <c r="N68" s="20"/>
    </row>
    <row r="69" spans="1:14" x14ac:dyDescent="0.25">
      <c r="A69" s="6">
        <v>68</v>
      </c>
      <c r="B69" s="6" t="s">
        <v>7</v>
      </c>
      <c r="C69" s="4">
        <v>43257</v>
      </c>
      <c r="D69" s="1" t="str">
        <f t="shared" si="3"/>
        <v>Wed</v>
      </c>
      <c r="E69" s="7">
        <v>1</v>
      </c>
      <c r="F69" s="7"/>
      <c r="G69" s="7"/>
      <c r="H69" s="7"/>
      <c r="I69" s="7"/>
      <c r="J69" s="2"/>
      <c r="K69" s="2"/>
      <c r="L69" s="7">
        <f t="shared" si="4"/>
        <v>1</v>
      </c>
      <c r="M69" s="6"/>
      <c r="N69" s="20"/>
    </row>
    <row r="70" spans="1:14" x14ac:dyDescent="0.25">
      <c r="A70" s="6">
        <v>69</v>
      </c>
      <c r="B70" s="6" t="s">
        <v>13</v>
      </c>
      <c r="C70" s="4">
        <v>43258</v>
      </c>
      <c r="D70" s="1" t="str">
        <f t="shared" si="3"/>
        <v>Thu</v>
      </c>
      <c r="E70" s="7">
        <v>1</v>
      </c>
      <c r="F70" s="7"/>
      <c r="G70" s="7"/>
      <c r="H70" s="7"/>
      <c r="I70" s="7"/>
      <c r="J70" s="2"/>
      <c r="K70" s="2"/>
      <c r="L70" s="7">
        <f t="shared" si="4"/>
        <v>1</v>
      </c>
      <c r="M70" s="6"/>
      <c r="N70" s="20"/>
    </row>
    <row r="71" spans="1:14" x14ac:dyDescent="0.25">
      <c r="A71" s="6">
        <v>70</v>
      </c>
      <c r="B71" s="6" t="s">
        <v>11</v>
      </c>
      <c r="C71" s="4">
        <v>43258</v>
      </c>
      <c r="D71" s="1" t="str">
        <f t="shared" si="3"/>
        <v>Thu</v>
      </c>
      <c r="E71" s="7">
        <v>1</v>
      </c>
      <c r="F71" s="7"/>
      <c r="G71" s="7"/>
      <c r="H71" s="7"/>
      <c r="I71" s="7"/>
      <c r="J71" s="2"/>
      <c r="K71" s="2"/>
      <c r="L71" s="7">
        <f t="shared" si="4"/>
        <v>1</v>
      </c>
      <c r="M71" s="6"/>
      <c r="N71" s="20"/>
    </row>
    <row r="72" spans="1:14" x14ac:dyDescent="0.25">
      <c r="A72" s="6">
        <v>71</v>
      </c>
      <c r="B72" s="6" t="s">
        <v>7</v>
      </c>
      <c r="C72" s="4">
        <v>43258</v>
      </c>
      <c r="D72" s="1" t="str">
        <f t="shared" si="3"/>
        <v>Thu</v>
      </c>
      <c r="E72" s="7">
        <v>1</v>
      </c>
      <c r="F72" s="7"/>
      <c r="G72" s="7"/>
      <c r="H72" s="7"/>
      <c r="I72" s="7"/>
      <c r="J72" s="2"/>
      <c r="K72" s="2"/>
      <c r="L72" s="7">
        <f t="shared" si="4"/>
        <v>1</v>
      </c>
      <c r="M72" s="6"/>
      <c r="N72" s="20"/>
    </row>
    <row r="73" spans="1:14" x14ac:dyDescent="0.25">
      <c r="A73" s="6">
        <v>72</v>
      </c>
      <c r="B73" s="6" t="s">
        <v>13</v>
      </c>
      <c r="C73" s="4">
        <v>43259</v>
      </c>
      <c r="D73" s="1" t="str">
        <f t="shared" si="3"/>
        <v>Fri</v>
      </c>
      <c r="E73" s="7">
        <v>1</v>
      </c>
      <c r="F73" s="7"/>
      <c r="G73" s="7"/>
      <c r="H73" s="7"/>
      <c r="I73" s="7"/>
      <c r="J73" s="2"/>
      <c r="K73" s="2"/>
      <c r="L73" s="7">
        <f t="shared" si="4"/>
        <v>1</v>
      </c>
      <c r="M73" s="6"/>
      <c r="N73" s="20"/>
    </row>
    <row r="74" spans="1:14" x14ac:dyDescent="0.25">
      <c r="A74" s="6">
        <v>73</v>
      </c>
      <c r="B74" s="6" t="s">
        <v>11</v>
      </c>
      <c r="C74" s="4">
        <v>43259</v>
      </c>
      <c r="D74" s="1" t="str">
        <f t="shared" si="3"/>
        <v>Fri</v>
      </c>
      <c r="E74" s="7">
        <v>1</v>
      </c>
      <c r="F74" s="7"/>
      <c r="G74" s="7"/>
      <c r="H74" s="7"/>
      <c r="I74" s="7"/>
      <c r="J74" s="2"/>
      <c r="K74" s="2"/>
      <c r="L74" s="7">
        <f t="shared" si="4"/>
        <v>1</v>
      </c>
      <c r="M74" s="6"/>
      <c r="N74" s="20"/>
    </row>
    <row r="75" spans="1:14" x14ac:dyDescent="0.25">
      <c r="A75" s="6">
        <v>74</v>
      </c>
      <c r="B75" s="6" t="s">
        <v>7</v>
      </c>
      <c r="C75" s="4">
        <v>43259</v>
      </c>
      <c r="D75" s="1" t="str">
        <f t="shared" si="3"/>
        <v>Fri</v>
      </c>
      <c r="E75" s="7">
        <v>1</v>
      </c>
      <c r="F75" s="7"/>
      <c r="G75" s="7"/>
      <c r="H75" s="7"/>
      <c r="I75" s="7"/>
      <c r="J75" s="2"/>
      <c r="K75" s="2"/>
      <c r="L75" s="7">
        <f t="shared" si="4"/>
        <v>1</v>
      </c>
      <c r="M75" s="6"/>
      <c r="N75" s="20"/>
    </row>
    <row r="76" spans="1:14" x14ac:dyDescent="0.25">
      <c r="A76" s="6">
        <v>75</v>
      </c>
      <c r="B76" s="6" t="s">
        <v>11</v>
      </c>
      <c r="C76" s="4">
        <v>43262</v>
      </c>
      <c r="D76" s="1" t="str">
        <f t="shared" si="3"/>
        <v>Mon</v>
      </c>
      <c r="E76" s="7">
        <v>1</v>
      </c>
      <c r="F76" s="7"/>
      <c r="G76" s="7"/>
      <c r="H76" s="7"/>
      <c r="I76" s="7"/>
      <c r="J76" s="2"/>
      <c r="K76" s="2"/>
      <c r="L76" s="7">
        <f t="shared" si="4"/>
        <v>1</v>
      </c>
      <c r="M76" s="6"/>
      <c r="N76" s="20"/>
    </row>
    <row r="77" spans="1:14" x14ac:dyDescent="0.25">
      <c r="A77" s="6">
        <v>76</v>
      </c>
      <c r="B77" s="6" t="s">
        <v>7</v>
      </c>
      <c r="C77" s="4">
        <v>43262</v>
      </c>
      <c r="D77" s="1" t="str">
        <f t="shared" si="3"/>
        <v>Mon</v>
      </c>
      <c r="E77" s="7">
        <v>1</v>
      </c>
      <c r="F77" s="7"/>
      <c r="G77" s="7"/>
      <c r="H77" s="7"/>
      <c r="I77" s="7"/>
      <c r="J77" s="2"/>
      <c r="K77" s="2"/>
      <c r="L77" s="7">
        <f t="shared" si="4"/>
        <v>1</v>
      </c>
      <c r="M77" s="6"/>
      <c r="N77" s="20"/>
    </row>
    <row r="78" spans="1:14" x14ac:dyDescent="0.25">
      <c r="A78" s="6">
        <v>77</v>
      </c>
      <c r="B78" s="6" t="s">
        <v>7</v>
      </c>
      <c r="C78" s="4">
        <v>43263</v>
      </c>
      <c r="D78" s="1" t="str">
        <f t="shared" si="3"/>
        <v>Tue</v>
      </c>
      <c r="E78" s="7">
        <v>1</v>
      </c>
      <c r="F78" s="7"/>
      <c r="G78" s="7"/>
      <c r="H78" s="7"/>
      <c r="I78" s="7"/>
      <c r="J78" s="2"/>
      <c r="K78" s="2"/>
      <c r="L78" s="7">
        <f t="shared" si="4"/>
        <v>1</v>
      </c>
      <c r="M78" s="6"/>
      <c r="N78" s="20"/>
    </row>
    <row r="79" spans="1:14" x14ac:dyDescent="0.25">
      <c r="A79" s="6">
        <v>78</v>
      </c>
      <c r="B79" s="6" t="s">
        <v>6</v>
      </c>
      <c r="C79" s="4">
        <v>43266</v>
      </c>
      <c r="D79" s="1" t="str">
        <f t="shared" si="3"/>
        <v>Fri</v>
      </c>
      <c r="E79" s="7">
        <v>1</v>
      </c>
      <c r="F79" s="7"/>
      <c r="G79" s="7"/>
      <c r="H79" s="7"/>
      <c r="I79" s="7"/>
      <c r="J79" s="2"/>
      <c r="K79" s="2"/>
      <c r="L79" s="7">
        <f t="shared" si="4"/>
        <v>1</v>
      </c>
      <c r="M79" s="6"/>
      <c r="N79" s="20"/>
    </row>
    <row r="80" spans="1:14" x14ac:dyDescent="0.25">
      <c r="A80" s="6">
        <v>79</v>
      </c>
      <c r="B80" s="6" t="s">
        <v>10</v>
      </c>
      <c r="C80" s="4">
        <v>43271</v>
      </c>
      <c r="D80" s="1" t="str">
        <f t="shared" si="3"/>
        <v>Wed</v>
      </c>
      <c r="E80" s="7">
        <v>1</v>
      </c>
      <c r="F80" s="7"/>
      <c r="G80" s="7"/>
      <c r="H80" s="7"/>
      <c r="I80" s="7"/>
      <c r="J80" s="2"/>
      <c r="K80" s="2"/>
      <c r="L80" s="7">
        <f t="shared" si="4"/>
        <v>1</v>
      </c>
      <c r="M80" s="6"/>
      <c r="N80" s="20"/>
    </row>
    <row r="81" spans="1:14" x14ac:dyDescent="0.25">
      <c r="A81" s="6">
        <v>80</v>
      </c>
      <c r="B81" s="6" t="s">
        <v>10</v>
      </c>
      <c r="C81" s="4">
        <v>43272</v>
      </c>
      <c r="D81" s="1" t="str">
        <f t="shared" si="3"/>
        <v>Thu</v>
      </c>
      <c r="E81" s="7">
        <v>1</v>
      </c>
      <c r="F81" s="7"/>
      <c r="G81" s="7"/>
      <c r="H81" s="7"/>
      <c r="I81" s="7"/>
      <c r="J81" s="2"/>
      <c r="K81" s="2"/>
      <c r="L81" s="7">
        <f t="shared" si="4"/>
        <v>1</v>
      </c>
      <c r="M81" s="6"/>
      <c r="N81" s="20"/>
    </row>
    <row r="82" spans="1:14" x14ac:dyDescent="0.25">
      <c r="A82" s="6">
        <v>81</v>
      </c>
      <c r="B82" s="6" t="s">
        <v>10</v>
      </c>
      <c r="C82" s="4">
        <v>43273</v>
      </c>
      <c r="D82" s="1" t="str">
        <f t="shared" si="3"/>
        <v>Fri</v>
      </c>
      <c r="E82" s="7">
        <v>1</v>
      </c>
      <c r="F82" s="7"/>
      <c r="G82" s="7"/>
      <c r="H82" s="7"/>
      <c r="I82" s="7"/>
      <c r="J82" s="2"/>
      <c r="K82" s="2"/>
      <c r="L82" s="7">
        <f t="shared" si="4"/>
        <v>1</v>
      </c>
      <c r="M82" s="6"/>
      <c r="N82" s="20"/>
    </row>
    <row r="83" spans="1:14" x14ac:dyDescent="0.25">
      <c r="A83" s="6">
        <v>82</v>
      </c>
      <c r="B83" s="6" t="s">
        <v>14</v>
      </c>
      <c r="C83" s="4">
        <v>43288</v>
      </c>
      <c r="D83" s="1" t="str">
        <f t="shared" si="3"/>
        <v>Sat</v>
      </c>
      <c r="E83" s="15">
        <v>1</v>
      </c>
      <c r="F83" s="7"/>
      <c r="G83" s="7"/>
      <c r="H83" s="7"/>
      <c r="I83" s="7"/>
      <c r="J83" s="2"/>
      <c r="K83" s="2"/>
      <c r="L83" s="7">
        <f t="shared" si="4"/>
        <v>1</v>
      </c>
      <c r="M83" s="6"/>
      <c r="N83" s="20"/>
    </row>
    <row r="84" spans="1:14" x14ac:dyDescent="0.25">
      <c r="A84" s="6">
        <v>83</v>
      </c>
      <c r="B84" s="6" t="s">
        <v>10</v>
      </c>
      <c r="C84" s="4">
        <v>43297</v>
      </c>
      <c r="D84" s="1" t="str">
        <f t="shared" si="3"/>
        <v>Mon</v>
      </c>
      <c r="E84" s="7">
        <v>1</v>
      </c>
      <c r="F84" s="7"/>
      <c r="G84" s="7"/>
      <c r="H84" s="7"/>
      <c r="I84" s="7"/>
      <c r="J84" s="2"/>
      <c r="K84" s="2"/>
      <c r="L84" s="7">
        <f t="shared" si="4"/>
        <v>1</v>
      </c>
      <c r="M84" s="6"/>
      <c r="N84" s="20"/>
    </row>
    <row r="85" spans="1:14" x14ac:dyDescent="0.25">
      <c r="A85" s="6">
        <v>84</v>
      </c>
      <c r="B85" s="6" t="s">
        <v>14</v>
      </c>
      <c r="C85" s="4">
        <v>43298</v>
      </c>
      <c r="D85" s="1" t="str">
        <f t="shared" si="3"/>
        <v>Tue</v>
      </c>
      <c r="E85" s="15">
        <v>1</v>
      </c>
      <c r="F85" s="7"/>
      <c r="G85" s="7"/>
      <c r="H85" s="7"/>
      <c r="I85" s="7"/>
      <c r="J85" s="2"/>
      <c r="K85" s="2"/>
      <c r="L85" s="7">
        <f t="shared" si="4"/>
        <v>1</v>
      </c>
      <c r="M85" s="6"/>
      <c r="N85" s="20"/>
    </row>
    <row r="86" spans="1:14" x14ac:dyDescent="0.25">
      <c r="A86" s="6">
        <v>85</v>
      </c>
      <c r="B86" s="6" t="s">
        <v>7</v>
      </c>
      <c r="C86" s="4">
        <v>43300</v>
      </c>
      <c r="D86" s="1" t="str">
        <f t="shared" si="3"/>
        <v>Thu</v>
      </c>
      <c r="E86" s="7">
        <v>1</v>
      </c>
      <c r="F86" s="7"/>
      <c r="G86" s="7"/>
      <c r="H86" s="7"/>
      <c r="I86" s="7"/>
      <c r="J86" s="2"/>
      <c r="K86" s="2"/>
      <c r="L86" s="7">
        <f t="shared" si="4"/>
        <v>1</v>
      </c>
      <c r="M86" s="6"/>
      <c r="N86" s="20"/>
    </row>
    <row r="87" spans="1:14" x14ac:dyDescent="0.25">
      <c r="A87" s="6">
        <v>86</v>
      </c>
      <c r="B87" s="6" t="s">
        <v>11</v>
      </c>
      <c r="C87" s="4">
        <v>43301</v>
      </c>
      <c r="D87" s="1" t="str">
        <f t="shared" si="3"/>
        <v>Fri</v>
      </c>
      <c r="E87" s="7">
        <v>1</v>
      </c>
      <c r="F87" s="7"/>
      <c r="G87" s="7"/>
      <c r="H87" s="7"/>
      <c r="I87" s="7"/>
      <c r="J87" s="2"/>
      <c r="K87" s="2"/>
      <c r="L87" s="7">
        <f t="shared" si="4"/>
        <v>1</v>
      </c>
      <c r="M87" s="6"/>
      <c r="N87" s="20"/>
    </row>
    <row r="88" spans="1:14" x14ac:dyDescent="0.25">
      <c r="A88" s="6">
        <v>87</v>
      </c>
      <c r="B88" s="6" t="s">
        <v>15</v>
      </c>
      <c r="C88" s="4">
        <v>43304</v>
      </c>
      <c r="D88" s="1" t="str">
        <f t="shared" si="3"/>
        <v>Mon</v>
      </c>
      <c r="E88" s="15">
        <v>1</v>
      </c>
      <c r="F88" s="7"/>
      <c r="G88" s="7"/>
      <c r="H88" s="7"/>
      <c r="I88" s="7"/>
      <c r="J88" s="2"/>
      <c r="K88" s="2"/>
      <c r="L88" s="7">
        <f t="shared" si="4"/>
        <v>1</v>
      </c>
      <c r="M88" s="6"/>
      <c r="N88" s="20"/>
    </row>
    <row r="89" spans="1:14" x14ac:dyDescent="0.25">
      <c r="A89" s="6">
        <v>88</v>
      </c>
      <c r="B89" s="6" t="s">
        <v>7</v>
      </c>
      <c r="C89" s="4">
        <v>43304</v>
      </c>
      <c r="D89" s="1" t="str">
        <f t="shared" si="3"/>
        <v>Mon</v>
      </c>
      <c r="E89" s="7">
        <v>1</v>
      </c>
      <c r="F89" s="7"/>
      <c r="G89" s="7"/>
      <c r="H89" s="7"/>
      <c r="I89" s="7"/>
      <c r="J89" s="2"/>
      <c r="K89" s="2"/>
      <c r="L89" s="7">
        <f t="shared" si="4"/>
        <v>1</v>
      </c>
      <c r="M89" s="6"/>
      <c r="N89" s="20"/>
    </row>
    <row r="90" spans="1:14" x14ac:dyDescent="0.25">
      <c r="A90" s="6">
        <v>89</v>
      </c>
      <c r="B90" s="6" t="s">
        <v>13</v>
      </c>
      <c r="C90" s="4">
        <v>43305</v>
      </c>
      <c r="D90" s="1" t="str">
        <f t="shared" si="3"/>
        <v>Tue</v>
      </c>
      <c r="E90" s="7">
        <v>1</v>
      </c>
      <c r="F90" s="7"/>
      <c r="G90" s="7"/>
      <c r="H90" s="7"/>
      <c r="I90" s="7"/>
      <c r="J90" s="2"/>
      <c r="K90" s="2"/>
      <c r="L90" s="7">
        <f t="shared" si="4"/>
        <v>1</v>
      </c>
      <c r="M90" s="6"/>
      <c r="N90" s="20"/>
    </row>
    <row r="91" spans="1:14" x14ac:dyDescent="0.25">
      <c r="A91" s="6">
        <v>90</v>
      </c>
      <c r="B91" s="6" t="s">
        <v>23</v>
      </c>
      <c r="C91" s="4">
        <v>43305</v>
      </c>
      <c r="D91" s="1" t="str">
        <f t="shared" si="3"/>
        <v>Tue</v>
      </c>
      <c r="E91" s="7"/>
      <c r="F91" s="7"/>
      <c r="G91" s="7"/>
      <c r="H91" s="7"/>
      <c r="I91" s="7"/>
      <c r="J91" s="7">
        <v>1</v>
      </c>
      <c r="K91" s="2"/>
      <c r="L91" s="7">
        <f t="shared" si="4"/>
        <v>1</v>
      </c>
      <c r="M91" s="6"/>
      <c r="N91" s="20"/>
    </row>
    <row r="92" spans="1:14" x14ac:dyDescent="0.25">
      <c r="A92" s="6">
        <v>91</v>
      </c>
      <c r="B92" s="6" t="s">
        <v>23</v>
      </c>
      <c r="C92" s="4">
        <v>43320</v>
      </c>
      <c r="D92" s="1" t="str">
        <f t="shared" si="3"/>
        <v>Wed</v>
      </c>
      <c r="E92" s="7"/>
      <c r="F92" s="7"/>
      <c r="G92" s="7"/>
      <c r="H92" s="7"/>
      <c r="I92" s="7"/>
      <c r="J92" s="7">
        <v>1</v>
      </c>
      <c r="K92" s="2"/>
      <c r="L92" s="7">
        <f t="shared" si="4"/>
        <v>1</v>
      </c>
      <c r="M92" s="6"/>
      <c r="N92" s="20"/>
    </row>
    <row r="93" spans="1:14" x14ac:dyDescent="0.25">
      <c r="A93" s="6">
        <v>92</v>
      </c>
      <c r="B93" s="6" t="s">
        <v>11</v>
      </c>
      <c r="C93" s="4">
        <v>43322</v>
      </c>
      <c r="D93" s="1" t="str">
        <f t="shared" si="3"/>
        <v>Fri</v>
      </c>
      <c r="E93" s="7">
        <v>1</v>
      </c>
      <c r="F93" s="7"/>
      <c r="G93" s="7"/>
      <c r="H93" s="7"/>
      <c r="I93" s="7"/>
      <c r="J93" s="7"/>
      <c r="K93" s="2"/>
      <c r="L93" s="7">
        <f t="shared" si="4"/>
        <v>1</v>
      </c>
      <c r="M93" s="6"/>
      <c r="N93" s="20"/>
    </row>
    <row r="94" spans="1:14" x14ac:dyDescent="0.25">
      <c r="A94" s="6">
        <v>93</v>
      </c>
      <c r="B94" s="6" t="s">
        <v>7</v>
      </c>
      <c r="C94" s="4">
        <v>43325</v>
      </c>
      <c r="D94" s="1" t="str">
        <f t="shared" si="3"/>
        <v>Mon</v>
      </c>
      <c r="E94" s="7">
        <v>1</v>
      </c>
      <c r="F94" s="7"/>
      <c r="G94" s="7"/>
      <c r="H94" s="7"/>
      <c r="I94" s="7"/>
      <c r="J94" s="2"/>
      <c r="K94" s="2"/>
      <c r="L94" s="7">
        <f t="shared" si="4"/>
        <v>1</v>
      </c>
      <c r="M94" s="6"/>
      <c r="N94" s="20"/>
    </row>
    <row r="95" spans="1:14" x14ac:dyDescent="0.25">
      <c r="A95" s="6">
        <v>94</v>
      </c>
      <c r="B95" s="6" t="s">
        <v>11</v>
      </c>
      <c r="C95" s="4">
        <v>43329</v>
      </c>
      <c r="D95" s="1" t="str">
        <f t="shared" si="3"/>
        <v>Fri</v>
      </c>
      <c r="E95" s="7">
        <v>1</v>
      </c>
      <c r="F95" s="7"/>
      <c r="G95" s="7"/>
      <c r="H95" s="7"/>
      <c r="I95" s="7"/>
      <c r="J95" s="2"/>
      <c r="K95" s="2"/>
      <c r="L95" s="7">
        <f t="shared" si="4"/>
        <v>1</v>
      </c>
      <c r="M95" s="6"/>
      <c r="N95" s="20"/>
    </row>
    <row r="96" spans="1:14" x14ac:dyDescent="0.25">
      <c r="A96" s="6">
        <v>95</v>
      </c>
      <c r="B96" s="6" t="s">
        <v>13</v>
      </c>
      <c r="C96" s="4">
        <v>43332</v>
      </c>
      <c r="D96" s="1" t="str">
        <f t="shared" si="3"/>
        <v>Mon</v>
      </c>
      <c r="E96" s="7">
        <v>1</v>
      </c>
      <c r="F96" s="7"/>
      <c r="G96" s="7"/>
      <c r="H96" s="7"/>
      <c r="I96" s="7"/>
      <c r="J96" s="2"/>
      <c r="K96" s="2"/>
      <c r="L96" s="7">
        <f t="shared" si="4"/>
        <v>1</v>
      </c>
      <c r="M96" s="6"/>
      <c r="N96" s="20"/>
    </row>
    <row r="97" spans="1:14" x14ac:dyDescent="0.25">
      <c r="A97" s="6">
        <v>96</v>
      </c>
      <c r="B97" s="6" t="s">
        <v>13</v>
      </c>
      <c r="C97" s="4">
        <v>43333</v>
      </c>
      <c r="D97" s="1" t="str">
        <f t="shared" si="3"/>
        <v>Tue</v>
      </c>
      <c r="E97" s="7">
        <v>1</v>
      </c>
      <c r="F97" s="7"/>
      <c r="G97" s="7"/>
      <c r="H97" s="7"/>
      <c r="I97" s="7"/>
      <c r="J97" s="2"/>
      <c r="K97" s="2"/>
      <c r="L97" s="7">
        <f t="shared" si="4"/>
        <v>1</v>
      </c>
      <c r="M97" s="6"/>
      <c r="N97" s="20"/>
    </row>
    <row r="98" spans="1:14" x14ac:dyDescent="0.25">
      <c r="A98" s="6">
        <v>97</v>
      </c>
      <c r="B98" s="6" t="s">
        <v>6</v>
      </c>
      <c r="C98" s="4">
        <v>43334</v>
      </c>
      <c r="D98" s="1" t="str">
        <f t="shared" si="3"/>
        <v>Wed</v>
      </c>
      <c r="E98" s="7">
        <v>1</v>
      </c>
      <c r="F98" s="7"/>
      <c r="G98" s="7"/>
      <c r="H98" s="7"/>
      <c r="I98" s="7"/>
      <c r="J98" s="2"/>
      <c r="K98" s="2"/>
      <c r="L98" s="7">
        <f t="shared" ref="L98:L129" si="5">SUM(E98:K98)</f>
        <v>1</v>
      </c>
      <c r="M98" s="6"/>
      <c r="N98" s="20"/>
    </row>
    <row r="99" spans="1:14" x14ac:dyDescent="0.25">
      <c r="A99" s="6">
        <v>98</v>
      </c>
      <c r="B99" s="6" t="s">
        <v>7</v>
      </c>
      <c r="C99" s="4">
        <v>43335</v>
      </c>
      <c r="D99" s="1" t="str">
        <f t="shared" si="3"/>
        <v>Thu</v>
      </c>
      <c r="E99" s="7">
        <v>1</v>
      </c>
      <c r="F99" s="7"/>
      <c r="G99" s="7"/>
      <c r="H99" s="7"/>
      <c r="I99" s="7"/>
      <c r="J99" s="7"/>
      <c r="K99" s="2"/>
      <c r="L99" s="7">
        <f t="shared" si="5"/>
        <v>1</v>
      </c>
      <c r="M99" s="6"/>
      <c r="N99" s="20"/>
    </row>
    <row r="100" spans="1:14" x14ac:dyDescent="0.25">
      <c r="A100" s="6">
        <v>99</v>
      </c>
      <c r="B100" s="6" t="s">
        <v>7</v>
      </c>
      <c r="C100" s="4">
        <v>43336</v>
      </c>
      <c r="D100" s="1" t="str">
        <f t="shared" si="3"/>
        <v>Fri</v>
      </c>
      <c r="E100" s="7">
        <v>1</v>
      </c>
      <c r="F100" s="7"/>
      <c r="G100" s="7"/>
      <c r="H100" s="7"/>
      <c r="I100" s="7"/>
      <c r="J100" s="7"/>
      <c r="K100" s="2"/>
      <c r="L100" s="7">
        <f t="shared" si="5"/>
        <v>1</v>
      </c>
      <c r="M100" s="6"/>
      <c r="N100" s="20"/>
    </row>
    <row r="101" spans="1:14" x14ac:dyDescent="0.25">
      <c r="A101" s="6">
        <v>100</v>
      </c>
      <c r="B101" s="6" t="s">
        <v>23</v>
      </c>
      <c r="C101" s="4">
        <v>43340</v>
      </c>
      <c r="D101" s="1" t="str">
        <f t="shared" si="3"/>
        <v>Tue</v>
      </c>
      <c r="E101" s="7">
        <v>1</v>
      </c>
      <c r="F101" s="7"/>
      <c r="G101" s="7"/>
      <c r="H101" s="7"/>
      <c r="I101" s="7"/>
      <c r="J101" s="2"/>
      <c r="K101" s="2"/>
      <c r="L101" s="7">
        <f t="shared" si="5"/>
        <v>1</v>
      </c>
      <c r="M101" s="6"/>
      <c r="N101" s="20"/>
    </row>
    <row r="102" spans="1:14" x14ac:dyDescent="0.25">
      <c r="A102" s="6">
        <v>101</v>
      </c>
      <c r="B102" s="6" t="s">
        <v>23</v>
      </c>
      <c r="C102" s="4">
        <v>43341</v>
      </c>
      <c r="D102" s="1" t="str">
        <f t="shared" si="3"/>
        <v>Wed</v>
      </c>
      <c r="E102" s="7">
        <v>1</v>
      </c>
      <c r="F102" s="7"/>
      <c r="G102" s="7"/>
      <c r="H102" s="7"/>
      <c r="I102" s="7"/>
      <c r="J102" s="2"/>
      <c r="K102" s="2"/>
      <c r="L102" s="7">
        <f t="shared" si="5"/>
        <v>1</v>
      </c>
      <c r="M102" s="6"/>
      <c r="N102" s="20"/>
    </row>
    <row r="103" spans="1:14" x14ac:dyDescent="0.25">
      <c r="A103" s="6">
        <v>102</v>
      </c>
      <c r="B103" s="6" t="s">
        <v>23</v>
      </c>
      <c r="C103" s="4">
        <v>43342</v>
      </c>
      <c r="D103" s="1" t="str">
        <f t="shared" si="3"/>
        <v>Thu</v>
      </c>
      <c r="E103" s="7">
        <v>1</v>
      </c>
      <c r="F103" s="7"/>
      <c r="G103" s="7"/>
      <c r="H103" s="7"/>
      <c r="I103" s="7"/>
      <c r="J103" s="2"/>
      <c r="K103" s="2"/>
      <c r="L103" s="7">
        <f t="shared" si="5"/>
        <v>1</v>
      </c>
      <c r="M103" s="6"/>
      <c r="N103" s="20"/>
    </row>
    <row r="104" spans="1:14" x14ac:dyDescent="0.25">
      <c r="A104" s="6">
        <v>103</v>
      </c>
      <c r="B104" s="6" t="s">
        <v>23</v>
      </c>
      <c r="C104" s="4">
        <v>43343</v>
      </c>
      <c r="D104" s="1" t="str">
        <f t="shared" si="3"/>
        <v>Fri</v>
      </c>
      <c r="E104" s="7">
        <v>1</v>
      </c>
      <c r="F104" s="7"/>
      <c r="G104" s="7"/>
      <c r="H104" s="7"/>
      <c r="I104" s="7"/>
      <c r="J104" s="2"/>
      <c r="K104" s="2"/>
      <c r="L104" s="7">
        <f t="shared" si="5"/>
        <v>1</v>
      </c>
      <c r="M104" s="6"/>
      <c r="N104" s="20"/>
    </row>
    <row r="105" spans="1:14" x14ac:dyDescent="0.25">
      <c r="A105" s="6">
        <v>104</v>
      </c>
      <c r="B105" s="6" t="s">
        <v>23</v>
      </c>
      <c r="C105" s="4">
        <v>43347</v>
      </c>
      <c r="D105" s="1" t="str">
        <f t="shared" si="3"/>
        <v>Tue</v>
      </c>
      <c r="E105" s="7">
        <v>0.5</v>
      </c>
      <c r="F105" s="7"/>
      <c r="G105" s="7"/>
      <c r="H105" s="7"/>
      <c r="I105" s="7"/>
      <c r="J105" s="2"/>
      <c r="K105" s="2"/>
      <c r="L105" s="7">
        <f t="shared" si="5"/>
        <v>0.5</v>
      </c>
      <c r="M105" s="6"/>
      <c r="N105" s="20"/>
    </row>
    <row r="106" spans="1:14" x14ac:dyDescent="0.25">
      <c r="A106" s="6">
        <v>105</v>
      </c>
      <c r="B106" s="6" t="s">
        <v>7</v>
      </c>
      <c r="C106" s="4">
        <v>43347</v>
      </c>
      <c r="D106" s="1" t="str">
        <f t="shared" si="3"/>
        <v>Tue</v>
      </c>
      <c r="E106" s="7">
        <v>1</v>
      </c>
      <c r="F106" s="7"/>
      <c r="G106" s="7"/>
      <c r="H106" s="7"/>
      <c r="I106" s="7"/>
      <c r="J106" s="2"/>
      <c r="K106" s="2"/>
      <c r="L106" s="7">
        <f t="shared" si="5"/>
        <v>1</v>
      </c>
      <c r="M106" s="6"/>
      <c r="N106" s="20"/>
    </row>
    <row r="107" spans="1:14" x14ac:dyDescent="0.25">
      <c r="A107" s="6">
        <v>106</v>
      </c>
      <c r="B107" s="6" t="s">
        <v>23</v>
      </c>
      <c r="C107" s="4">
        <v>43348</v>
      </c>
      <c r="D107" s="1" t="str">
        <f t="shared" si="3"/>
        <v>Wed</v>
      </c>
      <c r="E107" s="7">
        <v>0.5</v>
      </c>
      <c r="F107" s="7"/>
      <c r="G107" s="7"/>
      <c r="H107" s="7"/>
      <c r="I107" s="7"/>
      <c r="J107" s="2"/>
      <c r="K107" s="2"/>
      <c r="L107" s="7">
        <f t="shared" si="5"/>
        <v>0.5</v>
      </c>
      <c r="M107" s="6"/>
      <c r="N107" s="20"/>
    </row>
    <row r="108" spans="1:14" x14ac:dyDescent="0.25">
      <c r="A108" s="6">
        <v>107</v>
      </c>
      <c r="B108" s="6" t="s">
        <v>7</v>
      </c>
      <c r="C108" s="4">
        <v>43348</v>
      </c>
      <c r="D108" s="1" t="str">
        <f t="shared" si="3"/>
        <v>Wed</v>
      </c>
      <c r="E108" s="7">
        <v>1</v>
      </c>
      <c r="F108" s="7"/>
      <c r="G108" s="7"/>
      <c r="H108" s="7"/>
      <c r="I108" s="7"/>
      <c r="J108" s="2"/>
      <c r="K108" s="2"/>
      <c r="L108" s="7">
        <f t="shared" si="5"/>
        <v>1</v>
      </c>
      <c r="M108" s="6"/>
      <c r="N108" s="20"/>
    </row>
    <row r="109" spans="1:14" x14ac:dyDescent="0.25">
      <c r="A109" s="6">
        <v>108</v>
      </c>
      <c r="B109" s="6" t="s">
        <v>23</v>
      </c>
      <c r="C109" s="4">
        <v>43349</v>
      </c>
      <c r="D109" s="1" t="str">
        <f t="shared" si="3"/>
        <v>Thu</v>
      </c>
      <c r="E109" s="7">
        <v>0.5</v>
      </c>
      <c r="F109" s="7"/>
      <c r="G109" s="7"/>
      <c r="H109" s="7"/>
      <c r="I109" s="7"/>
      <c r="J109" s="2"/>
      <c r="K109" s="2"/>
      <c r="L109" s="7">
        <f t="shared" si="5"/>
        <v>0.5</v>
      </c>
      <c r="M109" s="6"/>
      <c r="N109" s="20"/>
    </row>
    <row r="110" spans="1:14" x14ac:dyDescent="0.25">
      <c r="A110" s="6">
        <v>109</v>
      </c>
      <c r="B110" s="6" t="s">
        <v>7</v>
      </c>
      <c r="C110" s="4">
        <v>43349</v>
      </c>
      <c r="D110" s="1" t="str">
        <f t="shared" si="3"/>
        <v>Thu</v>
      </c>
      <c r="E110" s="7">
        <v>1</v>
      </c>
      <c r="F110" s="7"/>
      <c r="G110" s="7"/>
      <c r="H110" s="7"/>
      <c r="I110" s="7"/>
      <c r="J110" s="2"/>
      <c r="K110" s="2"/>
      <c r="L110" s="7">
        <f t="shared" si="5"/>
        <v>1</v>
      </c>
      <c r="M110" s="6"/>
      <c r="N110" s="20"/>
    </row>
    <row r="111" spans="1:14" x14ac:dyDescent="0.25">
      <c r="A111" s="6">
        <v>110</v>
      </c>
      <c r="B111" s="6" t="s">
        <v>7</v>
      </c>
      <c r="C111" s="4">
        <v>43350</v>
      </c>
      <c r="D111" s="1" t="str">
        <f t="shared" si="3"/>
        <v>Fri</v>
      </c>
      <c r="E111" s="7">
        <v>1</v>
      </c>
      <c r="F111" s="7"/>
      <c r="G111" s="7"/>
      <c r="H111" s="7"/>
      <c r="I111" s="7"/>
      <c r="J111" s="2"/>
      <c r="K111" s="2"/>
      <c r="L111" s="7">
        <f t="shared" si="5"/>
        <v>1</v>
      </c>
      <c r="M111" s="6"/>
      <c r="N111" s="20"/>
    </row>
    <row r="112" spans="1:14" x14ac:dyDescent="0.25">
      <c r="A112" s="6">
        <v>111</v>
      </c>
      <c r="B112" s="6" t="s">
        <v>15</v>
      </c>
      <c r="C112" s="4">
        <v>43353</v>
      </c>
      <c r="D112" s="1" t="str">
        <f t="shared" si="3"/>
        <v>Mon</v>
      </c>
      <c r="E112" s="7">
        <v>1</v>
      </c>
      <c r="F112" s="7"/>
      <c r="G112" s="7"/>
      <c r="H112" s="7"/>
      <c r="I112" s="7"/>
      <c r="J112" s="2"/>
      <c r="K112" s="2"/>
      <c r="L112" s="7">
        <f t="shared" si="5"/>
        <v>1</v>
      </c>
      <c r="M112" s="6"/>
      <c r="N112" s="20"/>
    </row>
    <row r="113" spans="1:14" x14ac:dyDescent="0.25">
      <c r="A113" s="6">
        <v>112</v>
      </c>
      <c r="B113" s="6" t="s">
        <v>7</v>
      </c>
      <c r="C113" s="4">
        <v>43353</v>
      </c>
      <c r="D113" s="1" t="str">
        <f t="shared" si="3"/>
        <v>Mon</v>
      </c>
      <c r="E113" s="7">
        <v>1</v>
      </c>
      <c r="F113" s="7"/>
      <c r="G113" s="7"/>
      <c r="H113" s="7"/>
      <c r="I113" s="7"/>
      <c r="J113" s="2"/>
      <c r="K113" s="2"/>
      <c r="L113" s="7">
        <f t="shared" si="5"/>
        <v>1</v>
      </c>
      <c r="M113" s="6"/>
      <c r="N113" s="20"/>
    </row>
    <row r="114" spans="1:14" x14ac:dyDescent="0.25">
      <c r="A114" s="6">
        <v>113</v>
      </c>
      <c r="B114" s="6" t="s">
        <v>13</v>
      </c>
      <c r="C114" s="4">
        <v>43356</v>
      </c>
      <c r="D114" s="1" t="str">
        <f t="shared" si="3"/>
        <v>Thu</v>
      </c>
      <c r="E114" s="7">
        <v>1</v>
      </c>
      <c r="F114" s="7"/>
      <c r="G114" s="7"/>
      <c r="H114" s="7"/>
      <c r="I114" s="7"/>
      <c r="J114" s="2"/>
      <c r="K114" s="2"/>
      <c r="L114" s="7">
        <f t="shared" si="5"/>
        <v>1</v>
      </c>
      <c r="M114" s="6"/>
      <c r="N114" s="20"/>
    </row>
    <row r="115" spans="1:14" x14ac:dyDescent="0.25">
      <c r="A115" s="6">
        <v>114</v>
      </c>
      <c r="B115" s="6" t="s">
        <v>11</v>
      </c>
      <c r="C115" s="4">
        <v>43356</v>
      </c>
      <c r="D115" s="1" t="str">
        <f t="shared" si="3"/>
        <v>Thu</v>
      </c>
      <c r="E115" s="7">
        <v>1</v>
      </c>
      <c r="F115" s="7"/>
      <c r="G115" s="7"/>
      <c r="H115" s="7"/>
      <c r="I115" s="7"/>
      <c r="J115" s="2"/>
      <c r="K115" s="2"/>
      <c r="L115" s="7">
        <f t="shared" si="5"/>
        <v>1</v>
      </c>
      <c r="M115" s="6"/>
      <c r="N115" s="20"/>
    </row>
    <row r="116" spans="1:14" x14ac:dyDescent="0.25">
      <c r="A116" s="6">
        <v>115</v>
      </c>
      <c r="B116" s="6" t="s">
        <v>13</v>
      </c>
      <c r="C116" s="4">
        <v>43357</v>
      </c>
      <c r="D116" s="1" t="str">
        <f t="shared" si="3"/>
        <v>Fri</v>
      </c>
      <c r="E116" s="7">
        <v>1</v>
      </c>
      <c r="F116" s="7"/>
      <c r="G116" s="7"/>
      <c r="H116" s="7"/>
      <c r="I116" s="7"/>
      <c r="J116" s="2"/>
      <c r="K116" s="2"/>
      <c r="L116" s="7">
        <f t="shared" si="5"/>
        <v>1</v>
      </c>
      <c r="M116" s="6"/>
      <c r="N116" s="20"/>
    </row>
    <row r="117" spans="1:14" x14ac:dyDescent="0.25">
      <c r="A117" s="6">
        <v>116</v>
      </c>
      <c r="B117" s="6" t="s">
        <v>11</v>
      </c>
      <c r="C117" s="4">
        <v>43357</v>
      </c>
      <c r="D117" s="1" t="str">
        <f t="shared" si="3"/>
        <v>Fri</v>
      </c>
      <c r="E117" s="7">
        <v>1</v>
      </c>
      <c r="F117" s="7"/>
      <c r="G117" s="7"/>
      <c r="H117" s="7"/>
      <c r="I117" s="7"/>
      <c r="J117" s="2"/>
      <c r="K117" s="2"/>
      <c r="L117" s="7">
        <f t="shared" si="5"/>
        <v>1</v>
      </c>
      <c r="M117" s="6"/>
      <c r="N117" s="20"/>
    </row>
    <row r="118" spans="1:14" x14ac:dyDescent="0.25">
      <c r="A118" s="6">
        <v>117</v>
      </c>
      <c r="B118" s="6" t="s">
        <v>15</v>
      </c>
      <c r="C118" s="4">
        <v>43360</v>
      </c>
      <c r="D118" s="1" t="str">
        <f t="shared" si="3"/>
        <v>Mon</v>
      </c>
      <c r="E118" s="15">
        <v>1</v>
      </c>
      <c r="F118" s="7"/>
      <c r="G118" s="7"/>
      <c r="H118" s="7"/>
      <c r="I118" s="7"/>
      <c r="J118" s="2"/>
      <c r="K118" s="2"/>
      <c r="L118" s="7">
        <f t="shared" si="5"/>
        <v>1</v>
      </c>
      <c r="M118" s="6"/>
      <c r="N118" s="20"/>
    </row>
    <row r="119" spans="1:14" x14ac:dyDescent="0.25">
      <c r="A119" s="6">
        <v>118</v>
      </c>
      <c r="B119" s="6" t="s">
        <v>6</v>
      </c>
      <c r="C119" s="4">
        <v>43360</v>
      </c>
      <c r="D119" s="1" t="str">
        <f t="shared" si="3"/>
        <v>Mon</v>
      </c>
      <c r="E119" s="7">
        <v>1</v>
      </c>
      <c r="F119" s="7"/>
      <c r="G119" s="7"/>
      <c r="H119" s="7"/>
      <c r="I119" s="7"/>
      <c r="J119" s="2"/>
      <c r="K119" s="2"/>
      <c r="L119" s="7">
        <f t="shared" si="5"/>
        <v>1</v>
      </c>
      <c r="M119" s="6"/>
      <c r="N119" s="20"/>
    </row>
    <row r="120" spans="1:14" x14ac:dyDescent="0.25">
      <c r="A120" s="6">
        <v>119</v>
      </c>
      <c r="B120" s="6" t="s">
        <v>15</v>
      </c>
      <c r="C120" s="4">
        <v>43361</v>
      </c>
      <c r="D120" s="1" t="str">
        <f t="shared" si="3"/>
        <v>Tue</v>
      </c>
      <c r="E120" s="15">
        <v>1</v>
      </c>
      <c r="F120" s="7"/>
      <c r="G120" s="7"/>
      <c r="H120" s="7"/>
      <c r="I120" s="7"/>
      <c r="J120" s="2"/>
      <c r="K120" s="2"/>
      <c r="L120" s="7">
        <f t="shared" si="5"/>
        <v>1</v>
      </c>
      <c r="M120" s="6"/>
      <c r="N120" s="20"/>
    </row>
    <row r="121" spans="1:14" x14ac:dyDescent="0.25">
      <c r="A121" s="6">
        <v>120</v>
      </c>
      <c r="B121" s="6" t="s">
        <v>6</v>
      </c>
      <c r="C121" s="4">
        <v>43367</v>
      </c>
      <c r="D121" s="1" t="str">
        <f t="shared" si="3"/>
        <v>Mon</v>
      </c>
      <c r="E121" s="7">
        <v>1</v>
      </c>
      <c r="F121" s="7"/>
      <c r="G121" s="7"/>
      <c r="H121" s="7"/>
      <c r="I121" s="7"/>
      <c r="J121" s="2"/>
      <c r="K121" s="2"/>
      <c r="L121" s="7">
        <f t="shared" si="5"/>
        <v>1</v>
      </c>
      <c r="M121" s="6"/>
      <c r="N121" s="20"/>
    </row>
    <row r="122" spans="1:14" x14ac:dyDescent="0.25">
      <c r="A122" s="6">
        <v>121</v>
      </c>
      <c r="B122" s="6" t="s">
        <v>23</v>
      </c>
      <c r="C122" s="4">
        <v>43367</v>
      </c>
      <c r="D122" s="1" t="str">
        <f t="shared" si="3"/>
        <v>Mon</v>
      </c>
      <c r="E122" s="7">
        <v>1</v>
      </c>
      <c r="F122" s="7"/>
      <c r="G122" s="7"/>
      <c r="H122" s="7"/>
      <c r="I122" s="7"/>
      <c r="J122" s="2"/>
      <c r="K122" s="2"/>
      <c r="L122" s="7">
        <f t="shared" si="5"/>
        <v>1</v>
      </c>
      <c r="M122" s="6"/>
      <c r="N122" s="20"/>
    </row>
    <row r="123" spans="1:14" x14ac:dyDescent="0.25">
      <c r="A123" s="6">
        <v>122</v>
      </c>
      <c r="B123" s="6" t="s">
        <v>6</v>
      </c>
      <c r="C123" s="4">
        <v>43368</v>
      </c>
      <c r="D123" s="1" t="str">
        <f t="shared" si="3"/>
        <v>Tue</v>
      </c>
      <c r="E123" s="7">
        <v>1</v>
      </c>
      <c r="F123" s="7"/>
      <c r="G123" s="7"/>
      <c r="H123" s="7"/>
      <c r="I123" s="7"/>
      <c r="J123" s="2"/>
      <c r="K123" s="2"/>
      <c r="L123" s="7">
        <f t="shared" si="5"/>
        <v>1</v>
      </c>
      <c r="M123" s="6"/>
      <c r="N123" s="20"/>
    </row>
    <row r="124" spans="1:14" x14ac:dyDescent="0.25">
      <c r="A124" s="6">
        <v>123</v>
      </c>
      <c r="B124" s="6" t="s">
        <v>13</v>
      </c>
      <c r="C124" s="4">
        <v>43381</v>
      </c>
      <c r="D124" s="1" t="str">
        <f t="shared" si="3"/>
        <v>Mon</v>
      </c>
      <c r="E124" s="7">
        <v>1</v>
      </c>
      <c r="F124" s="7"/>
      <c r="G124" s="7"/>
      <c r="H124" s="7"/>
      <c r="I124" s="7"/>
      <c r="J124" s="2"/>
      <c r="K124" s="2"/>
      <c r="L124" s="7">
        <f t="shared" si="5"/>
        <v>1</v>
      </c>
      <c r="M124" s="6"/>
      <c r="N124" s="20"/>
    </row>
    <row r="125" spans="1:14" x14ac:dyDescent="0.25">
      <c r="A125" s="6">
        <v>124</v>
      </c>
      <c r="B125" s="6" t="s">
        <v>11</v>
      </c>
      <c r="C125" s="4">
        <v>43381</v>
      </c>
      <c r="D125" s="1" t="str">
        <f t="shared" si="3"/>
        <v>Mon</v>
      </c>
      <c r="E125" s="7">
        <v>1</v>
      </c>
      <c r="F125" s="7"/>
      <c r="G125" s="7"/>
      <c r="H125" s="7"/>
      <c r="I125" s="7"/>
      <c r="J125" s="2"/>
      <c r="K125" s="2"/>
      <c r="L125" s="7">
        <f t="shared" si="5"/>
        <v>1</v>
      </c>
      <c r="M125" s="6"/>
      <c r="N125" s="20"/>
    </row>
    <row r="126" spans="1:14" x14ac:dyDescent="0.25">
      <c r="A126" s="6">
        <v>125</v>
      </c>
      <c r="B126" s="6" t="s">
        <v>13</v>
      </c>
      <c r="C126" s="4">
        <v>43382</v>
      </c>
      <c r="D126" s="1" t="str">
        <f t="shared" si="3"/>
        <v>Tue</v>
      </c>
      <c r="E126" s="7">
        <v>1</v>
      </c>
      <c r="F126" s="7"/>
      <c r="G126" s="7"/>
      <c r="H126" s="7"/>
      <c r="I126" s="7"/>
      <c r="J126" s="2"/>
      <c r="K126" s="2"/>
      <c r="L126" s="7">
        <f t="shared" si="5"/>
        <v>1</v>
      </c>
      <c r="M126" s="6"/>
      <c r="N126" s="20"/>
    </row>
    <row r="127" spans="1:14" x14ac:dyDescent="0.25">
      <c r="A127" s="6">
        <v>126</v>
      </c>
      <c r="B127" s="6" t="s">
        <v>11</v>
      </c>
      <c r="C127" s="4">
        <v>43382</v>
      </c>
      <c r="D127" s="1" t="str">
        <f t="shared" si="3"/>
        <v>Tue</v>
      </c>
      <c r="E127" s="7">
        <v>1</v>
      </c>
      <c r="F127" s="7"/>
      <c r="G127" s="7"/>
      <c r="H127" s="7"/>
      <c r="I127" s="7"/>
      <c r="J127" s="2"/>
      <c r="K127" s="2"/>
      <c r="L127" s="7">
        <f t="shared" si="5"/>
        <v>1</v>
      </c>
      <c r="M127" s="6"/>
      <c r="N127" s="20"/>
    </row>
    <row r="128" spans="1:14" x14ac:dyDescent="0.25">
      <c r="A128" s="6">
        <v>127</v>
      </c>
      <c r="B128" s="6" t="s">
        <v>23</v>
      </c>
      <c r="C128" s="4">
        <v>43384</v>
      </c>
      <c r="D128" s="1" t="str">
        <f t="shared" si="3"/>
        <v>Thu</v>
      </c>
      <c r="E128" s="7">
        <v>1</v>
      </c>
      <c r="F128" s="7"/>
      <c r="G128" s="7"/>
      <c r="H128" s="7"/>
      <c r="I128" s="7"/>
      <c r="J128" s="2"/>
      <c r="K128" s="2"/>
      <c r="L128" s="7">
        <f t="shared" si="5"/>
        <v>1</v>
      </c>
      <c r="M128" s="6"/>
      <c r="N128" s="20"/>
    </row>
    <row r="129" spans="1:14" x14ac:dyDescent="0.25">
      <c r="A129" s="6">
        <v>128</v>
      </c>
      <c r="B129" s="6" t="s">
        <v>23</v>
      </c>
      <c r="C129" s="4">
        <v>43385</v>
      </c>
      <c r="D129" s="1" t="str">
        <f t="shared" si="3"/>
        <v>Fri</v>
      </c>
      <c r="E129" s="7">
        <v>1</v>
      </c>
      <c r="F129" s="7"/>
      <c r="G129" s="7"/>
      <c r="H129" s="7"/>
      <c r="I129" s="7"/>
      <c r="J129" s="2"/>
      <c r="K129" s="2"/>
      <c r="L129" s="7">
        <f t="shared" si="5"/>
        <v>1</v>
      </c>
      <c r="M129" s="6"/>
      <c r="N129" s="20"/>
    </row>
    <row r="130" spans="1:14" x14ac:dyDescent="0.25">
      <c r="A130" s="6">
        <v>129</v>
      </c>
      <c r="B130" s="6" t="s">
        <v>7</v>
      </c>
      <c r="C130" s="4">
        <v>43388</v>
      </c>
      <c r="D130" s="1" t="str">
        <f t="shared" ref="D130:D193" si="6">CHOOSE(WEEKDAY(C130),"Sun","Mon","Tue","Wed","Thu","Fri","Sat")</f>
        <v>Mon</v>
      </c>
      <c r="E130" s="7">
        <v>1</v>
      </c>
      <c r="F130" s="7"/>
      <c r="G130" s="7"/>
      <c r="H130" s="7"/>
      <c r="I130" s="7"/>
      <c r="J130" s="2"/>
      <c r="K130" s="2"/>
      <c r="L130" s="7">
        <f t="shared" ref="L130:L161" si="7">SUM(E130:K130)</f>
        <v>1</v>
      </c>
      <c r="M130" s="6"/>
      <c r="N130" s="20"/>
    </row>
    <row r="131" spans="1:14" x14ac:dyDescent="0.25">
      <c r="A131" s="6">
        <v>130</v>
      </c>
      <c r="B131" s="6" t="s">
        <v>15</v>
      </c>
      <c r="C131" s="4">
        <v>43395</v>
      </c>
      <c r="D131" s="1" t="str">
        <f t="shared" si="6"/>
        <v>Mon</v>
      </c>
      <c r="E131" s="7">
        <v>1</v>
      </c>
      <c r="F131" s="7"/>
      <c r="G131" s="7"/>
      <c r="H131" s="7"/>
      <c r="I131" s="7"/>
      <c r="J131" s="2"/>
      <c r="K131" s="2"/>
      <c r="L131" s="7">
        <f t="shared" si="7"/>
        <v>1</v>
      </c>
      <c r="M131" s="6"/>
      <c r="N131" s="20"/>
    </row>
    <row r="132" spans="1:14" x14ac:dyDescent="0.25">
      <c r="A132" s="6">
        <v>131</v>
      </c>
      <c r="B132" s="6" t="s">
        <v>15</v>
      </c>
      <c r="C132" s="4">
        <v>43396</v>
      </c>
      <c r="D132" s="1" t="str">
        <f t="shared" si="6"/>
        <v>Tue</v>
      </c>
      <c r="E132" s="7">
        <v>1</v>
      </c>
      <c r="F132" s="7"/>
      <c r="G132" s="7"/>
      <c r="H132" s="7"/>
      <c r="I132" s="7"/>
      <c r="J132" s="2"/>
      <c r="K132" s="2"/>
      <c r="L132" s="7">
        <f t="shared" si="7"/>
        <v>1</v>
      </c>
      <c r="M132" s="6"/>
      <c r="N132" s="20"/>
    </row>
    <row r="133" spans="1:14" x14ac:dyDescent="0.25">
      <c r="A133" s="6">
        <v>132</v>
      </c>
      <c r="B133" s="6" t="s">
        <v>13</v>
      </c>
      <c r="C133" s="4">
        <v>43399</v>
      </c>
      <c r="D133" s="1" t="str">
        <f t="shared" si="6"/>
        <v>Fri</v>
      </c>
      <c r="E133" s="7">
        <v>1</v>
      </c>
      <c r="F133" s="7"/>
      <c r="G133" s="7"/>
      <c r="H133" s="7"/>
      <c r="I133" s="7"/>
      <c r="J133" s="2"/>
      <c r="K133" s="2"/>
      <c r="L133" s="7">
        <f t="shared" si="7"/>
        <v>1</v>
      </c>
      <c r="M133" s="6"/>
      <c r="N133" s="20"/>
    </row>
    <row r="134" spans="1:14" x14ac:dyDescent="0.25">
      <c r="A134" s="6">
        <v>133</v>
      </c>
      <c r="B134" s="6" t="s">
        <v>6</v>
      </c>
      <c r="C134" s="4">
        <v>43399</v>
      </c>
      <c r="D134" s="1" t="str">
        <f t="shared" si="6"/>
        <v>Fri</v>
      </c>
      <c r="E134" s="7">
        <v>1</v>
      </c>
      <c r="F134" s="7"/>
      <c r="G134" s="7"/>
      <c r="H134" s="7"/>
      <c r="I134" s="7"/>
      <c r="J134" s="2"/>
      <c r="K134" s="2"/>
      <c r="L134" s="7">
        <f t="shared" si="7"/>
        <v>1</v>
      </c>
      <c r="M134" s="6"/>
      <c r="N134" s="20"/>
    </row>
    <row r="135" spans="1:14" x14ac:dyDescent="0.25">
      <c r="A135" s="6">
        <v>134</v>
      </c>
      <c r="B135" s="6" t="s">
        <v>25</v>
      </c>
      <c r="C135" s="4">
        <v>43402</v>
      </c>
      <c r="D135" s="1" t="str">
        <f t="shared" si="6"/>
        <v>Mon</v>
      </c>
      <c r="E135" s="7">
        <v>1</v>
      </c>
      <c r="F135" s="7"/>
      <c r="G135" s="7"/>
      <c r="H135" s="7"/>
      <c r="I135" s="7"/>
      <c r="J135" s="2"/>
      <c r="K135" s="2"/>
      <c r="L135" s="7">
        <f t="shared" si="7"/>
        <v>1</v>
      </c>
      <c r="M135" s="6"/>
      <c r="N135" s="20"/>
    </row>
    <row r="136" spans="1:14" x14ac:dyDescent="0.25">
      <c r="A136" s="6">
        <v>135</v>
      </c>
      <c r="B136" s="6" t="s">
        <v>25</v>
      </c>
      <c r="C136" s="4">
        <v>43403</v>
      </c>
      <c r="D136" s="1" t="str">
        <f t="shared" si="6"/>
        <v>Tue</v>
      </c>
      <c r="E136" s="7">
        <v>1</v>
      </c>
      <c r="F136" s="7"/>
      <c r="G136" s="7"/>
      <c r="H136" s="7"/>
      <c r="I136" s="7"/>
      <c r="J136" s="2"/>
      <c r="K136" s="2"/>
      <c r="L136" s="7">
        <f t="shared" si="7"/>
        <v>1</v>
      </c>
      <c r="M136" s="6"/>
      <c r="N136" s="20"/>
    </row>
    <row r="137" spans="1:14" x14ac:dyDescent="0.25">
      <c r="A137" s="6">
        <v>136</v>
      </c>
      <c r="B137" s="6" t="s">
        <v>13</v>
      </c>
      <c r="C137" s="4">
        <v>43404</v>
      </c>
      <c r="D137" s="1" t="str">
        <f t="shared" si="6"/>
        <v>Wed</v>
      </c>
      <c r="E137" s="7">
        <v>1</v>
      </c>
      <c r="F137" s="7"/>
      <c r="G137" s="7"/>
      <c r="H137" s="7"/>
      <c r="I137" s="7"/>
      <c r="J137" s="2"/>
      <c r="K137" s="2"/>
      <c r="L137" s="7">
        <f t="shared" si="7"/>
        <v>1</v>
      </c>
      <c r="M137" s="6"/>
      <c r="N137" s="20"/>
    </row>
    <row r="138" spans="1:14" x14ac:dyDescent="0.25">
      <c r="A138" s="6">
        <v>137</v>
      </c>
      <c r="B138" s="6" t="s">
        <v>11</v>
      </c>
      <c r="C138" s="4">
        <v>43404</v>
      </c>
      <c r="D138" s="1" t="str">
        <f t="shared" si="6"/>
        <v>Wed</v>
      </c>
      <c r="E138" s="7">
        <v>1</v>
      </c>
      <c r="F138" s="7"/>
      <c r="G138" s="7"/>
      <c r="H138" s="7"/>
      <c r="I138" s="7"/>
      <c r="J138" s="2"/>
      <c r="K138" s="2"/>
      <c r="L138" s="7">
        <f t="shared" si="7"/>
        <v>1</v>
      </c>
      <c r="M138" s="6"/>
      <c r="N138" s="20"/>
    </row>
    <row r="139" spans="1:14" x14ac:dyDescent="0.25">
      <c r="A139" s="6">
        <v>138</v>
      </c>
      <c r="B139" s="6" t="s">
        <v>13</v>
      </c>
      <c r="C139" s="4">
        <v>43405</v>
      </c>
      <c r="D139" s="1" t="str">
        <f t="shared" si="6"/>
        <v>Thu</v>
      </c>
      <c r="E139" s="7">
        <v>1</v>
      </c>
      <c r="F139" s="7"/>
      <c r="G139" s="7"/>
      <c r="H139" s="7"/>
      <c r="I139" s="7"/>
      <c r="J139" s="2"/>
      <c r="K139" s="2"/>
      <c r="L139" s="7">
        <f t="shared" si="7"/>
        <v>1</v>
      </c>
      <c r="M139" s="6"/>
      <c r="N139" s="20"/>
    </row>
    <row r="140" spans="1:14" x14ac:dyDescent="0.25">
      <c r="A140" s="6">
        <v>139</v>
      </c>
      <c r="B140" s="6" t="s">
        <v>11</v>
      </c>
      <c r="C140" s="4">
        <v>43405</v>
      </c>
      <c r="D140" s="1" t="str">
        <f t="shared" si="6"/>
        <v>Thu</v>
      </c>
      <c r="E140" s="7">
        <v>1</v>
      </c>
      <c r="F140" s="7"/>
      <c r="G140" s="7"/>
      <c r="H140" s="7"/>
      <c r="I140" s="7"/>
      <c r="J140" s="2"/>
      <c r="K140" s="2"/>
      <c r="L140" s="7">
        <f t="shared" si="7"/>
        <v>1</v>
      </c>
      <c r="M140" s="6"/>
      <c r="N140" s="20"/>
    </row>
    <row r="141" spans="1:14" x14ac:dyDescent="0.25">
      <c r="A141" s="6">
        <v>140</v>
      </c>
      <c r="B141" s="6" t="s">
        <v>13</v>
      </c>
      <c r="C141" s="4">
        <v>43406</v>
      </c>
      <c r="D141" s="1" t="str">
        <f t="shared" si="6"/>
        <v>Fri</v>
      </c>
      <c r="E141" s="7">
        <v>1</v>
      </c>
      <c r="F141" s="7"/>
      <c r="G141" s="7"/>
      <c r="H141" s="7"/>
      <c r="I141" s="7"/>
      <c r="J141" s="2"/>
      <c r="K141" s="2"/>
      <c r="L141" s="7">
        <f t="shared" si="7"/>
        <v>1</v>
      </c>
      <c r="M141" s="6"/>
      <c r="N141" s="20"/>
    </row>
    <row r="142" spans="1:14" x14ac:dyDescent="0.25">
      <c r="A142" s="6">
        <v>141</v>
      </c>
      <c r="B142" s="6" t="s">
        <v>11</v>
      </c>
      <c r="C142" s="4">
        <v>43406</v>
      </c>
      <c r="D142" s="1" t="str">
        <f t="shared" si="6"/>
        <v>Fri</v>
      </c>
      <c r="E142" s="7">
        <v>1</v>
      </c>
      <c r="F142" s="7"/>
      <c r="G142" s="7"/>
      <c r="H142" s="7"/>
      <c r="I142" s="7"/>
      <c r="J142" s="2"/>
      <c r="K142" s="2"/>
      <c r="L142" s="7">
        <f t="shared" si="7"/>
        <v>1</v>
      </c>
      <c r="M142" s="6"/>
      <c r="N142" s="20"/>
    </row>
    <row r="143" spans="1:14" x14ac:dyDescent="0.25">
      <c r="A143" s="6">
        <v>142</v>
      </c>
      <c r="B143" s="6" t="s">
        <v>23</v>
      </c>
      <c r="C143" s="4">
        <v>43406</v>
      </c>
      <c r="D143" s="1" t="str">
        <f t="shared" si="6"/>
        <v>Fri</v>
      </c>
      <c r="E143" s="7">
        <v>1</v>
      </c>
      <c r="F143" s="7"/>
      <c r="G143" s="7"/>
      <c r="H143" s="7"/>
      <c r="I143" s="7"/>
      <c r="J143" s="2"/>
      <c r="K143" s="2"/>
      <c r="L143" s="7">
        <f t="shared" si="7"/>
        <v>1</v>
      </c>
      <c r="M143" s="6"/>
      <c r="N143" s="20"/>
    </row>
    <row r="144" spans="1:14" x14ac:dyDescent="0.25">
      <c r="A144" s="6">
        <v>143</v>
      </c>
      <c r="B144" s="6" t="s">
        <v>15</v>
      </c>
      <c r="C144" s="4">
        <v>43412</v>
      </c>
      <c r="D144" s="1" t="str">
        <f t="shared" si="6"/>
        <v>Thu</v>
      </c>
      <c r="E144" s="7">
        <v>1</v>
      </c>
      <c r="F144" s="7"/>
      <c r="G144" s="7"/>
      <c r="H144" s="7"/>
      <c r="I144" s="7"/>
      <c r="J144" s="2"/>
      <c r="K144" s="2"/>
      <c r="L144" s="7">
        <f t="shared" si="7"/>
        <v>1</v>
      </c>
      <c r="M144" s="6"/>
      <c r="N144" s="20"/>
    </row>
    <row r="145" spans="1:14" x14ac:dyDescent="0.25">
      <c r="A145" s="6">
        <v>144</v>
      </c>
      <c r="B145" s="6" t="s">
        <v>24</v>
      </c>
      <c r="C145" s="4">
        <v>43412</v>
      </c>
      <c r="D145" s="1" t="str">
        <f t="shared" si="6"/>
        <v>Thu</v>
      </c>
      <c r="E145" s="7">
        <v>1</v>
      </c>
      <c r="F145" s="7"/>
      <c r="G145" s="7"/>
      <c r="H145" s="7"/>
      <c r="I145" s="7"/>
      <c r="J145" s="2"/>
      <c r="K145" s="2"/>
      <c r="L145" s="7">
        <f t="shared" si="7"/>
        <v>1</v>
      </c>
      <c r="M145" s="6"/>
      <c r="N145" s="20"/>
    </row>
    <row r="146" spans="1:14" x14ac:dyDescent="0.25">
      <c r="A146" s="6">
        <v>145</v>
      </c>
      <c r="B146" s="6" t="s">
        <v>7</v>
      </c>
      <c r="C146" s="4">
        <v>43416</v>
      </c>
      <c r="D146" s="1" t="str">
        <f t="shared" si="6"/>
        <v>Mon</v>
      </c>
      <c r="E146" s="7">
        <v>1</v>
      </c>
      <c r="F146" s="7"/>
      <c r="G146" s="7"/>
      <c r="H146" s="7"/>
      <c r="I146" s="7"/>
      <c r="J146" s="2"/>
      <c r="K146" s="2"/>
      <c r="L146" s="7">
        <f t="shared" si="7"/>
        <v>1</v>
      </c>
      <c r="M146" s="6"/>
      <c r="N146" s="20"/>
    </row>
    <row r="147" spans="1:14" x14ac:dyDescent="0.25">
      <c r="A147" s="6">
        <v>146</v>
      </c>
      <c r="B147" s="6" t="s">
        <v>23</v>
      </c>
      <c r="C147" s="4">
        <v>43423</v>
      </c>
      <c r="D147" s="1" t="str">
        <f t="shared" si="6"/>
        <v>Mon</v>
      </c>
      <c r="E147" s="7"/>
      <c r="F147" s="7"/>
      <c r="G147" s="7">
        <v>1</v>
      </c>
      <c r="H147" s="7"/>
      <c r="I147" s="7"/>
      <c r="J147" s="2"/>
      <c r="K147" s="2"/>
      <c r="L147" s="7">
        <f t="shared" si="7"/>
        <v>1</v>
      </c>
      <c r="M147" s="6"/>
      <c r="N147" s="20"/>
    </row>
    <row r="148" spans="1:14" x14ac:dyDescent="0.25">
      <c r="A148" s="6">
        <v>147</v>
      </c>
      <c r="B148" s="6" t="s">
        <v>23</v>
      </c>
      <c r="C148" s="4">
        <v>43424</v>
      </c>
      <c r="D148" s="1" t="str">
        <f t="shared" si="6"/>
        <v>Tue</v>
      </c>
      <c r="E148" s="7"/>
      <c r="F148" s="7"/>
      <c r="G148" s="7">
        <v>1</v>
      </c>
      <c r="H148" s="7"/>
      <c r="I148" s="7"/>
      <c r="J148" s="2"/>
      <c r="K148" s="2"/>
      <c r="L148" s="7">
        <f t="shared" si="7"/>
        <v>1</v>
      </c>
      <c r="M148" s="6"/>
      <c r="N148" s="20"/>
    </row>
    <row r="149" spans="1:14" x14ac:dyDescent="0.25">
      <c r="A149" s="6">
        <v>148</v>
      </c>
      <c r="B149" s="6" t="s">
        <v>23</v>
      </c>
      <c r="C149" s="4">
        <v>43425</v>
      </c>
      <c r="D149" s="1" t="str">
        <f t="shared" si="6"/>
        <v>Wed</v>
      </c>
      <c r="E149" s="7"/>
      <c r="F149" s="7"/>
      <c r="G149" s="7">
        <v>1</v>
      </c>
      <c r="H149" s="7"/>
      <c r="I149" s="7"/>
      <c r="J149" s="2"/>
      <c r="K149" s="2"/>
      <c r="L149" s="7">
        <f t="shared" si="7"/>
        <v>1</v>
      </c>
      <c r="M149" s="6"/>
      <c r="N149" s="20" t="s">
        <v>29</v>
      </c>
    </row>
    <row r="150" spans="1:14" x14ac:dyDescent="0.25">
      <c r="A150" s="6">
        <v>149</v>
      </c>
      <c r="B150" s="6" t="s">
        <v>11</v>
      </c>
      <c r="C150" s="4">
        <v>43430</v>
      </c>
      <c r="D150" s="1" t="str">
        <f t="shared" si="6"/>
        <v>Mon</v>
      </c>
      <c r="E150" s="7">
        <v>1</v>
      </c>
      <c r="F150" s="7"/>
      <c r="G150" s="7"/>
      <c r="H150" s="7"/>
      <c r="I150" s="7"/>
      <c r="J150" s="2"/>
      <c r="K150" s="2"/>
      <c r="L150" s="7">
        <f t="shared" si="7"/>
        <v>1</v>
      </c>
      <c r="M150" s="6"/>
      <c r="N150" s="20" t="s">
        <v>28</v>
      </c>
    </row>
    <row r="151" spans="1:14" x14ac:dyDescent="0.25">
      <c r="A151" s="6">
        <v>150</v>
      </c>
      <c r="B151" s="6" t="s">
        <v>14</v>
      </c>
      <c r="C151" s="4">
        <v>43437</v>
      </c>
      <c r="D151" s="1" t="str">
        <f t="shared" si="6"/>
        <v>Mon</v>
      </c>
      <c r="E151" s="7">
        <v>1</v>
      </c>
      <c r="F151" s="7"/>
      <c r="G151" s="7"/>
      <c r="H151" s="7"/>
      <c r="I151" s="7"/>
      <c r="J151" s="2"/>
      <c r="K151" s="2"/>
      <c r="L151" s="7">
        <f t="shared" si="7"/>
        <v>1</v>
      </c>
      <c r="M151" s="6"/>
      <c r="N151" s="20" t="s">
        <v>31</v>
      </c>
    </row>
    <row r="152" spans="1:14" x14ac:dyDescent="0.25">
      <c r="A152" s="6">
        <v>151</v>
      </c>
      <c r="B152" s="6" t="s">
        <v>7</v>
      </c>
      <c r="C152" s="4">
        <v>43444</v>
      </c>
      <c r="D152" s="1" t="str">
        <f t="shared" si="6"/>
        <v>Mon</v>
      </c>
      <c r="E152" s="7">
        <v>1</v>
      </c>
      <c r="F152" s="7"/>
      <c r="G152" s="7"/>
      <c r="H152" s="7"/>
      <c r="I152" s="7"/>
      <c r="J152" s="2"/>
      <c r="K152" s="2"/>
      <c r="L152" s="7">
        <f t="shared" si="7"/>
        <v>1</v>
      </c>
      <c r="M152" s="6"/>
      <c r="N152" s="20"/>
    </row>
    <row r="153" spans="1:14" x14ac:dyDescent="0.25">
      <c r="A153" s="6">
        <v>152</v>
      </c>
      <c r="B153" s="6" t="s">
        <v>23</v>
      </c>
      <c r="C153" s="4">
        <v>43445</v>
      </c>
      <c r="D153" s="1" t="str">
        <f t="shared" si="6"/>
        <v>Tue</v>
      </c>
      <c r="E153" s="7">
        <v>1</v>
      </c>
      <c r="F153" s="7"/>
      <c r="G153" s="7"/>
      <c r="H153" s="7"/>
      <c r="I153" s="7"/>
      <c r="J153" s="2"/>
      <c r="K153" s="2"/>
      <c r="L153" s="7">
        <f t="shared" si="7"/>
        <v>1</v>
      </c>
      <c r="M153" s="6"/>
      <c r="N153" s="20"/>
    </row>
    <row r="154" spans="1:14" x14ac:dyDescent="0.25">
      <c r="A154" s="6">
        <v>153</v>
      </c>
      <c r="B154" s="6" t="s">
        <v>23</v>
      </c>
      <c r="C154" s="4">
        <v>43446</v>
      </c>
      <c r="D154" s="1" t="str">
        <f t="shared" si="6"/>
        <v>Wed</v>
      </c>
      <c r="E154" s="7">
        <v>1</v>
      </c>
      <c r="F154" s="7"/>
      <c r="G154" s="7"/>
      <c r="H154" s="7"/>
      <c r="I154" s="7"/>
      <c r="J154" s="2"/>
      <c r="K154" s="2"/>
      <c r="L154" s="7">
        <f t="shared" si="7"/>
        <v>1</v>
      </c>
      <c r="M154" s="6"/>
      <c r="N154" s="20"/>
    </row>
    <row r="155" spans="1:14" x14ac:dyDescent="0.25">
      <c r="A155" s="6">
        <v>154</v>
      </c>
      <c r="B155" s="6" t="s">
        <v>14</v>
      </c>
      <c r="C155" s="4">
        <v>43447</v>
      </c>
      <c r="D155" s="1" t="str">
        <f t="shared" si="6"/>
        <v>Thu</v>
      </c>
      <c r="E155" s="7">
        <v>1</v>
      </c>
      <c r="F155" s="7"/>
      <c r="G155" s="7"/>
      <c r="H155" s="7"/>
      <c r="I155" s="7"/>
      <c r="J155" s="2"/>
      <c r="K155" s="2"/>
      <c r="L155" s="7">
        <f t="shared" si="7"/>
        <v>1</v>
      </c>
      <c r="M155" s="6"/>
      <c r="N155" s="20"/>
    </row>
    <row r="156" spans="1:14" x14ac:dyDescent="0.25">
      <c r="A156" s="6">
        <v>155</v>
      </c>
      <c r="B156" s="6" t="s">
        <v>6</v>
      </c>
      <c r="C156" s="4">
        <v>43448</v>
      </c>
      <c r="D156" s="1" t="str">
        <f t="shared" si="6"/>
        <v>Fri</v>
      </c>
      <c r="E156" s="7">
        <v>0.5</v>
      </c>
      <c r="F156" s="7"/>
      <c r="G156" s="7"/>
      <c r="H156" s="7"/>
      <c r="I156" s="7"/>
      <c r="J156" s="2"/>
      <c r="K156" s="2"/>
      <c r="L156" s="7">
        <f t="shared" si="7"/>
        <v>0.5</v>
      </c>
      <c r="M156" s="6"/>
      <c r="N156" s="20"/>
    </row>
    <row r="157" spans="1:14" x14ac:dyDescent="0.25">
      <c r="A157" s="6">
        <v>156</v>
      </c>
      <c r="B157" s="6" t="s">
        <v>14</v>
      </c>
      <c r="C157" s="4">
        <v>43448</v>
      </c>
      <c r="D157" s="1" t="str">
        <f t="shared" si="6"/>
        <v>Fri</v>
      </c>
      <c r="E157" s="7">
        <v>1</v>
      </c>
      <c r="F157" s="7"/>
      <c r="G157" s="7"/>
      <c r="H157" s="7"/>
      <c r="I157" s="7"/>
      <c r="J157" s="2"/>
      <c r="K157" s="2"/>
      <c r="L157" s="7">
        <f t="shared" si="7"/>
        <v>1</v>
      </c>
      <c r="M157" s="6"/>
      <c r="N157" s="20" t="s">
        <v>32</v>
      </c>
    </row>
    <row r="158" spans="1:14" x14ac:dyDescent="0.25">
      <c r="A158" s="6">
        <v>157</v>
      </c>
      <c r="B158" s="6" t="s">
        <v>13</v>
      </c>
      <c r="C158" s="4">
        <v>43451</v>
      </c>
      <c r="D158" s="1" t="str">
        <f t="shared" si="6"/>
        <v>Mon</v>
      </c>
      <c r="E158" s="7">
        <v>1</v>
      </c>
      <c r="F158" s="7"/>
      <c r="G158" s="7"/>
      <c r="H158" s="7"/>
      <c r="I158" s="7"/>
      <c r="J158" s="2"/>
      <c r="K158" s="2"/>
      <c r="L158" s="7">
        <f t="shared" si="7"/>
        <v>1</v>
      </c>
      <c r="M158" s="6"/>
      <c r="N158" s="21" t="s">
        <v>33</v>
      </c>
    </row>
    <row r="159" spans="1:14" x14ac:dyDescent="0.25">
      <c r="A159" s="6">
        <v>158</v>
      </c>
      <c r="B159" s="6" t="s">
        <v>11</v>
      </c>
      <c r="C159" s="4">
        <v>43451</v>
      </c>
      <c r="D159" s="1" t="str">
        <f t="shared" si="6"/>
        <v>Mon</v>
      </c>
      <c r="E159" s="7">
        <v>1</v>
      </c>
      <c r="F159" s="7"/>
      <c r="G159" s="7"/>
      <c r="H159" s="7"/>
      <c r="I159" s="7"/>
      <c r="J159" s="2"/>
      <c r="K159" s="2"/>
      <c r="L159" s="7">
        <f t="shared" si="7"/>
        <v>1</v>
      </c>
      <c r="M159" s="6"/>
      <c r="N159" s="20"/>
    </row>
    <row r="160" spans="1:14" x14ac:dyDescent="0.25">
      <c r="A160" s="6">
        <v>159</v>
      </c>
      <c r="B160" s="6" t="s">
        <v>30</v>
      </c>
      <c r="C160" s="4">
        <v>43451</v>
      </c>
      <c r="D160" s="1" t="str">
        <f t="shared" si="6"/>
        <v>Mon</v>
      </c>
      <c r="E160" s="7">
        <v>1</v>
      </c>
      <c r="F160" s="7"/>
      <c r="G160" s="7"/>
      <c r="H160" s="7"/>
      <c r="I160" s="7"/>
      <c r="J160" s="2"/>
      <c r="K160" s="2"/>
      <c r="L160" s="7">
        <f t="shared" si="7"/>
        <v>1</v>
      </c>
      <c r="M160" s="6"/>
      <c r="N160" s="20" t="s">
        <v>32</v>
      </c>
    </row>
    <row r="161" spans="1:14" x14ac:dyDescent="0.25">
      <c r="A161" s="6">
        <v>160</v>
      </c>
      <c r="B161" s="6" t="s">
        <v>13</v>
      </c>
      <c r="C161" s="4">
        <v>43452</v>
      </c>
      <c r="D161" s="1" t="str">
        <f t="shared" si="6"/>
        <v>Tue</v>
      </c>
      <c r="E161" s="7">
        <v>1</v>
      </c>
      <c r="F161" s="7"/>
      <c r="G161" s="7"/>
      <c r="H161" s="7"/>
      <c r="I161" s="7"/>
      <c r="J161" s="2"/>
      <c r="K161" s="2"/>
      <c r="L161" s="7">
        <f t="shared" si="7"/>
        <v>1</v>
      </c>
      <c r="M161" s="6"/>
      <c r="N161" s="21"/>
    </row>
    <row r="162" spans="1:14" x14ac:dyDescent="0.25">
      <c r="A162" s="6">
        <v>161</v>
      </c>
      <c r="B162" s="6" t="s">
        <v>11</v>
      </c>
      <c r="C162" s="4">
        <v>43452</v>
      </c>
      <c r="D162" s="1" t="str">
        <f t="shared" si="6"/>
        <v>Tue</v>
      </c>
      <c r="E162" s="7">
        <v>1</v>
      </c>
      <c r="F162" s="7"/>
      <c r="G162" s="7"/>
      <c r="H162" s="7"/>
      <c r="I162" s="7"/>
      <c r="J162" s="2"/>
      <c r="K162" s="2"/>
      <c r="L162" s="7">
        <f t="shared" ref="L162:L182" si="8">SUM(E162:K162)</f>
        <v>1</v>
      </c>
      <c r="M162" s="6"/>
      <c r="N162" s="20" t="s">
        <v>28</v>
      </c>
    </row>
    <row r="163" spans="1:14" x14ac:dyDescent="0.25">
      <c r="A163" s="6">
        <v>162</v>
      </c>
      <c r="B163" s="6" t="s">
        <v>30</v>
      </c>
      <c r="C163" s="4">
        <v>43452</v>
      </c>
      <c r="D163" s="1" t="str">
        <f t="shared" si="6"/>
        <v>Tue</v>
      </c>
      <c r="E163" s="7">
        <v>1</v>
      </c>
      <c r="F163" s="7"/>
      <c r="G163" s="7"/>
      <c r="H163" s="7"/>
      <c r="I163" s="7"/>
      <c r="J163" s="2"/>
      <c r="K163" s="2"/>
      <c r="L163" s="7">
        <f t="shared" si="8"/>
        <v>1</v>
      </c>
      <c r="M163" s="6"/>
      <c r="N163" s="20" t="s">
        <v>32</v>
      </c>
    </row>
    <row r="164" spans="1:14" x14ac:dyDescent="0.25">
      <c r="A164" s="6">
        <v>163</v>
      </c>
      <c r="B164" s="6" t="s">
        <v>13</v>
      </c>
      <c r="C164" s="4">
        <v>43453</v>
      </c>
      <c r="D164" s="1" t="str">
        <f t="shared" si="6"/>
        <v>Wed</v>
      </c>
      <c r="E164" s="7">
        <v>1</v>
      </c>
      <c r="F164" s="7"/>
      <c r="G164" s="7"/>
      <c r="H164" s="7"/>
      <c r="I164" s="7"/>
      <c r="J164" s="2"/>
      <c r="K164" s="2"/>
      <c r="L164" s="7">
        <f t="shared" si="8"/>
        <v>1</v>
      </c>
      <c r="M164" s="6"/>
      <c r="N164" s="20"/>
    </row>
    <row r="165" spans="1:14" x14ac:dyDescent="0.25">
      <c r="A165" s="6">
        <v>164</v>
      </c>
      <c r="B165" s="6" t="s">
        <v>6</v>
      </c>
      <c r="C165" s="4">
        <v>43454</v>
      </c>
      <c r="D165" s="1" t="str">
        <f t="shared" si="6"/>
        <v>Thu</v>
      </c>
      <c r="E165" s="7">
        <v>1</v>
      </c>
      <c r="F165" s="7"/>
      <c r="G165" s="7"/>
      <c r="H165" s="7"/>
      <c r="I165" s="7"/>
      <c r="J165" s="2"/>
      <c r="K165" s="2"/>
      <c r="L165" s="7">
        <f t="shared" si="8"/>
        <v>1</v>
      </c>
      <c r="M165" s="6"/>
      <c r="N165" s="20" t="s">
        <v>29</v>
      </c>
    </row>
    <row r="166" spans="1:14" x14ac:dyDescent="0.25">
      <c r="A166" s="6">
        <v>165</v>
      </c>
      <c r="B166" s="6" t="s">
        <v>13</v>
      </c>
      <c r="C166" s="4">
        <v>43454</v>
      </c>
      <c r="D166" s="1" t="str">
        <f t="shared" si="6"/>
        <v>Thu</v>
      </c>
      <c r="E166" s="7">
        <v>1</v>
      </c>
      <c r="F166" s="7"/>
      <c r="G166" s="7"/>
      <c r="H166" s="7"/>
      <c r="I166" s="7"/>
      <c r="J166" s="2"/>
      <c r="K166" s="2"/>
      <c r="L166" s="7">
        <f t="shared" si="8"/>
        <v>1</v>
      </c>
      <c r="M166" s="6"/>
      <c r="N166" s="20" t="s">
        <v>28</v>
      </c>
    </row>
    <row r="167" spans="1:14" x14ac:dyDescent="0.25">
      <c r="A167" s="6">
        <v>166</v>
      </c>
      <c r="B167" s="6" t="s">
        <v>6</v>
      </c>
      <c r="C167" s="4">
        <v>43455</v>
      </c>
      <c r="D167" s="1" t="str">
        <f t="shared" si="6"/>
        <v>Fri</v>
      </c>
      <c r="E167" s="7">
        <v>1</v>
      </c>
      <c r="F167" s="7"/>
      <c r="G167" s="7"/>
      <c r="H167" s="7"/>
      <c r="I167" s="7"/>
      <c r="J167" s="2"/>
      <c r="K167" s="2"/>
      <c r="L167" s="7">
        <f t="shared" si="8"/>
        <v>1</v>
      </c>
      <c r="M167" s="6"/>
      <c r="N167" s="20" t="s">
        <v>29</v>
      </c>
    </row>
    <row r="168" spans="1:14" x14ac:dyDescent="0.25">
      <c r="A168" s="6">
        <v>167</v>
      </c>
      <c r="B168" s="6" t="s">
        <v>13</v>
      </c>
      <c r="C168" s="4">
        <v>43455</v>
      </c>
      <c r="D168" s="1" t="str">
        <f t="shared" si="6"/>
        <v>Fri</v>
      </c>
      <c r="E168" s="7">
        <v>1</v>
      </c>
      <c r="F168" s="7"/>
      <c r="G168" s="7"/>
      <c r="H168" s="7"/>
      <c r="I168" s="7"/>
      <c r="J168" s="2"/>
      <c r="K168" s="2"/>
      <c r="L168" s="7">
        <f t="shared" si="8"/>
        <v>1</v>
      </c>
      <c r="M168" s="6"/>
      <c r="N168" s="20" t="s">
        <v>28</v>
      </c>
    </row>
    <row r="169" spans="1:14" x14ac:dyDescent="0.25">
      <c r="A169" s="6">
        <v>168</v>
      </c>
      <c r="B169" s="6" t="s">
        <v>13</v>
      </c>
      <c r="C169" s="4">
        <v>43458</v>
      </c>
      <c r="D169" s="1" t="str">
        <f t="shared" si="6"/>
        <v>Mon</v>
      </c>
      <c r="E169" s="7">
        <v>1</v>
      </c>
      <c r="F169" s="7"/>
      <c r="G169" s="7"/>
      <c r="H169" s="7"/>
      <c r="I169" s="7"/>
      <c r="J169" s="2"/>
      <c r="K169" s="2"/>
      <c r="L169" s="7">
        <f t="shared" si="8"/>
        <v>1</v>
      </c>
      <c r="M169" s="6"/>
      <c r="N169" s="20" t="s">
        <v>31</v>
      </c>
    </row>
    <row r="170" spans="1:14" x14ac:dyDescent="0.25">
      <c r="A170" s="6">
        <v>169</v>
      </c>
      <c r="B170" s="6" t="s">
        <v>11</v>
      </c>
      <c r="C170" s="4">
        <v>43458</v>
      </c>
      <c r="D170" s="1" t="str">
        <f t="shared" si="6"/>
        <v>Mon</v>
      </c>
      <c r="E170" s="7">
        <v>1</v>
      </c>
      <c r="F170" s="7"/>
      <c r="G170" s="7"/>
      <c r="H170" s="7"/>
      <c r="I170" s="7"/>
      <c r="J170" s="2"/>
      <c r="K170" s="2"/>
      <c r="L170" s="7">
        <f t="shared" si="8"/>
        <v>1</v>
      </c>
      <c r="M170" s="6"/>
      <c r="N170" s="21" t="s">
        <v>34</v>
      </c>
    </row>
    <row r="171" spans="1:14" x14ac:dyDescent="0.25">
      <c r="A171" s="6">
        <v>170</v>
      </c>
      <c r="B171" s="6" t="s">
        <v>23</v>
      </c>
      <c r="C171" s="4">
        <v>43469</v>
      </c>
      <c r="D171" s="1" t="str">
        <f t="shared" si="6"/>
        <v>Fri</v>
      </c>
      <c r="E171" s="7"/>
      <c r="F171" s="7"/>
      <c r="G171" s="7">
        <v>1</v>
      </c>
      <c r="H171" s="7"/>
      <c r="I171" s="7"/>
      <c r="J171" s="2"/>
      <c r="K171" s="2"/>
      <c r="L171" s="7">
        <f t="shared" si="8"/>
        <v>1</v>
      </c>
      <c r="M171" s="6"/>
      <c r="N171" s="20" t="s">
        <v>10</v>
      </c>
    </row>
    <row r="172" spans="1:14" x14ac:dyDescent="0.25">
      <c r="A172" s="6">
        <v>171</v>
      </c>
      <c r="B172" s="6" t="s">
        <v>15</v>
      </c>
      <c r="C172" s="4">
        <v>43472</v>
      </c>
      <c r="D172" s="1" t="str">
        <f t="shared" si="6"/>
        <v>Mon</v>
      </c>
      <c r="E172" s="7">
        <v>1</v>
      </c>
      <c r="F172" s="7"/>
      <c r="G172" s="7"/>
      <c r="H172" s="7"/>
      <c r="I172" s="7"/>
      <c r="J172" s="2"/>
      <c r="K172" s="2"/>
      <c r="L172" s="7">
        <f t="shared" si="8"/>
        <v>1</v>
      </c>
      <c r="M172" s="6"/>
      <c r="N172" s="20" t="s">
        <v>10</v>
      </c>
    </row>
    <row r="173" spans="1:14" x14ac:dyDescent="0.25">
      <c r="A173" s="6">
        <v>172</v>
      </c>
      <c r="B173" s="6" t="s">
        <v>15</v>
      </c>
      <c r="C173" s="4">
        <v>43473</v>
      </c>
      <c r="D173" s="1" t="str">
        <f t="shared" si="6"/>
        <v>Tue</v>
      </c>
      <c r="E173" s="7">
        <v>1</v>
      </c>
      <c r="F173" s="7"/>
      <c r="G173" s="7"/>
      <c r="H173" s="7"/>
      <c r="I173" s="7"/>
      <c r="J173" s="2"/>
      <c r="K173" s="2"/>
      <c r="L173" s="7">
        <f t="shared" si="8"/>
        <v>1</v>
      </c>
      <c r="M173" s="6"/>
      <c r="N173" s="20" t="s">
        <v>10</v>
      </c>
    </row>
    <row r="174" spans="1:14" x14ac:dyDescent="0.25">
      <c r="A174" s="6">
        <v>173</v>
      </c>
      <c r="B174" s="6" t="s">
        <v>25</v>
      </c>
      <c r="C174" s="4">
        <v>43476</v>
      </c>
      <c r="D174" s="1" t="str">
        <f t="shared" si="6"/>
        <v>Fri</v>
      </c>
      <c r="E174" s="7">
        <v>1</v>
      </c>
      <c r="F174" s="7"/>
      <c r="G174" s="7"/>
      <c r="H174" s="7"/>
      <c r="I174" s="7"/>
      <c r="J174" s="2"/>
      <c r="K174" s="2"/>
      <c r="L174" s="7">
        <f t="shared" si="8"/>
        <v>1</v>
      </c>
      <c r="M174" s="6"/>
      <c r="N174" s="20" t="s">
        <v>10</v>
      </c>
    </row>
    <row r="175" spans="1:14" x14ac:dyDescent="0.25">
      <c r="A175" s="6">
        <v>174</v>
      </c>
      <c r="B175" s="6" t="s">
        <v>25</v>
      </c>
      <c r="C175" s="4">
        <v>43479</v>
      </c>
      <c r="D175" s="1" t="str">
        <f t="shared" si="6"/>
        <v>Mon</v>
      </c>
      <c r="E175" s="7">
        <v>1</v>
      </c>
      <c r="F175" s="7"/>
      <c r="G175" s="7"/>
      <c r="H175" s="7"/>
      <c r="I175" s="7"/>
      <c r="J175" s="2"/>
      <c r="K175" s="2"/>
      <c r="L175" s="7">
        <f t="shared" si="8"/>
        <v>1</v>
      </c>
      <c r="M175" s="6"/>
      <c r="N175" s="20"/>
    </row>
    <row r="176" spans="1:14" x14ac:dyDescent="0.25">
      <c r="A176" s="6">
        <v>175</v>
      </c>
      <c r="B176" s="6" t="s">
        <v>6</v>
      </c>
      <c r="C176" s="4">
        <v>43483</v>
      </c>
      <c r="D176" s="1" t="str">
        <f t="shared" si="6"/>
        <v>Fri</v>
      </c>
      <c r="E176" s="7">
        <v>1</v>
      </c>
      <c r="F176" s="7"/>
      <c r="G176" s="7"/>
      <c r="H176" s="7"/>
      <c r="I176" s="7"/>
      <c r="J176" s="2"/>
      <c r="K176" s="2"/>
      <c r="L176" s="7">
        <f t="shared" si="8"/>
        <v>1</v>
      </c>
      <c r="M176" s="6"/>
      <c r="N176" s="20"/>
    </row>
    <row r="177" spans="1:14" x14ac:dyDescent="0.25">
      <c r="A177" s="6">
        <v>176</v>
      </c>
      <c r="B177" s="6" t="s">
        <v>23</v>
      </c>
      <c r="C177" s="4">
        <v>43483</v>
      </c>
      <c r="D177" s="1" t="str">
        <f t="shared" si="6"/>
        <v>Fri</v>
      </c>
      <c r="E177" s="7">
        <v>1</v>
      </c>
      <c r="F177" s="7"/>
      <c r="G177" s="7"/>
      <c r="H177" s="7"/>
      <c r="I177" s="7"/>
      <c r="J177" s="2"/>
      <c r="K177" s="2"/>
      <c r="L177" s="7">
        <f t="shared" si="8"/>
        <v>1</v>
      </c>
      <c r="M177" s="6"/>
      <c r="N177" s="20"/>
    </row>
    <row r="178" spans="1:14" x14ac:dyDescent="0.25">
      <c r="A178" s="6">
        <v>177</v>
      </c>
      <c r="B178" s="6" t="s">
        <v>14</v>
      </c>
      <c r="C178" s="4">
        <v>43486</v>
      </c>
      <c r="D178" s="1" t="str">
        <f t="shared" si="6"/>
        <v>Mon</v>
      </c>
      <c r="E178" s="7">
        <v>1</v>
      </c>
      <c r="F178" s="7"/>
      <c r="G178" s="7"/>
      <c r="H178" s="7"/>
      <c r="I178" s="7"/>
      <c r="J178" s="2"/>
      <c r="K178" s="2"/>
      <c r="L178" s="7">
        <f t="shared" si="8"/>
        <v>1</v>
      </c>
      <c r="M178" s="6"/>
      <c r="N178" s="20"/>
    </row>
    <row r="179" spans="1:14" x14ac:dyDescent="0.25">
      <c r="A179" s="6">
        <v>178</v>
      </c>
      <c r="B179" s="6" t="s">
        <v>23</v>
      </c>
      <c r="C179" s="4">
        <v>43489</v>
      </c>
      <c r="D179" s="1" t="str">
        <f t="shared" si="6"/>
        <v>Thu</v>
      </c>
      <c r="E179" s="7">
        <v>1</v>
      </c>
      <c r="F179" s="7"/>
      <c r="G179" s="7"/>
      <c r="H179" s="7"/>
      <c r="I179" s="7"/>
      <c r="J179" s="2"/>
      <c r="K179" s="2"/>
      <c r="L179" s="7">
        <f t="shared" si="8"/>
        <v>1</v>
      </c>
      <c r="M179" s="6"/>
      <c r="N179" s="20"/>
    </row>
    <row r="180" spans="1:14" x14ac:dyDescent="0.25">
      <c r="A180" s="6">
        <v>179</v>
      </c>
      <c r="B180" s="6" t="s">
        <v>23</v>
      </c>
      <c r="C180" s="4">
        <v>43490</v>
      </c>
      <c r="D180" s="1" t="str">
        <f t="shared" si="6"/>
        <v>Fri</v>
      </c>
      <c r="E180" s="7">
        <v>1</v>
      </c>
      <c r="F180" s="7"/>
      <c r="G180" s="7"/>
      <c r="H180" s="7"/>
      <c r="I180" s="7"/>
      <c r="J180" s="2"/>
      <c r="K180" s="2"/>
      <c r="L180" s="7">
        <f t="shared" si="8"/>
        <v>1</v>
      </c>
      <c r="M180" s="6"/>
      <c r="N180" s="20"/>
    </row>
    <row r="181" spans="1:14" x14ac:dyDescent="0.25">
      <c r="A181" s="6">
        <v>180</v>
      </c>
      <c r="B181" s="6" t="s">
        <v>13</v>
      </c>
      <c r="C181" s="4">
        <v>43493</v>
      </c>
      <c r="D181" s="1" t="str">
        <f t="shared" si="6"/>
        <v>Mon</v>
      </c>
      <c r="E181" s="7">
        <v>1</v>
      </c>
      <c r="F181" s="7"/>
      <c r="G181" s="7"/>
      <c r="H181" s="7"/>
      <c r="I181" s="7"/>
      <c r="J181" s="2"/>
      <c r="K181" s="2"/>
      <c r="L181" s="7">
        <f t="shared" si="8"/>
        <v>1</v>
      </c>
      <c r="M181" s="6"/>
      <c r="N181" s="20"/>
    </row>
    <row r="182" spans="1:14" x14ac:dyDescent="0.25">
      <c r="A182" s="6">
        <v>181</v>
      </c>
      <c r="B182" s="6" t="s">
        <v>25</v>
      </c>
      <c r="C182" s="4">
        <v>43494</v>
      </c>
      <c r="D182" s="1" t="str">
        <f t="shared" si="6"/>
        <v>Tue</v>
      </c>
      <c r="E182" s="7">
        <v>1</v>
      </c>
      <c r="F182" s="7"/>
      <c r="G182" s="7"/>
      <c r="H182" s="7"/>
      <c r="I182" s="7"/>
      <c r="J182" s="2"/>
      <c r="K182" s="2"/>
      <c r="L182" s="7">
        <f t="shared" si="8"/>
        <v>1</v>
      </c>
      <c r="M182" s="6"/>
      <c r="N182" s="20"/>
    </row>
    <row r="183" spans="1:14" x14ac:dyDescent="0.25">
      <c r="A183" s="6">
        <v>182</v>
      </c>
      <c r="B183" s="6" t="s">
        <v>14</v>
      </c>
      <c r="C183" s="4">
        <v>43514</v>
      </c>
      <c r="D183" s="1" t="str">
        <f t="shared" si="6"/>
        <v>Mon</v>
      </c>
      <c r="E183" s="7">
        <v>1</v>
      </c>
      <c r="F183" s="7"/>
      <c r="G183" s="7"/>
      <c r="H183" s="7"/>
      <c r="I183" s="7"/>
      <c r="J183" s="2"/>
      <c r="K183" s="2"/>
      <c r="L183" s="7"/>
      <c r="M183" s="6"/>
      <c r="N183" s="20"/>
    </row>
    <row r="184" spans="1:14" x14ac:dyDescent="0.25">
      <c r="A184" s="6">
        <v>183</v>
      </c>
      <c r="B184" s="6" t="s">
        <v>11</v>
      </c>
      <c r="C184" s="4">
        <v>43517</v>
      </c>
      <c r="D184" s="1" t="str">
        <f t="shared" si="6"/>
        <v>Thu</v>
      </c>
      <c r="E184" s="7">
        <v>1</v>
      </c>
      <c r="F184" s="7"/>
      <c r="G184" s="7"/>
      <c r="H184" s="7"/>
      <c r="I184" s="7"/>
      <c r="J184" s="2"/>
      <c r="K184" s="2"/>
      <c r="L184" s="7">
        <f>SUM(E184:K184)</f>
        <v>1</v>
      </c>
      <c r="M184" s="6"/>
      <c r="N184" s="20"/>
    </row>
    <row r="185" spans="1:14" x14ac:dyDescent="0.25">
      <c r="A185" s="6">
        <v>184</v>
      </c>
      <c r="B185" s="6" t="s">
        <v>15</v>
      </c>
      <c r="C185" s="4">
        <v>43518</v>
      </c>
      <c r="D185" s="1" t="str">
        <f t="shared" si="6"/>
        <v>Fri</v>
      </c>
      <c r="E185" s="7">
        <v>1</v>
      </c>
      <c r="F185" s="7"/>
      <c r="G185" s="7"/>
      <c r="H185" s="7"/>
      <c r="I185" s="7"/>
      <c r="J185" s="2"/>
      <c r="K185" s="2"/>
      <c r="L185" s="7">
        <f>SUM(E185:K185)</f>
        <v>1</v>
      </c>
      <c r="M185" s="6"/>
      <c r="N185" s="20"/>
    </row>
    <row r="186" spans="1:14" x14ac:dyDescent="0.25">
      <c r="A186" s="6">
        <v>185</v>
      </c>
      <c r="B186" s="6" t="s">
        <v>35</v>
      </c>
      <c r="C186" s="4">
        <v>43521</v>
      </c>
      <c r="D186" s="1" t="str">
        <f t="shared" si="6"/>
        <v>Mon</v>
      </c>
      <c r="E186" s="7"/>
      <c r="F186" s="7"/>
      <c r="G186" s="7"/>
      <c r="H186" s="7"/>
      <c r="I186" s="7"/>
      <c r="J186" s="7">
        <v>1</v>
      </c>
      <c r="K186" s="2"/>
      <c r="L186" s="7"/>
      <c r="M186" s="6"/>
      <c r="N186" s="20"/>
    </row>
    <row r="187" spans="1:14" x14ac:dyDescent="0.25">
      <c r="A187" s="6">
        <v>186</v>
      </c>
      <c r="B187" s="6" t="s">
        <v>39</v>
      </c>
      <c r="C187" s="4">
        <v>43528</v>
      </c>
      <c r="D187" s="1" t="str">
        <f t="shared" si="6"/>
        <v>Mon</v>
      </c>
      <c r="E187" s="7"/>
      <c r="F187" s="7"/>
      <c r="G187" s="7"/>
      <c r="H187" s="7"/>
      <c r="I187" s="7"/>
      <c r="J187" s="7">
        <v>1</v>
      </c>
      <c r="K187" s="2"/>
      <c r="L187" s="7">
        <f t="shared" ref="L187:L218" si="9">SUM(E187:K187)</f>
        <v>1</v>
      </c>
      <c r="M187" s="6"/>
      <c r="N187" s="20" t="s">
        <v>40</v>
      </c>
    </row>
    <row r="188" spans="1:14" x14ac:dyDescent="0.25">
      <c r="A188" s="6">
        <v>187</v>
      </c>
      <c r="B188" s="6" t="s">
        <v>39</v>
      </c>
      <c r="C188" s="4">
        <v>43529</v>
      </c>
      <c r="D188" s="1" t="str">
        <f t="shared" si="6"/>
        <v>Tue</v>
      </c>
      <c r="E188" s="7"/>
      <c r="F188" s="7"/>
      <c r="G188" s="7"/>
      <c r="H188" s="7"/>
      <c r="I188" s="7"/>
      <c r="J188" s="7">
        <v>1</v>
      </c>
      <c r="K188" s="2"/>
      <c r="L188" s="7">
        <f t="shared" si="9"/>
        <v>1</v>
      </c>
      <c r="M188" s="6"/>
      <c r="N188" s="20" t="s">
        <v>36</v>
      </c>
    </row>
    <row r="189" spans="1:14" x14ac:dyDescent="0.25">
      <c r="A189" s="6">
        <v>188</v>
      </c>
      <c r="B189" s="6" t="s">
        <v>6</v>
      </c>
      <c r="C189" s="4">
        <v>43535</v>
      </c>
      <c r="D189" s="1" t="str">
        <f t="shared" si="6"/>
        <v>Mon</v>
      </c>
      <c r="E189" s="7">
        <v>1</v>
      </c>
      <c r="F189" s="7"/>
      <c r="G189" s="7"/>
      <c r="H189" s="7"/>
      <c r="I189" s="7"/>
      <c r="J189" s="2"/>
      <c r="K189" s="2"/>
      <c r="L189" s="7">
        <f t="shared" si="9"/>
        <v>1</v>
      </c>
      <c r="M189" s="6"/>
      <c r="N189" s="20" t="s">
        <v>37</v>
      </c>
    </row>
    <row r="190" spans="1:14" x14ac:dyDescent="0.25">
      <c r="A190" s="6">
        <v>189</v>
      </c>
      <c r="B190" s="6" t="s">
        <v>38</v>
      </c>
      <c r="C190" s="4">
        <v>43535</v>
      </c>
      <c r="D190" s="1" t="str">
        <f t="shared" si="6"/>
        <v>Mon</v>
      </c>
      <c r="E190" s="7"/>
      <c r="F190" s="7"/>
      <c r="G190" s="7"/>
      <c r="H190" s="7"/>
      <c r="I190" s="7"/>
      <c r="J190" s="7">
        <v>1</v>
      </c>
      <c r="K190" s="2"/>
      <c r="L190" s="7">
        <f t="shared" si="9"/>
        <v>1</v>
      </c>
      <c r="M190" s="6"/>
      <c r="N190" s="20"/>
    </row>
    <row r="191" spans="1:14" x14ac:dyDescent="0.25">
      <c r="A191" s="6">
        <v>190</v>
      </c>
      <c r="B191" s="6" t="s">
        <v>6</v>
      </c>
      <c r="C191" s="4">
        <v>43536</v>
      </c>
      <c r="D191" s="1" t="str">
        <f t="shared" si="6"/>
        <v>Tue</v>
      </c>
      <c r="E191" s="7">
        <v>1</v>
      </c>
      <c r="F191" s="7"/>
      <c r="G191" s="7"/>
      <c r="H191" s="7"/>
      <c r="I191" s="7"/>
      <c r="J191" s="2"/>
      <c r="K191" s="2"/>
      <c r="L191" s="7">
        <f t="shared" si="9"/>
        <v>1</v>
      </c>
      <c r="M191" s="6"/>
      <c r="N191" s="20"/>
    </row>
    <row r="192" spans="1:14" x14ac:dyDescent="0.25">
      <c r="A192" s="6">
        <v>191</v>
      </c>
      <c r="B192" s="6" t="s">
        <v>14</v>
      </c>
      <c r="C192" s="4">
        <v>43537</v>
      </c>
      <c r="D192" s="1" t="str">
        <f t="shared" si="6"/>
        <v>Wed</v>
      </c>
      <c r="E192" s="7">
        <v>1</v>
      </c>
      <c r="F192" s="7"/>
      <c r="G192" s="7"/>
      <c r="H192" s="7"/>
      <c r="I192" s="7"/>
      <c r="J192" s="2"/>
      <c r="K192" s="2"/>
      <c r="L192" s="7">
        <f t="shared" si="9"/>
        <v>1</v>
      </c>
      <c r="M192" s="6"/>
      <c r="N192" s="20" t="s">
        <v>43</v>
      </c>
    </row>
    <row r="193" spans="1:14" x14ac:dyDescent="0.25">
      <c r="A193" s="6">
        <v>192</v>
      </c>
      <c r="B193" s="6" t="s">
        <v>14</v>
      </c>
      <c r="C193" s="4">
        <v>43542</v>
      </c>
      <c r="D193" s="1" t="str">
        <f t="shared" si="6"/>
        <v>Mon</v>
      </c>
      <c r="E193" s="7">
        <v>1</v>
      </c>
      <c r="F193" s="7"/>
      <c r="G193" s="7"/>
      <c r="H193" s="7"/>
      <c r="I193" s="7"/>
      <c r="J193" s="2"/>
      <c r="K193" s="2"/>
      <c r="L193" s="7">
        <f t="shared" si="9"/>
        <v>1</v>
      </c>
      <c r="M193" s="6"/>
      <c r="N193" s="20"/>
    </row>
    <row r="194" spans="1:14" x14ac:dyDescent="0.25">
      <c r="A194" s="6">
        <v>193</v>
      </c>
      <c r="B194" s="6" t="s">
        <v>6</v>
      </c>
      <c r="C194" s="4">
        <v>43544</v>
      </c>
      <c r="D194" s="1" t="str">
        <f t="shared" ref="D194:D251" si="10">CHOOSE(WEEKDAY(C194),"Sun","Mon","Tue","Wed","Thu","Fri","Sat")</f>
        <v>Wed</v>
      </c>
      <c r="E194" s="7">
        <v>1</v>
      </c>
      <c r="F194" s="7"/>
      <c r="G194" s="7"/>
      <c r="H194" s="7"/>
      <c r="I194" s="7"/>
      <c r="J194" s="2"/>
      <c r="K194" s="2"/>
      <c r="L194" s="7">
        <f t="shared" si="9"/>
        <v>1</v>
      </c>
      <c r="M194" s="6"/>
      <c r="N194" s="20" t="s">
        <v>37</v>
      </c>
    </row>
    <row r="195" spans="1:14" x14ac:dyDescent="0.25">
      <c r="A195" s="6">
        <v>194</v>
      </c>
      <c r="B195" s="6" t="s">
        <v>11</v>
      </c>
      <c r="C195" s="4">
        <v>43545</v>
      </c>
      <c r="D195" s="1" t="str">
        <f t="shared" si="10"/>
        <v>Thu</v>
      </c>
      <c r="E195" s="7">
        <v>1</v>
      </c>
      <c r="F195" s="7"/>
      <c r="G195" s="7"/>
      <c r="H195" s="7"/>
      <c r="I195" s="7"/>
      <c r="J195" s="2"/>
      <c r="K195" s="2"/>
      <c r="L195" s="7">
        <f t="shared" si="9"/>
        <v>1</v>
      </c>
      <c r="M195" s="6"/>
      <c r="N195" s="20"/>
    </row>
    <row r="196" spans="1:14" x14ac:dyDescent="0.25">
      <c r="A196" s="6">
        <v>195</v>
      </c>
      <c r="B196" s="6" t="s">
        <v>11</v>
      </c>
      <c r="C196" s="4">
        <v>43546</v>
      </c>
      <c r="D196" s="1" t="str">
        <f t="shared" si="10"/>
        <v>Fri</v>
      </c>
      <c r="E196" s="7">
        <v>1</v>
      </c>
      <c r="F196" s="7"/>
      <c r="G196" s="7"/>
      <c r="H196" s="7"/>
      <c r="I196" s="7"/>
      <c r="J196" s="2"/>
      <c r="K196" s="2"/>
      <c r="L196" s="7">
        <f t="shared" si="9"/>
        <v>1</v>
      </c>
      <c r="M196" s="6"/>
      <c r="N196" s="20"/>
    </row>
    <row r="197" spans="1:14" x14ac:dyDescent="0.25">
      <c r="A197" s="6">
        <v>196</v>
      </c>
      <c r="B197" s="6" t="s">
        <v>14</v>
      </c>
      <c r="C197" s="4">
        <v>43549</v>
      </c>
      <c r="D197" s="1" t="str">
        <f t="shared" si="10"/>
        <v>Mon</v>
      </c>
      <c r="E197" s="7">
        <v>1</v>
      </c>
      <c r="F197" s="7"/>
      <c r="G197" s="7"/>
      <c r="H197" s="7"/>
      <c r="I197" s="7"/>
      <c r="J197" s="2"/>
      <c r="K197" s="2"/>
      <c r="L197" s="7">
        <f t="shared" si="9"/>
        <v>1</v>
      </c>
      <c r="M197" s="6"/>
      <c r="N197" s="20" t="s">
        <v>43</v>
      </c>
    </row>
    <row r="198" spans="1:14" x14ac:dyDescent="0.25">
      <c r="A198" s="6">
        <v>197</v>
      </c>
      <c r="B198" s="6" t="s">
        <v>6</v>
      </c>
      <c r="C198" s="4">
        <v>43549</v>
      </c>
      <c r="D198" s="1" t="str">
        <f t="shared" si="10"/>
        <v>Mon</v>
      </c>
      <c r="E198" s="7">
        <v>1</v>
      </c>
      <c r="F198" s="7"/>
      <c r="G198" s="7"/>
      <c r="H198" s="7"/>
      <c r="I198" s="7"/>
      <c r="J198" s="2"/>
      <c r="K198" s="2"/>
      <c r="L198" s="7">
        <f t="shared" si="9"/>
        <v>1</v>
      </c>
      <c r="M198" s="6"/>
      <c r="N198" s="20" t="s">
        <v>43</v>
      </c>
    </row>
    <row r="199" spans="1:14" x14ac:dyDescent="0.25">
      <c r="A199" s="6">
        <v>198</v>
      </c>
      <c r="B199" s="6" t="s">
        <v>14</v>
      </c>
      <c r="C199" s="4">
        <v>43550</v>
      </c>
      <c r="D199" s="1" t="str">
        <f t="shared" si="10"/>
        <v>Tue</v>
      </c>
      <c r="E199" s="7">
        <v>1</v>
      </c>
      <c r="F199" s="7"/>
      <c r="G199" s="7"/>
      <c r="H199" s="7"/>
      <c r="I199" s="7"/>
      <c r="J199" s="2"/>
      <c r="K199" s="2"/>
      <c r="L199" s="7">
        <f t="shared" si="9"/>
        <v>1</v>
      </c>
      <c r="M199" s="6"/>
      <c r="N199" s="20" t="s">
        <v>43</v>
      </c>
    </row>
    <row r="200" spans="1:14" x14ac:dyDescent="0.25">
      <c r="A200" s="6">
        <v>199</v>
      </c>
      <c r="B200" s="6" t="s">
        <v>6</v>
      </c>
      <c r="C200" s="4">
        <v>43550</v>
      </c>
      <c r="D200" s="1" t="str">
        <f t="shared" si="10"/>
        <v>Tue</v>
      </c>
      <c r="E200" s="7">
        <v>1</v>
      </c>
      <c r="F200" s="7"/>
      <c r="G200" s="7"/>
      <c r="H200" s="7"/>
      <c r="I200" s="7"/>
      <c r="J200" s="2"/>
      <c r="K200" s="2"/>
      <c r="L200" s="7">
        <f t="shared" si="9"/>
        <v>1</v>
      </c>
      <c r="M200" s="6"/>
      <c r="N200" s="20" t="s">
        <v>43</v>
      </c>
    </row>
    <row r="201" spans="1:14" x14ac:dyDescent="0.25">
      <c r="A201" s="6">
        <v>200</v>
      </c>
      <c r="B201" s="6" t="s">
        <v>7</v>
      </c>
      <c r="C201" s="4">
        <v>43558</v>
      </c>
      <c r="D201" s="1" t="str">
        <f t="shared" si="10"/>
        <v>Wed</v>
      </c>
      <c r="E201" s="7">
        <v>1</v>
      </c>
      <c r="F201" s="7"/>
      <c r="G201" s="7"/>
      <c r="H201" s="7"/>
      <c r="I201" s="7"/>
      <c r="J201" s="2"/>
      <c r="K201" s="2"/>
      <c r="L201" s="7">
        <f t="shared" si="9"/>
        <v>1</v>
      </c>
      <c r="M201" s="6"/>
      <c r="N201" s="20"/>
    </row>
    <row r="202" spans="1:14" x14ac:dyDescent="0.25">
      <c r="A202" s="6">
        <v>201</v>
      </c>
      <c r="B202" s="6" t="s">
        <v>24</v>
      </c>
      <c r="C202" s="4">
        <v>43559</v>
      </c>
      <c r="D202" s="1" t="str">
        <f t="shared" si="10"/>
        <v>Thu</v>
      </c>
      <c r="E202" s="7">
        <v>1</v>
      </c>
      <c r="F202" s="7"/>
      <c r="G202" s="7"/>
      <c r="H202" s="7"/>
      <c r="I202" s="7"/>
      <c r="J202" s="2"/>
      <c r="K202" s="2"/>
      <c r="L202" s="7">
        <f t="shared" si="9"/>
        <v>1</v>
      </c>
      <c r="M202" s="6"/>
      <c r="N202" s="20" t="s">
        <v>44</v>
      </c>
    </row>
    <row r="203" spans="1:14" x14ac:dyDescent="0.25">
      <c r="A203" s="23">
        <v>202</v>
      </c>
      <c r="B203" s="6" t="s">
        <v>39</v>
      </c>
      <c r="C203" s="4">
        <v>43559</v>
      </c>
      <c r="D203" s="1" t="str">
        <f t="shared" si="10"/>
        <v>Thu</v>
      </c>
      <c r="E203" s="7"/>
      <c r="F203" s="7"/>
      <c r="G203" s="7"/>
      <c r="H203" s="7"/>
      <c r="I203" s="7"/>
      <c r="J203" s="7">
        <v>1</v>
      </c>
      <c r="K203" s="2"/>
      <c r="L203" s="7">
        <f t="shared" si="9"/>
        <v>1</v>
      </c>
      <c r="M203" s="6"/>
      <c r="N203" s="20" t="s">
        <v>36</v>
      </c>
    </row>
    <row r="204" spans="1:14" x14ac:dyDescent="0.25">
      <c r="A204" s="6">
        <v>203</v>
      </c>
      <c r="B204" s="6" t="s">
        <v>7</v>
      </c>
      <c r="C204" s="4">
        <v>43559</v>
      </c>
      <c r="D204" s="1" t="str">
        <f t="shared" si="10"/>
        <v>Thu</v>
      </c>
      <c r="E204" s="7">
        <v>1</v>
      </c>
      <c r="F204" s="7"/>
      <c r="G204" s="7"/>
      <c r="H204" s="7"/>
      <c r="I204" s="7"/>
      <c r="J204" s="2"/>
      <c r="K204" s="2"/>
      <c r="L204" s="7">
        <f t="shared" si="9"/>
        <v>1</v>
      </c>
      <c r="M204" s="6"/>
      <c r="N204" s="20"/>
    </row>
    <row r="205" spans="1:14" x14ac:dyDescent="0.25">
      <c r="A205" s="6">
        <v>204</v>
      </c>
      <c r="B205" s="6" t="s">
        <v>15</v>
      </c>
      <c r="C205" s="4">
        <f>C204+1</f>
        <v>43560</v>
      </c>
      <c r="D205" s="1" t="str">
        <f t="shared" si="10"/>
        <v>Fri</v>
      </c>
      <c r="E205" s="7">
        <v>1</v>
      </c>
      <c r="F205" s="7"/>
      <c r="G205" s="7"/>
      <c r="H205" s="7"/>
      <c r="I205" s="7"/>
      <c r="J205" s="2"/>
      <c r="K205" s="2"/>
      <c r="L205" s="7">
        <f t="shared" si="9"/>
        <v>1</v>
      </c>
      <c r="M205" s="6"/>
      <c r="N205" s="20" t="s">
        <v>44</v>
      </c>
    </row>
    <row r="206" spans="1:14" x14ac:dyDescent="0.25">
      <c r="A206" s="6">
        <v>205</v>
      </c>
      <c r="B206" s="6" t="s">
        <v>24</v>
      </c>
      <c r="C206" s="4">
        <v>43560</v>
      </c>
      <c r="D206" s="1" t="str">
        <f t="shared" si="10"/>
        <v>Fri</v>
      </c>
      <c r="E206" s="7">
        <v>1</v>
      </c>
      <c r="F206" s="7"/>
      <c r="G206" s="7"/>
      <c r="H206" s="7"/>
      <c r="I206" s="7"/>
      <c r="J206" s="2"/>
      <c r="K206" s="2"/>
      <c r="L206" s="7">
        <f t="shared" si="9"/>
        <v>1</v>
      </c>
      <c r="M206" s="6"/>
      <c r="N206" s="20" t="s">
        <v>42</v>
      </c>
    </row>
    <row r="207" spans="1:14" x14ac:dyDescent="0.25">
      <c r="A207" s="6">
        <v>206</v>
      </c>
      <c r="B207" s="6" t="s">
        <v>39</v>
      </c>
      <c r="C207" s="4">
        <v>43560</v>
      </c>
      <c r="D207" s="1" t="str">
        <f t="shared" si="10"/>
        <v>Fri</v>
      </c>
      <c r="E207" s="7"/>
      <c r="F207" s="7"/>
      <c r="G207" s="7"/>
      <c r="H207" s="7"/>
      <c r="I207" s="7"/>
      <c r="J207" s="7">
        <v>1</v>
      </c>
      <c r="K207" s="2"/>
      <c r="L207" s="7">
        <f t="shared" si="9"/>
        <v>1</v>
      </c>
      <c r="M207" s="6"/>
      <c r="N207" s="20" t="s">
        <v>41</v>
      </c>
    </row>
    <row r="208" spans="1:14" x14ac:dyDescent="0.25">
      <c r="A208" s="6">
        <v>207</v>
      </c>
      <c r="B208" s="6" t="s">
        <v>7</v>
      </c>
      <c r="C208" s="4">
        <v>43560</v>
      </c>
      <c r="D208" s="1" t="str">
        <f t="shared" si="10"/>
        <v>Fri</v>
      </c>
      <c r="E208" s="7">
        <v>1</v>
      </c>
      <c r="F208" s="7"/>
      <c r="G208" s="7"/>
      <c r="H208" s="7"/>
      <c r="I208" s="7"/>
      <c r="J208" s="2"/>
      <c r="K208" s="2"/>
      <c r="L208" s="7">
        <f t="shared" si="9"/>
        <v>1</v>
      </c>
      <c r="M208" s="6"/>
      <c r="N208" s="20"/>
    </row>
    <row r="209" spans="1:14" x14ac:dyDescent="0.25">
      <c r="A209" s="6">
        <v>208</v>
      </c>
      <c r="B209" s="6" t="s">
        <v>11</v>
      </c>
      <c r="C209" s="4">
        <v>43564</v>
      </c>
      <c r="D209" s="1" t="str">
        <f t="shared" si="10"/>
        <v>Tue</v>
      </c>
      <c r="E209" s="7">
        <v>1</v>
      </c>
      <c r="F209" s="7"/>
      <c r="G209" s="7"/>
      <c r="H209" s="7"/>
      <c r="I209" s="7"/>
      <c r="J209" s="2"/>
      <c r="K209" s="2"/>
      <c r="L209" s="7">
        <f t="shared" si="9"/>
        <v>1</v>
      </c>
      <c r="M209" s="6"/>
      <c r="N209" s="20"/>
    </row>
    <row r="210" spans="1:14" x14ac:dyDescent="0.25">
      <c r="A210" s="6">
        <v>209</v>
      </c>
      <c r="B210" s="6" t="s">
        <v>13</v>
      </c>
      <c r="C210" s="4">
        <v>43565</v>
      </c>
      <c r="D210" s="1" t="str">
        <f t="shared" si="10"/>
        <v>Wed</v>
      </c>
      <c r="E210" s="7">
        <v>1</v>
      </c>
      <c r="F210" s="7"/>
      <c r="G210" s="7"/>
      <c r="H210" s="7"/>
      <c r="I210" s="7"/>
      <c r="J210" s="2"/>
      <c r="K210" s="2"/>
      <c r="L210" s="7">
        <f t="shared" si="9"/>
        <v>1</v>
      </c>
      <c r="M210" s="6"/>
      <c r="N210" s="20"/>
    </row>
    <row r="211" spans="1:14" x14ac:dyDescent="0.25">
      <c r="A211" s="6">
        <v>210</v>
      </c>
      <c r="B211" s="6" t="s">
        <v>13</v>
      </c>
      <c r="C211" s="4">
        <v>43566</v>
      </c>
      <c r="D211" s="1" t="str">
        <f t="shared" si="10"/>
        <v>Thu</v>
      </c>
      <c r="E211" s="7">
        <v>1</v>
      </c>
      <c r="F211" s="7"/>
      <c r="G211" s="7"/>
      <c r="H211" s="7"/>
      <c r="I211" s="7"/>
      <c r="J211" s="2"/>
      <c r="K211" s="2"/>
      <c r="L211" s="7">
        <f t="shared" si="9"/>
        <v>1</v>
      </c>
      <c r="M211" s="6"/>
      <c r="N211" s="20"/>
    </row>
    <row r="212" spans="1:14" x14ac:dyDescent="0.25">
      <c r="A212" s="6">
        <v>211</v>
      </c>
      <c r="B212" s="6" t="s">
        <v>14</v>
      </c>
      <c r="C212" s="4">
        <v>43567</v>
      </c>
      <c r="D212" s="1" t="str">
        <f t="shared" si="10"/>
        <v>Fri</v>
      </c>
      <c r="E212" s="7">
        <v>1</v>
      </c>
      <c r="F212" s="7"/>
      <c r="G212" s="7"/>
      <c r="H212" s="7"/>
      <c r="I212" s="7"/>
      <c r="J212" s="2"/>
      <c r="K212" s="2"/>
      <c r="L212" s="7">
        <f t="shared" si="9"/>
        <v>1</v>
      </c>
      <c r="M212" s="6"/>
      <c r="N212" s="20"/>
    </row>
    <row r="213" spans="1:14" x14ac:dyDescent="0.25">
      <c r="A213" s="6">
        <v>212</v>
      </c>
      <c r="B213" s="6" t="s">
        <v>38</v>
      </c>
      <c r="C213" s="4">
        <v>43573</v>
      </c>
      <c r="D213" s="1" t="str">
        <f t="shared" si="10"/>
        <v>Thu</v>
      </c>
      <c r="E213" s="7">
        <v>1</v>
      </c>
      <c r="F213" s="7"/>
      <c r="G213" s="7"/>
      <c r="H213" s="7"/>
      <c r="I213" s="7"/>
      <c r="J213" s="2"/>
      <c r="K213" s="2"/>
      <c r="L213" s="7">
        <f t="shared" si="9"/>
        <v>1</v>
      </c>
      <c r="M213" s="6"/>
      <c r="N213" s="20" t="s">
        <v>66</v>
      </c>
    </row>
    <row r="214" spans="1:14" x14ac:dyDescent="0.25">
      <c r="A214" s="6">
        <v>213</v>
      </c>
      <c r="B214" s="6" t="s">
        <v>38</v>
      </c>
      <c r="C214" s="4">
        <v>43574</v>
      </c>
      <c r="D214" s="1" t="str">
        <f t="shared" si="10"/>
        <v>Fri</v>
      </c>
      <c r="E214" s="7">
        <v>1</v>
      </c>
      <c r="F214" s="7"/>
      <c r="G214" s="7"/>
      <c r="H214" s="7"/>
      <c r="I214" s="7"/>
      <c r="J214" s="2"/>
      <c r="K214" s="2"/>
      <c r="L214" s="7">
        <f t="shared" si="9"/>
        <v>1</v>
      </c>
      <c r="M214" s="6"/>
      <c r="N214" s="20" t="s">
        <v>66</v>
      </c>
    </row>
    <row r="215" spans="1:14" x14ac:dyDescent="0.25">
      <c r="A215" s="6">
        <v>214</v>
      </c>
      <c r="B215" s="6" t="s">
        <v>15</v>
      </c>
      <c r="C215" s="4">
        <v>43577</v>
      </c>
      <c r="D215" s="1" t="str">
        <f t="shared" si="10"/>
        <v>Mon</v>
      </c>
      <c r="E215" s="7">
        <v>1</v>
      </c>
      <c r="F215" s="7"/>
      <c r="G215" s="7"/>
      <c r="H215" s="7"/>
      <c r="I215" s="7"/>
      <c r="J215" s="2"/>
      <c r="K215" s="2"/>
      <c r="L215" s="7">
        <f t="shared" si="9"/>
        <v>1</v>
      </c>
      <c r="M215" s="6"/>
      <c r="N215" s="20"/>
    </row>
    <row r="216" spans="1:14" x14ac:dyDescent="0.25">
      <c r="A216" s="6">
        <v>215</v>
      </c>
      <c r="B216" s="6" t="s">
        <v>11</v>
      </c>
      <c r="C216" s="4">
        <v>43580</v>
      </c>
      <c r="D216" s="1" t="str">
        <f t="shared" si="10"/>
        <v>Thu</v>
      </c>
      <c r="E216" s="7">
        <v>1</v>
      </c>
      <c r="F216" s="7"/>
      <c r="G216" s="7"/>
      <c r="H216" s="7"/>
      <c r="I216" s="7"/>
      <c r="J216" s="2"/>
      <c r="K216" s="2"/>
      <c r="L216" s="7">
        <f t="shared" si="9"/>
        <v>1</v>
      </c>
      <c r="M216" s="6"/>
      <c r="N216" s="21" t="s">
        <v>43</v>
      </c>
    </row>
    <row r="217" spans="1:14" x14ac:dyDescent="0.25">
      <c r="A217" s="6">
        <v>216</v>
      </c>
      <c r="B217" s="6" t="s">
        <v>24</v>
      </c>
      <c r="C217" s="4">
        <v>43580</v>
      </c>
      <c r="D217" s="1" t="str">
        <f t="shared" si="10"/>
        <v>Thu</v>
      </c>
      <c r="E217" s="7">
        <v>1</v>
      </c>
      <c r="F217" s="7"/>
      <c r="G217" s="7"/>
      <c r="H217" s="7"/>
      <c r="I217" s="7"/>
      <c r="J217" s="2"/>
      <c r="K217" s="2"/>
      <c r="L217" s="7">
        <f t="shared" si="9"/>
        <v>1</v>
      </c>
      <c r="M217" s="6"/>
      <c r="N217" s="20"/>
    </row>
    <row r="218" spans="1:14" x14ac:dyDescent="0.25">
      <c r="A218" s="6">
        <v>217</v>
      </c>
      <c r="B218" s="6" t="s">
        <v>24</v>
      </c>
      <c r="C218" s="4">
        <v>43581</v>
      </c>
      <c r="D218" s="1" t="str">
        <f t="shared" si="10"/>
        <v>Fri</v>
      </c>
      <c r="E218" s="7">
        <v>1</v>
      </c>
      <c r="F218" s="7"/>
      <c r="G218" s="7"/>
      <c r="H218" s="7"/>
      <c r="I218" s="7"/>
      <c r="J218" s="2"/>
      <c r="K218" s="2"/>
      <c r="L218" s="7">
        <f t="shared" si="9"/>
        <v>1</v>
      </c>
      <c r="M218" s="6"/>
      <c r="N218" s="21" t="s">
        <v>67</v>
      </c>
    </row>
    <row r="219" spans="1:14" x14ac:dyDescent="0.25">
      <c r="A219" s="6">
        <v>218</v>
      </c>
      <c r="B219" s="6" t="s">
        <v>24</v>
      </c>
      <c r="C219" s="4">
        <v>43594</v>
      </c>
      <c r="D219" s="1" t="str">
        <f t="shared" si="10"/>
        <v>Thu</v>
      </c>
      <c r="E219" s="7">
        <v>1</v>
      </c>
      <c r="F219" s="7"/>
      <c r="G219" s="7"/>
      <c r="H219" s="7"/>
      <c r="I219" s="7"/>
      <c r="J219" s="2"/>
      <c r="K219" s="2"/>
      <c r="L219" s="7">
        <f t="shared" ref="L219:L250" si="11">SUM(E219:K219)</f>
        <v>1</v>
      </c>
      <c r="M219" s="6"/>
      <c r="N219" s="20"/>
    </row>
    <row r="220" spans="1:14" x14ac:dyDescent="0.25">
      <c r="A220" s="6">
        <v>219</v>
      </c>
      <c r="B220" s="6" t="s">
        <v>24</v>
      </c>
      <c r="C220" s="4">
        <v>43595</v>
      </c>
      <c r="D220" s="1" t="str">
        <f t="shared" si="10"/>
        <v>Fri</v>
      </c>
      <c r="E220" s="7">
        <v>1</v>
      </c>
      <c r="F220" s="7"/>
      <c r="G220" s="7"/>
      <c r="H220" s="7"/>
      <c r="I220" s="7"/>
      <c r="J220" s="2"/>
      <c r="K220" s="2"/>
      <c r="L220" s="7">
        <f t="shared" si="11"/>
        <v>1</v>
      </c>
      <c r="M220" s="6"/>
      <c r="N220" s="20"/>
    </row>
    <row r="221" spans="1:14" x14ac:dyDescent="0.25">
      <c r="A221" s="6">
        <v>220</v>
      </c>
      <c r="B221" s="6" t="s">
        <v>15</v>
      </c>
      <c r="C221" s="4">
        <v>43595</v>
      </c>
      <c r="D221" s="1" t="str">
        <f t="shared" si="10"/>
        <v>Fri</v>
      </c>
      <c r="E221" s="7">
        <v>1</v>
      </c>
      <c r="F221" s="7"/>
      <c r="G221" s="7"/>
      <c r="H221" s="7"/>
      <c r="I221" s="7"/>
      <c r="J221" s="2"/>
      <c r="K221" s="2"/>
      <c r="L221" s="7">
        <f t="shared" si="11"/>
        <v>1</v>
      </c>
      <c r="M221" s="6"/>
      <c r="N221" s="20"/>
    </row>
    <row r="222" spans="1:14" x14ac:dyDescent="0.25">
      <c r="A222" s="6">
        <v>221</v>
      </c>
      <c r="B222" s="6" t="s">
        <v>11</v>
      </c>
      <c r="C222" s="4">
        <v>43598</v>
      </c>
      <c r="D222" s="1" t="str">
        <f t="shared" si="10"/>
        <v>Mon</v>
      </c>
      <c r="E222" s="7">
        <v>1</v>
      </c>
      <c r="F222" s="7"/>
      <c r="G222" s="7"/>
      <c r="H222" s="7"/>
      <c r="I222" s="7"/>
      <c r="J222" s="2"/>
      <c r="K222" s="2"/>
      <c r="L222" s="7">
        <f t="shared" si="11"/>
        <v>1</v>
      </c>
      <c r="M222" s="6"/>
      <c r="N222" s="20"/>
    </row>
    <row r="223" spans="1:14" x14ac:dyDescent="0.25">
      <c r="A223" s="6">
        <v>222</v>
      </c>
      <c r="B223" s="6" t="s">
        <v>13</v>
      </c>
      <c r="C223" s="4">
        <v>43598</v>
      </c>
      <c r="D223" s="1" t="str">
        <f t="shared" si="10"/>
        <v>Mon</v>
      </c>
      <c r="E223" s="7">
        <v>1</v>
      </c>
      <c r="F223" s="7"/>
      <c r="G223" s="7"/>
      <c r="H223" s="7"/>
      <c r="I223" s="7"/>
      <c r="J223" s="2"/>
      <c r="K223" s="2"/>
      <c r="L223" s="7">
        <f t="shared" si="11"/>
        <v>1</v>
      </c>
      <c r="M223" s="6"/>
      <c r="N223" s="20"/>
    </row>
    <row r="224" spans="1:14" x14ac:dyDescent="0.25">
      <c r="A224" s="6">
        <v>223</v>
      </c>
      <c r="B224" s="6" t="s">
        <v>11</v>
      </c>
      <c r="C224" s="4">
        <v>43599</v>
      </c>
      <c r="D224" s="1" t="str">
        <f t="shared" si="10"/>
        <v>Tue</v>
      </c>
      <c r="E224" s="7">
        <v>1</v>
      </c>
      <c r="F224" s="7"/>
      <c r="G224" s="7"/>
      <c r="H224" s="7"/>
      <c r="I224" s="7"/>
      <c r="J224" s="2"/>
      <c r="K224" s="2"/>
      <c r="L224" s="7">
        <f t="shared" si="11"/>
        <v>1</v>
      </c>
      <c r="M224" s="6"/>
      <c r="N224" s="20"/>
    </row>
    <row r="225" spans="1:14" x14ac:dyDescent="0.25">
      <c r="A225" s="6">
        <v>224</v>
      </c>
      <c r="B225" s="6" t="s">
        <v>13</v>
      </c>
      <c r="C225" s="4">
        <v>43599</v>
      </c>
      <c r="D225" s="1" t="str">
        <f t="shared" si="10"/>
        <v>Tue</v>
      </c>
      <c r="E225" s="7">
        <v>1</v>
      </c>
      <c r="F225" s="7"/>
      <c r="G225" s="7"/>
      <c r="H225" s="7"/>
      <c r="I225" s="7"/>
      <c r="J225" s="2"/>
      <c r="K225" s="2"/>
      <c r="L225" s="7">
        <f t="shared" si="11"/>
        <v>1</v>
      </c>
      <c r="M225" s="6"/>
      <c r="N225" s="20"/>
    </row>
    <row r="226" spans="1:14" x14ac:dyDescent="0.25">
      <c r="A226" s="6">
        <v>225</v>
      </c>
      <c r="B226" s="6" t="s">
        <v>14</v>
      </c>
      <c r="C226" s="4">
        <v>43602</v>
      </c>
      <c r="D226" s="1" t="str">
        <f t="shared" si="10"/>
        <v>Fri</v>
      </c>
      <c r="E226" s="7">
        <v>1</v>
      </c>
      <c r="F226" s="7"/>
      <c r="G226" s="7"/>
      <c r="H226" s="7"/>
      <c r="I226" s="7"/>
      <c r="J226" s="2"/>
      <c r="K226" s="2"/>
      <c r="L226" s="7">
        <f t="shared" si="11"/>
        <v>1</v>
      </c>
      <c r="M226" s="6"/>
      <c r="N226" s="20"/>
    </row>
    <row r="227" spans="1:14" x14ac:dyDescent="0.25">
      <c r="A227" s="6">
        <v>226</v>
      </c>
      <c r="B227" s="6" t="s">
        <v>39</v>
      </c>
      <c r="C227" s="4">
        <v>43605</v>
      </c>
      <c r="D227" s="1" t="str">
        <f t="shared" si="10"/>
        <v>Mon</v>
      </c>
      <c r="E227" s="7">
        <v>1</v>
      </c>
      <c r="F227" s="7"/>
      <c r="G227" s="7"/>
      <c r="H227" s="7"/>
      <c r="I227" s="7"/>
      <c r="J227" s="2"/>
      <c r="K227" s="2"/>
      <c r="L227" s="7">
        <f t="shared" si="11"/>
        <v>1</v>
      </c>
      <c r="M227" s="6"/>
      <c r="N227" s="20"/>
    </row>
    <row r="228" spans="1:14" x14ac:dyDescent="0.25">
      <c r="A228" s="6">
        <v>227</v>
      </c>
      <c r="B228" s="6" t="s">
        <v>39</v>
      </c>
      <c r="C228" s="4">
        <v>43606</v>
      </c>
      <c r="D228" s="1" t="str">
        <f t="shared" si="10"/>
        <v>Tue</v>
      </c>
      <c r="E228" s="7">
        <v>1</v>
      </c>
      <c r="F228" s="7"/>
      <c r="G228" s="7"/>
      <c r="H228" s="7"/>
      <c r="I228" s="7"/>
      <c r="J228" s="2"/>
      <c r="K228" s="2"/>
      <c r="L228" s="7">
        <f t="shared" si="11"/>
        <v>1</v>
      </c>
      <c r="M228" s="6"/>
      <c r="N228" s="20"/>
    </row>
    <row r="229" spans="1:14" x14ac:dyDescent="0.25">
      <c r="A229" s="6">
        <v>228</v>
      </c>
      <c r="B229" s="6" t="s">
        <v>7</v>
      </c>
      <c r="C229" s="4">
        <v>43608</v>
      </c>
      <c r="D229" s="1" t="str">
        <f t="shared" si="10"/>
        <v>Thu</v>
      </c>
      <c r="E229" s="7">
        <v>1</v>
      </c>
      <c r="F229" s="7"/>
      <c r="G229" s="7"/>
      <c r="H229" s="7"/>
      <c r="I229" s="7"/>
      <c r="J229" s="2"/>
      <c r="K229" s="2"/>
      <c r="L229" s="7">
        <f t="shared" si="11"/>
        <v>1</v>
      </c>
      <c r="M229" s="6"/>
      <c r="N229" s="20"/>
    </row>
    <row r="230" spans="1:14" x14ac:dyDescent="0.25">
      <c r="A230" s="6">
        <v>229</v>
      </c>
      <c r="B230" s="6" t="s">
        <v>7</v>
      </c>
      <c r="C230" s="4">
        <v>43609</v>
      </c>
      <c r="D230" s="1" t="str">
        <f t="shared" si="10"/>
        <v>Fri</v>
      </c>
      <c r="E230" s="7">
        <v>1</v>
      </c>
      <c r="F230" s="7"/>
      <c r="G230" s="7"/>
      <c r="H230" s="7"/>
      <c r="I230" s="7"/>
      <c r="J230" s="2"/>
      <c r="K230" s="2"/>
      <c r="L230" s="7">
        <f t="shared" si="11"/>
        <v>1</v>
      </c>
      <c r="M230" s="6"/>
      <c r="N230" s="20"/>
    </row>
    <row r="231" spans="1:14" x14ac:dyDescent="0.25">
      <c r="A231" s="6">
        <v>230</v>
      </c>
      <c r="B231" s="6" t="s">
        <v>14</v>
      </c>
      <c r="C231" s="4">
        <v>43614</v>
      </c>
      <c r="D231" s="1" t="str">
        <f t="shared" si="10"/>
        <v>Wed</v>
      </c>
      <c r="E231" s="7">
        <v>0.5</v>
      </c>
      <c r="F231" s="7"/>
      <c r="G231" s="7"/>
      <c r="H231" s="7"/>
      <c r="I231" s="7"/>
      <c r="J231" s="2"/>
      <c r="K231" s="2"/>
      <c r="L231" s="7">
        <f t="shared" si="11"/>
        <v>0.5</v>
      </c>
      <c r="M231" s="6"/>
      <c r="N231" s="20"/>
    </row>
    <row r="232" spans="1:14" x14ac:dyDescent="0.25">
      <c r="A232" s="6">
        <v>231</v>
      </c>
      <c r="B232" s="6" t="s">
        <v>7</v>
      </c>
      <c r="C232" s="4">
        <v>43626</v>
      </c>
      <c r="D232" s="1" t="str">
        <f t="shared" si="10"/>
        <v>Mon</v>
      </c>
      <c r="E232" s="7">
        <v>1</v>
      </c>
      <c r="F232" s="7"/>
      <c r="G232" s="7"/>
      <c r="H232" s="7"/>
      <c r="I232" s="7"/>
      <c r="J232" s="2"/>
      <c r="K232" s="2"/>
      <c r="L232" s="7">
        <f t="shared" si="11"/>
        <v>1</v>
      </c>
      <c r="M232" s="6"/>
      <c r="N232" s="20"/>
    </row>
    <row r="233" spans="1:14" x14ac:dyDescent="0.25">
      <c r="A233" s="6">
        <v>232</v>
      </c>
      <c r="B233" s="6" t="s">
        <v>7</v>
      </c>
      <c r="C233" s="4">
        <v>43627</v>
      </c>
      <c r="D233" s="1" t="str">
        <f t="shared" si="10"/>
        <v>Tue</v>
      </c>
      <c r="E233" s="7">
        <v>1</v>
      </c>
      <c r="F233" s="7"/>
      <c r="G233" s="7"/>
      <c r="H233" s="7"/>
      <c r="I233" s="7"/>
      <c r="J233" s="2"/>
      <c r="K233" s="2"/>
      <c r="L233" s="7">
        <f t="shared" si="11"/>
        <v>1</v>
      </c>
      <c r="M233" s="6"/>
      <c r="N233" s="20"/>
    </row>
    <row r="234" spans="1:14" x14ac:dyDescent="0.25">
      <c r="A234" s="6">
        <v>233</v>
      </c>
      <c r="B234" s="6" t="s">
        <v>11</v>
      </c>
      <c r="C234" s="4">
        <v>43629</v>
      </c>
      <c r="D234" s="1" t="str">
        <f t="shared" si="10"/>
        <v>Thu</v>
      </c>
      <c r="E234" s="7">
        <v>1</v>
      </c>
      <c r="F234" s="7"/>
      <c r="G234" s="7"/>
      <c r="H234" s="7"/>
      <c r="I234" s="7"/>
      <c r="J234" s="2"/>
      <c r="K234" s="2"/>
      <c r="L234" s="7">
        <f t="shared" si="11"/>
        <v>1</v>
      </c>
      <c r="M234" s="6"/>
      <c r="N234" s="20"/>
    </row>
    <row r="235" spans="1:14" x14ac:dyDescent="0.25">
      <c r="A235" s="6">
        <v>234</v>
      </c>
      <c r="B235" s="6" t="s">
        <v>13</v>
      </c>
      <c r="C235" s="4">
        <v>43629</v>
      </c>
      <c r="D235" s="1" t="str">
        <f t="shared" si="10"/>
        <v>Thu</v>
      </c>
      <c r="E235" s="7">
        <v>1</v>
      </c>
      <c r="F235" s="7"/>
      <c r="G235" s="7"/>
      <c r="H235" s="7"/>
      <c r="I235" s="7"/>
      <c r="J235" s="2"/>
      <c r="K235" s="2"/>
      <c r="L235" s="7">
        <f t="shared" si="11"/>
        <v>1</v>
      </c>
      <c r="M235" s="6"/>
      <c r="N235" s="20"/>
    </row>
    <row r="236" spans="1:14" x14ac:dyDescent="0.25">
      <c r="A236" s="6">
        <v>235</v>
      </c>
      <c r="B236" s="6" t="s">
        <v>11</v>
      </c>
      <c r="C236" s="4">
        <v>43630</v>
      </c>
      <c r="D236" s="1" t="str">
        <f t="shared" si="10"/>
        <v>Fri</v>
      </c>
      <c r="E236" s="7">
        <v>1</v>
      </c>
      <c r="F236" s="7"/>
      <c r="G236" s="7"/>
      <c r="H236" s="7"/>
      <c r="I236" s="7"/>
      <c r="J236" s="2"/>
      <c r="K236" s="2"/>
      <c r="L236" s="7">
        <f t="shared" si="11"/>
        <v>1</v>
      </c>
      <c r="M236" s="6"/>
      <c r="N236" s="20"/>
    </row>
    <row r="237" spans="1:14" x14ac:dyDescent="0.25">
      <c r="A237" s="6">
        <v>236</v>
      </c>
      <c r="B237" s="6" t="s">
        <v>13</v>
      </c>
      <c r="C237" s="4">
        <v>43630</v>
      </c>
      <c r="D237" s="1" t="str">
        <f t="shared" si="10"/>
        <v>Fri</v>
      </c>
      <c r="E237" s="7">
        <v>1</v>
      </c>
      <c r="F237" s="7"/>
      <c r="G237" s="7"/>
      <c r="H237" s="7"/>
      <c r="I237" s="7"/>
      <c r="J237" s="2"/>
      <c r="K237" s="2"/>
      <c r="L237" s="7">
        <f t="shared" si="11"/>
        <v>1</v>
      </c>
      <c r="M237" s="6"/>
      <c r="N237" s="20"/>
    </row>
    <row r="238" spans="1:14" x14ac:dyDescent="0.25">
      <c r="A238" s="6">
        <v>237</v>
      </c>
      <c r="B238" s="6" t="s">
        <v>14</v>
      </c>
      <c r="C238" s="4">
        <v>43635</v>
      </c>
      <c r="D238" s="1" t="str">
        <f t="shared" si="10"/>
        <v>Wed</v>
      </c>
      <c r="E238" s="7">
        <v>1</v>
      </c>
      <c r="F238" s="7"/>
      <c r="G238" s="7"/>
      <c r="H238" s="7"/>
      <c r="I238" s="7"/>
      <c r="J238" s="2"/>
      <c r="K238" s="2"/>
      <c r="L238" s="7">
        <f t="shared" si="11"/>
        <v>1</v>
      </c>
      <c r="M238" s="6"/>
      <c r="N238" s="20"/>
    </row>
    <row r="239" spans="1:14" x14ac:dyDescent="0.25">
      <c r="A239" s="6">
        <v>238</v>
      </c>
      <c r="B239" s="6" t="s">
        <v>11</v>
      </c>
      <c r="C239" s="4">
        <v>43637</v>
      </c>
      <c r="D239" s="1" t="str">
        <f t="shared" si="10"/>
        <v>Fri</v>
      </c>
      <c r="E239" s="7">
        <v>1</v>
      </c>
      <c r="F239" s="7"/>
      <c r="G239" s="7"/>
      <c r="H239" s="7"/>
      <c r="I239" s="7"/>
      <c r="J239" s="2"/>
      <c r="K239" s="2"/>
      <c r="L239" s="7">
        <f t="shared" si="11"/>
        <v>1</v>
      </c>
      <c r="M239" s="6"/>
      <c r="N239" s="20"/>
    </row>
    <row r="240" spans="1:14" x14ac:dyDescent="0.25">
      <c r="A240" s="6">
        <v>239</v>
      </c>
      <c r="B240" s="6" t="s">
        <v>39</v>
      </c>
      <c r="C240" s="39">
        <v>43658</v>
      </c>
      <c r="D240" s="1" t="str">
        <f t="shared" si="10"/>
        <v>Fri</v>
      </c>
      <c r="E240" s="7">
        <v>1</v>
      </c>
      <c r="F240" s="7"/>
      <c r="G240" s="7"/>
      <c r="H240" s="7"/>
      <c r="I240" s="7"/>
      <c r="J240" s="2"/>
      <c r="K240" s="2"/>
      <c r="L240" s="7">
        <f t="shared" si="11"/>
        <v>1</v>
      </c>
      <c r="M240" s="6"/>
      <c r="N240" s="20"/>
    </row>
    <row r="241" spans="1:14" x14ac:dyDescent="0.25">
      <c r="A241" s="6">
        <v>240</v>
      </c>
      <c r="B241" s="6" t="s">
        <v>11</v>
      </c>
      <c r="C241" s="4">
        <v>43661</v>
      </c>
      <c r="D241" s="1" t="str">
        <f t="shared" si="10"/>
        <v>Mon</v>
      </c>
      <c r="E241" s="7">
        <v>1</v>
      </c>
      <c r="F241" s="7"/>
      <c r="G241" s="7"/>
      <c r="H241" s="7"/>
      <c r="I241" s="7"/>
      <c r="J241" s="2"/>
      <c r="K241" s="2"/>
      <c r="L241" s="7">
        <f t="shared" si="11"/>
        <v>1</v>
      </c>
      <c r="M241" s="6"/>
      <c r="N241" s="20"/>
    </row>
    <row r="242" spans="1:14" x14ac:dyDescent="0.25">
      <c r="A242" s="6">
        <v>241</v>
      </c>
      <c r="B242" s="6" t="s">
        <v>13</v>
      </c>
      <c r="C242" s="4">
        <v>43661</v>
      </c>
      <c r="D242" s="1" t="str">
        <f t="shared" si="10"/>
        <v>Mon</v>
      </c>
      <c r="E242" s="7">
        <v>1</v>
      </c>
      <c r="F242" s="7"/>
      <c r="G242" s="7"/>
      <c r="H242" s="7"/>
      <c r="I242" s="7"/>
      <c r="J242" s="2"/>
      <c r="K242" s="2"/>
      <c r="L242" s="7">
        <f t="shared" si="11"/>
        <v>1</v>
      </c>
      <c r="M242" s="6"/>
      <c r="N242" s="20"/>
    </row>
    <row r="243" spans="1:14" x14ac:dyDescent="0.25">
      <c r="A243" s="6">
        <v>242</v>
      </c>
      <c r="B243" s="6" t="s">
        <v>11</v>
      </c>
      <c r="C243" s="4">
        <v>43662</v>
      </c>
      <c r="D243" s="1" t="str">
        <f t="shared" si="10"/>
        <v>Tue</v>
      </c>
      <c r="E243" s="7">
        <v>1</v>
      </c>
      <c r="F243" s="7"/>
      <c r="G243" s="7"/>
      <c r="H243" s="7"/>
      <c r="I243" s="7"/>
      <c r="J243" s="2"/>
      <c r="K243" s="2"/>
      <c r="L243" s="7">
        <f t="shared" si="11"/>
        <v>1</v>
      </c>
      <c r="M243" s="6"/>
      <c r="N243" s="20"/>
    </row>
    <row r="244" spans="1:14" x14ac:dyDescent="0.25">
      <c r="A244" s="6">
        <v>243</v>
      </c>
      <c r="B244" s="6" t="s">
        <v>13</v>
      </c>
      <c r="C244" s="4">
        <v>43662</v>
      </c>
      <c r="D244" s="1" t="str">
        <f t="shared" si="10"/>
        <v>Tue</v>
      </c>
      <c r="E244" s="7">
        <v>1</v>
      </c>
      <c r="F244" s="7"/>
      <c r="G244" s="7"/>
      <c r="H244" s="7"/>
      <c r="I244" s="7"/>
      <c r="J244" s="2"/>
      <c r="K244" s="2"/>
      <c r="L244" s="7">
        <f t="shared" si="11"/>
        <v>1</v>
      </c>
      <c r="M244" s="6"/>
      <c r="N244" s="20"/>
    </row>
    <row r="245" spans="1:14" x14ac:dyDescent="0.25">
      <c r="A245" s="6">
        <v>244</v>
      </c>
      <c r="B245" s="6" t="s">
        <v>24</v>
      </c>
      <c r="C245" s="4">
        <v>43665</v>
      </c>
      <c r="D245" s="1" t="str">
        <f t="shared" si="10"/>
        <v>Fri</v>
      </c>
      <c r="E245" s="7">
        <v>1</v>
      </c>
      <c r="F245" s="7"/>
      <c r="G245" s="7"/>
      <c r="H245" s="7"/>
      <c r="I245" s="7"/>
      <c r="J245" s="2"/>
      <c r="K245" s="2"/>
      <c r="L245" s="7">
        <f t="shared" si="11"/>
        <v>1</v>
      </c>
      <c r="M245" s="6"/>
      <c r="N245" s="20"/>
    </row>
    <row r="246" spans="1:14" x14ac:dyDescent="0.25">
      <c r="A246" s="6">
        <v>245</v>
      </c>
      <c r="B246" s="6" t="s">
        <v>11</v>
      </c>
      <c r="C246" s="4">
        <v>43668</v>
      </c>
      <c r="D246" s="1" t="str">
        <f t="shared" si="10"/>
        <v>Mon</v>
      </c>
      <c r="E246" s="7">
        <v>1</v>
      </c>
      <c r="F246" s="7"/>
      <c r="G246" s="7"/>
      <c r="H246" s="7"/>
      <c r="I246" s="7"/>
      <c r="J246" s="2"/>
      <c r="K246" s="2"/>
      <c r="L246" s="7">
        <f t="shared" si="11"/>
        <v>1</v>
      </c>
      <c r="M246" s="6"/>
      <c r="N246" s="20"/>
    </row>
    <row r="247" spans="1:14" x14ac:dyDescent="0.25">
      <c r="A247" s="6">
        <v>246</v>
      </c>
      <c r="B247" s="6" t="s">
        <v>11</v>
      </c>
      <c r="C247" s="4">
        <v>43700</v>
      </c>
      <c r="D247" s="1" t="str">
        <f t="shared" si="10"/>
        <v>Fri</v>
      </c>
      <c r="E247" s="7">
        <v>1</v>
      </c>
      <c r="F247" s="7"/>
      <c r="G247" s="7"/>
      <c r="H247" s="7"/>
      <c r="I247" s="7"/>
      <c r="J247" s="2"/>
      <c r="K247" s="2"/>
      <c r="L247" s="7">
        <f t="shared" si="11"/>
        <v>1</v>
      </c>
      <c r="M247" s="6"/>
      <c r="N247" s="20"/>
    </row>
    <row r="248" spans="1:14" x14ac:dyDescent="0.25">
      <c r="A248" s="6">
        <v>247</v>
      </c>
      <c r="B248" s="6" t="s">
        <v>39</v>
      </c>
      <c r="C248" s="39">
        <v>43721</v>
      </c>
      <c r="D248" s="1" t="str">
        <f t="shared" si="10"/>
        <v>Fri</v>
      </c>
      <c r="E248" s="7">
        <v>1</v>
      </c>
      <c r="F248" s="7"/>
      <c r="G248" s="7"/>
      <c r="H248" s="7"/>
      <c r="I248" s="7"/>
      <c r="J248" s="2"/>
      <c r="K248" s="2"/>
      <c r="L248" s="7">
        <f t="shared" si="11"/>
        <v>1</v>
      </c>
      <c r="M248" s="6"/>
      <c r="N248" s="20"/>
    </row>
    <row r="249" spans="1:14" x14ac:dyDescent="0.25">
      <c r="A249" s="6">
        <v>248</v>
      </c>
      <c r="B249" s="6" t="s">
        <v>24</v>
      </c>
      <c r="C249" s="4">
        <v>43731</v>
      </c>
      <c r="D249" s="1" t="str">
        <f t="shared" si="10"/>
        <v>Mon</v>
      </c>
      <c r="E249" s="7">
        <v>1</v>
      </c>
      <c r="F249" s="7"/>
      <c r="G249" s="7"/>
      <c r="H249" s="7"/>
      <c r="I249" s="7"/>
      <c r="J249" s="2"/>
      <c r="K249" s="2"/>
      <c r="L249" s="7">
        <f t="shared" si="11"/>
        <v>1</v>
      </c>
      <c r="M249" s="6"/>
      <c r="N249" s="20"/>
    </row>
    <row r="250" spans="1:14" x14ac:dyDescent="0.25">
      <c r="A250" s="6">
        <v>249</v>
      </c>
      <c r="B250" s="6" t="s">
        <v>39</v>
      </c>
      <c r="C250" s="39">
        <v>43735</v>
      </c>
      <c r="D250" s="1" t="str">
        <f t="shared" si="10"/>
        <v>Fri</v>
      </c>
      <c r="E250" s="7">
        <v>1</v>
      </c>
      <c r="F250" s="7"/>
      <c r="G250" s="7"/>
      <c r="H250" s="7"/>
      <c r="I250" s="7"/>
      <c r="J250" s="2"/>
      <c r="K250" s="2"/>
      <c r="L250" s="7">
        <f t="shared" si="11"/>
        <v>1</v>
      </c>
      <c r="M250" s="6"/>
      <c r="N250" s="20"/>
    </row>
    <row r="251" spans="1:14" x14ac:dyDescent="0.25">
      <c r="A251" s="6">
        <v>250</v>
      </c>
      <c r="B251" s="6" t="s">
        <v>11</v>
      </c>
      <c r="C251" s="4">
        <v>43756</v>
      </c>
      <c r="D251" s="1" t="str">
        <f t="shared" si="10"/>
        <v>Fri</v>
      </c>
      <c r="E251" s="7">
        <v>1</v>
      </c>
      <c r="F251" s="7"/>
      <c r="G251" s="7"/>
      <c r="H251" s="7"/>
      <c r="I251" s="7"/>
      <c r="J251" s="2"/>
      <c r="K251" s="2"/>
      <c r="L251" s="7">
        <f t="shared" ref="L251" si="12">SUM(E251:K251)</f>
        <v>1</v>
      </c>
      <c r="M251" s="6"/>
      <c r="N251" s="20"/>
    </row>
  </sheetData>
  <sortState ref="A2:N251">
    <sortCondition ref="C2:C251"/>
  </sortState>
  <conditionalFormatting sqref="D3 D5:D20 D22 D25 D27:D30 D35:D36 D42:D43 D45:D46 D60:D72">
    <cfRule type="cellIs" dxfId="1006" priority="1046" operator="equal">
      <formula>"Fri"</formula>
    </cfRule>
    <cfRule type="cellIs" dxfId="1005" priority="1047" operator="equal">
      <formula>"Thu"</formula>
    </cfRule>
    <cfRule type="containsText" dxfId="1004" priority="1048" operator="containsText" text="Wed">
      <formula>NOT(ISERROR(SEARCH("Wed",D3)))</formula>
    </cfRule>
    <cfRule type="cellIs" dxfId="1003" priority="1049" operator="equal">
      <formula>"Tue"</formula>
    </cfRule>
    <cfRule type="containsText" dxfId="1002" priority="1050" operator="containsText" text="Mon">
      <formula>NOT(ISERROR(SEARCH("Mon",D3)))</formula>
    </cfRule>
  </conditionalFormatting>
  <conditionalFormatting sqref="D73">
    <cfRule type="cellIs" dxfId="1001" priority="1041" operator="equal">
      <formula>"Fri"</formula>
    </cfRule>
    <cfRule type="cellIs" dxfId="1000" priority="1042" operator="equal">
      <formula>"Thu"</formula>
    </cfRule>
    <cfRule type="containsText" dxfId="999" priority="1043" operator="containsText" text="Wed">
      <formula>NOT(ISERROR(SEARCH("Wed",D73)))</formula>
    </cfRule>
    <cfRule type="cellIs" dxfId="998" priority="1044" operator="equal">
      <formula>"Tue"</formula>
    </cfRule>
    <cfRule type="containsText" dxfId="997" priority="1045" operator="containsText" text="Mon">
      <formula>NOT(ISERROR(SEARCH("Mon",D73)))</formula>
    </cfRule>
  </conditionalFormatting>
  <conditionalFormatting sqref="D74">
    <cfRule type="cellIs" dxfId="996" priority="1036" operator="equal">
      <formula>"Fri"</formula>
    </cfRule>
    <cfRule type="cellIs" dxfId="995" priority="1037" operator="equal">
      <formula>"Thu"</formula>
    </cfRule>
    <cfRule type="containsText" dxfId="994" priority="1038" operator="containsText" text="Wed">
      <formula>NOT(ISERROR(SEARCH("Wed",D74)))</formula>
    </cfRule>
    <cfRule type="cellIs" dxfId="993" priority="1039" operator="equal">
      <formula>"Tue"</formula>
    </cfRule>
    <cfRule type="containsText" dxfId="992" priority="1040" operator="containsText" text="Mon">
      <formula>NOT(ISERROR(SEARCH("Mon",D74)))</formula>
    </cfRule>
  </conditionalFormatting>
  <conditionalFormatting sqref="D75">
    <cfRule type="cellIs" dxfId="991" priority="1031" operator="equal">
      <formula>"Fri"</formula>
    </cfRule>
    <cfRule type="cellIs" dxfId="990" priority="1032" operator="equal">
      <formula>"Thu"</formula>
    </cfRule>
    <cfRule type="containsText" dxfId="989" priority="1033" operator="containsText" text="Wed">
      <formula>NOT(ISERROR(SEARCH("Wed",D75)))</formula>
    </cfRule>
    <cfRule type="cellIs" dxfId="988" priority="1034" operator="equal">
      <formula>"Tue"</formula>
    </cfRule>
    <cfRule type="containsText" dxfId="987" priority="1035" operator="containsText" text="Mon">
      <formula>NOT(ISERROR(SEARCH("Mon",D75)))</formula>
    </cfRule>
  </conditionalFormatting>
  <conditionalFormatting sqref="D76">
    <cfRule type="cellIs" dxfId="986" priority="1026" operator="equal">
      <formula>"Fri"</formula>
    </cfRule>
    <cfRule type="cellIs" dxfId="985" priority="1027" operator="equal">
      <formula>"Thu"</formula>
    </cfRule>
    <cfRule type="containsText" dxfId="984" priority="1028" operator="containsText" text="Wed">
      <formula>NOT(ISERROR(SEARCH("Wed",D76)))</formula>
    </cfRule>
    <cfRule type="cellIs" dxfId="983" priority="1029" operator="equal">
      <formula>"Tue"</formula>
    </cfRule>
    <cfRule type="containsText" dxfId="982" priority="1030" operator="containsText" text="Mon">
      <formula>NOT(ISERROR(SEARCH("Mon",D76)))</formula>
    </cfRule>
  </conditionalFormatting>
  <conditionalFormatting sqref="D77">
    <cfRule type="cellIs" dxfId="981" priority="1021" operator="equal">
      <formula>"Fri"</formula>
    </cfRule>
    <cfRule type="cellIs" dxfId="980" priority="1022" operator="equal">
      <formula>"Thu"</formula>
    </cfRule>
    <cfRule type="containsText" dxfId="979" priority="1023" operator="containsText" text="Wed">
      <formula>NOT(ISERROR(SEARCH("Wed",D77)))</formula>
    </cfRule>
    <cfRule type="cellIs" dxfId="978" priority="1024" operator="equal">
      <formula>"Tue"</formula>
    </cfRule>
    <cfRule type="containsText" dxfId="977" priority="1025" operator="containsText" text="Mon">
      <formula>NOT(ISERROR(SEARCH("Mon",D77)))</formula>
    </cfRule>
  </conditionalFormatting>
  <conditionalFormatting sqref="D4">
    <cfRule type="cellIs" dxfId="976" priority="1016" operator="equal">
      <formula>"Fri"</formula>
    </cfRule>
    <cfRule type="cellIs" dxfId="975" priority="1017" operator="equal">
      <formula>"Thu"</formula>
    </cfRule>
    <cfRule type="containsText" dxfId="974" priority="1018" operator="containsText" text="Wed">
      <formula>NOT(ISERROR(SEARCH("Wed",D4)))</formula>
    </cfRule>
    <cfRule type="cellIs" dxfId="973" priority="1019" operator="equal">
      <formula>"Tue"</formula>
    </cfRule>
    <cfRule type="containsText" dxfId="972" priority="1020" operator="containsText" text="Mon">
      <formula>NOT(ISERROR(SEARCH("Mon",D4)))</formula>
    </cfRule>
  </conditionalFormatting>
  <conditionalFormatting sqref="D2">
    <cfRule type="cellIs" dxfId="971" priority="1011" operator="equal">
      <formula>"Fri"</formula>
    </cfRule>
    <cfRule type="cellIs" dxfId="970" priority="1012" operator="equal">
      <formula>"Thu"</formula>
    </cfRule>
    <cfRule type="containsText" dxfId="969" priority="1013" operator="containsText" text="Wed">
      <formula>NOT(ISERROR(SEARCH("Wed",D2)))</formula>
    </cfRule>
    <cfRule type="cellIs" dxfId="968" priority="1014" operator="equal">
      <formula>"Tue"</formula>
    </cfRule>
    <cfRule type="containsText" dxfId="967" priority="1015" operator="containsText" text="Mon">
      <formula>NOT(ISERROR(SEARCH("Mon",D2)))</formula>
    </cfRule>
  </conditionalFormatting>
  <conditionalFormatting sqref="D21">
    <cfRule type="cellIs" dxfId="966" priority="1006" operator="equal">
      <formula>"Fri"</formula>
    </cfRule>
    <cfRule type="cellIs" dxfId="965" priority="1007" operator="equal">
      <formula>"Thu"</formula>
    </cfRule>
    <cfRule type="containsText" dxfId="964" priority="1008" operator="containsText" text="Wed">
      <formula>NOT(ISERROR(SEARCH("Wed",D21)))</formula>
    </cfRule>
    <cfRule type="cellIs" dxfId="963" priority="1009" operator="equal">
      <formula>"Tue"</formula>
    </cfRule>
    <cfRule type="containsText" dxfId="962" priority="1010" operator="containsText" text="Mon">
      <formula>NOT(ISERROR(SEARCH("Mon",D21)))</formula>
    </cfRule>
  </conditionalFormatting>
  <conditionalFormatting sqref="D24">
    <cfRule type="cellIs" dxfId="961" priority="1001" operator="equal">
      <formula>"Fri"</formula>
    </cfRule>
    <cfRule type="cellIs" dxfId="960" priority="1002" operator="equal">
      <formula>"Thu"</formula>
    </cfRule>
    <cfRule type="containsText" dxfId="959" priority="1003" operator="containsText" text="Wed">
      <formula>NOT(ISERROR(SEARCH("Wed",D24)))</formula>
    </cfRule>
    <cfRule type="cellIs" dxfId="958" priority="1004" operator="equal">
      <formula>"Tue"</formula>
    </cfRule>
    <cfRule type="containsText" dxfId="957" priority="1005" operator="containsText" text="Mon">
      <formula>NOT(ISERROR(SEARCH("Mon",D24)))</formula>
    </cfRule>
  </conditionalFormatting>
  <conditionalFormatting sqref="D23">
    <cfRule type="cellIs" dxfId="956" priority="996" operator="equal">
      <formula>"Fri"</formula>
    </cfRule>
    <cfRule type="cellIs" dxfId="955" priority="997" operator="equal">
      <formula>"Thu"</formula>
    </cfRule>
    <cfRule type="containsText" dxfId="954" priority="998" operator="containsText" text="Wed">
      <formula>NOT(ISERROR(SEARCH("Wed",D23)))</formula>
    </cfRule>
    <cfRule type="cellIs" dxfId="953" priority="999" operator="equal">
      <formula>"Tue"</formula>
    </cfRule>
    <cfRule type="containsText" dxfId="952" priority="1000" operator="containsText" text="Mon">
      <formula>NOT(ISERROR(SEARCH("Mon",D23)))</formula>
    </cfRule>
  </conditionalFormatting>
  <conditionalFormatting sqref="D26">
    <cfRule type="cellIs" dxfId="951" priority="991" operator="equal">
      <formula>"Fri"</formula>
    </cfRule>
    <cfRule type="cellIs" dxfId="950" priority="992" operator="equal">
      <formula>"Thu"</formula>
    </cfRule>
    <cfRule type="containsText" dxfId="949" priority="993" operator="containsText" text="Wed">
      <formula>NOT(ISERROR(SEARCH("Wed",D26)))</formula>
    </cfRule>
    <cfRule type="cellIs" dxfId="948" priority="994" operator="equal">
      <formula>"Tue"</formula>
    </cfRule>
    <cfRule type="containsText" dxfId="947" priority="995" operator="containsText" text="Mon">
      <formula>NOT(ISERROR(SEARCH("Mon",D26)))</formula>
    </cfRule>
  </conditionalFormatting>
  <conditionalFormatting sqref="D34">
    <cfRule type="cellIs" dxfId="946" priority="986" operator="equal">
      <formula>"Fri"</formula>
    </cfRule>
    <cfRule type="cellIs" dxfId="945" priority="987" operator="equal">
      <formula>"Thu"</formula>
    </cfRule>
    <cfRule type="containsText" dxfId="944" priority="988" operator="containsText" text="Wed">
      <formula>NOT(ISERROR(SEARCH("Wed",D34)))</formula>
    </cfRule>
    <cfRule type="cellIs" dxfId="943" priority="989" operator="equal">
      <formula>"Tue"</formula>
    </cfRule>
    <cfRule type="containsText" dxfId="942" priority="990" operator="containsText" text="Mon">
      <formula>NOT(ISERROR(SEARCH("Mon",D34)))</formula>
    </cfRule>
  </conditionalFormatting>
  <conditionalFormatting sqref="D31">
    <cfRule type="cellIs" dxfId="941" priority="981" operator="equal">
      <formula>"Fri"</formula>
    </cfRule>
    <cfRule type="cellIs" dxfId="940" priority="982" operator="equal">
      <formula>"Thu"</formula>
    </cfRule>
    <cfRule type="containsText" dxfId="939" priority="983" operator="containsText" text="Wed">
      <formula>NOT(ISERROR(SEARCH("Wed",D31)))</formula>
    </cfRule>
    <cfRule type="cellIs" dxfId="938" priority="984" operator="equal">
      <formula>"Tue"</formula>
    </cfRule>
    <cfRule type="containsText" dxfId="937" priority="985" operator="containsText" text="Mon">
      <formula>NOT(ISERROR(SEARCH("Mon",D31)))</formula>
    </cfRule>
  </conditionalFormatting>
  <conditionalFormatting sqref="D33">
    <cfRule type="cellIs" dxfId="936" priority="976" operator="equal">
      <formula>"Fri"</formula>
    </cfRule>
    <cfRule type="cellIs" dxfId="935" priority="977" operator="equal">
      <formula>"Thu"</formula>
    </cfRule>
    <cfRule type="containsText" dxfId="934" priority="978" operator="containsText" text="Wed">
      <formula>NOT(ISERROR(SEARCH("Wed",D33)))</formula>
    </cfRule>
    <cfRule type="cellIs" dxfId="933" priority="979" operator="equal">
      <formula>"Tue"</formula>
    </cfRule>
    <cfRule type="containsText" dxfId="932" priority="980" operator="containsText" text="Mon">
      <formula>NOT(ISERROR(SEARCH("Mon",D33)))</formula>
    </cfRule>
  </conditionalFormatting>
  <conditionalFormatting sqref="D32">
    <cfRule type="cellIs" dxfId="931" priority="971" operator="equal">
      <formula>"Fri"</formula>
    </cfRule>
    <cfRule type="cellIs" dxfId="930" priority="972" operator="equal">
      <formula>"Thu"</formula>
    </cfRule>
    <cfRule type="containsText" dxfId="929" priority="973" operator="containsText" text="Wed">
      <formula>NOT(ISERROR(SEARCH("Wed",D32)))</formula>
    </cfRule>
    <cfRule type="cellIs" dxfId="928" priority="974" operator="equal">
      <formula>"Tue"</formula>
    </cfRule>
    <cfRule type="containsText" dxfId="927" priority="975" operator="containsText" text="Mon">
      <formula>NOT(ISERROR(SEARCH("Mon",D32)))</formula>
    </cfRule>
  </conditionalFormatting>
  <conditionalFormatting sqref="D37">
    <cfRule type="cellIs" dxfId="926" priority="966" operator="equal">
      <formula>"Fri"</formula>
    </cfRule>
    <cfRule type="cellIs" dxfId="925" priority="967" operator="equal">
      <formula>"Thu"</formula>
    </cfRule>
    <cfRule type="containsText" dxfId="924" priority="968" operator="containsText" text="Wed">
      <formula>NOT(ISERROR(SEARCH("Wed",D37)))</formula>
    </cfRule>
    <cfRule type="cellIs" dxfId="923" priority="969" operator="equal">
      <formula>"Tue"</formula>
    </cfRule>
    <cfRule type="containsText" dxfId="922" priority="970" operator="containsText" text="Mon">
      <formula>NOT(ISERROR(SEARCH("Mon",D37)))</formula>
    </cfRule>
  </conditionalFormatting>
  <conditionalFormatting sqref="D38">
    <cfRule type="cellIs" dxfId="921" priority="961" operator="equal">
      <formula>"Fri"</formula>
    </cfRule>
    <cfRule type="cellIs" dxfId="920" priority="962" operator="equal">
      <formula>"Thu"</formula>
    </cfRule>
    <cfRule type="containsText" dxfId="919" priority="963" operator="containsText" text="Wed">
      <formula>NOT(ISERROR(SEARCH("Wed",D38)))</formula>
    </cfRule>
    <cfRule type="cellIs" dxfId="918" priority="964" operator="equal">
      <formula>"Tue"</formula>
    </cfRule>
    <cfRule type="containsText" dxfId="917" priority="965" operator="containsText" text="Mon">
      <formula>NOT(ISERROR(SEARCH("Mon",D38)))</formula>
    </cfRule>
  </conditionalFormatting>
  <conditionalFormatting sqref="D39">
    <cfRule type="cellIs" dxfId="916" priority="956" operator="equal">
      <formula>"Fri"</formula>
    </cfRule>
    <cfRule type="cellIs" dxfId="915" priority="957" operator="equal">
      <formula>"Thu"</formula>
    </cfRule>
    <cfRule type="containsText" dxfId="914" priority="958" operator="containsText" text="Wed">
      <formula>NOT(ISERROR(SEARCH("Wed",D39)))</formula>
    </cfRule>
    <cfRule type="cellIs" dxfId="913" priority="959" operator="equal">
      <formula>"Tue"</formula>
    </cfRule>
    <cfRule type="containsText" dxfId="912" priority="960" operator="containsText" text="Mon">
      <formula>NOT(ISERROR(SEARCH("Mon",D39)))</formula>
    </cfRule>
  </conditionalFormatting>
  <conditionalFormatting sqref="D40">
    <cfRule type="cellIs" dxfId="911" priority="951" operator="equal">
      <formula>"Fri"</formula>
    </cfRule>
    <cfRule type="cellIs" dxfId="910" priority="952" operator="equal">
      <formula>"Thu"</formula>
    </cfRule>
    <cfRule type="containsText" dxfId="909" priority="953" operator="containsText" text="Wed">
      <formula>NOT(ISERROR(SEARCH("Wed",D40)))</formula>
    </cfRule>
    <cfRule type="cellIs" dxfId="908" priority="954" operator="equal">
      <formula>"Tue"</formula>
    </cfRule>
    <cfRule type="containsText" dxfId="907" priority="955" operator="containsText" text="Mon">
      <formula>NOT(ISERROR(SEARCH("Mon",D40)))</formula>
    </cfRule>
  </conditionalFormatting>
  <conditionalFormatting sqref="D41">
    <cfRule type="cellIs" dxfId="906" priority="946" operator="equal">
      <formula>"Fri"</formula>
    </cfRule>
    <cfRule type="cellIs" dxfId="905" priority="947" operator="equal">
      <formula>"Thu"</formula>
    </cfRule>
    <cfRule type="containsText" dxfId="904" priority="948" operator="containsText" text="Wed">
      <formula>NOT(ISERROR(SEARCH("Wed",D41)))</formula>
    </cfRule>
    <cfRule type="cellIs" dxfId="903" priority="949" operator="equal">
      <formula>"Tue"</formula>
    </cfRule>
    <cfRule type="containsText" dxfId="902" priority="950" operator="containsText" text="Mon">
      <formula>NOT(ISERROR(SEARCH("Mon",D41)))</formula>
    </cfRule>
  </conditionalFormatting>
  <conditionalFormatting sqref="D44">
    <cfRule type="cellIs" dxfId="901" priority="941" operator="equal">
      <formula>"Fri"</formula>
    </cfRule>
    <cfRule type="cellIs" dxfId="900" priority="942" operator="equal">
      <formula>"Thu"</formula>
    </cfRule>
    <cfRule type="containsText" dxfId="899" priority="943" operator="containsText" text="Wed">
      <formula>NOT(ISERROR(SEARCH("Wed",D44)))</formula>
    </cfRule>
    <cfRule type="cellIs" dxfId="898" priority="944" operator="equal">
      <formula>"Tue"</formula>
    </cfRule>
    <cfRule type="containsText" dxfId="897" priority="945" operator="containsText" text="Mon">
      <formula>NOT(ISERROR(SEARCH("Mon",D44)))</formula>
    </cfRule>
  </conditionalFormatting>
  <conditionalFormatting sqref="D47">
    <cfRule type="cellIs" dxfId="896" priority="931" operator="equal">
      <formula>"Fri"</formula>
    </cfRule>
    <cfRule type="cellIs" dxfId="895" priority="932" operator="equal">
      <formula>"Thu"</formula>
    </cfRule>
    <cfRule type="containsText" dxfId="894" priority="933" operator="containsText" text="Wed">
      <formula>NOT(ISERROR(SEARCH("Wed",D47)))</formula>
    </cfRule>
    <cfRule type="cellIs" dxfId="893" priority="934" operator="equal">
      <formula>"Tue"</formula>
    </cfRule>
    <cfRule type="containsText" dxfId="892" priority="935" operator="containsText" text="Mon">
      <formula>NOT(ISERROR(SEARCH("Mon",D47)))</formula>
    </cfRule>
  </conditionalFormatting>
  <conditionalFormatting sqref="D48">
    <cfRule type="cellIs" dxfId="891" priority="926" operator="equal">
      <formula>"Fri"</formula>
    </cfRule>
    <cfRule type="cellIs" dxfId="890" priority="927" operator="equal">
      <formula>"Thu"</formula>
    </cfRule>
    <cfRule type="containsText" dxfId="889" priority="928" operator="containsText" text="Wed">
      <formula>NOT(ISERROR(SEARCH("Wed",D48)))</formula>
    </cfRule>
    <cfRule type="cellIs" dxfId="888" priority="929" operator="equal">
      <formula>"Tue"</formula>
    </cfRule>
    <cfRule type="containsText" dxfId="887" priority="930" operator="containsText" text="Mon">
      <formula>NOT(ISERROR(SEARCH("Mon",D48)))</formula>
    </cfRule>
  </conditionalFormatting>
  <conditionalFormatting sqref="D49">
    <cfRule type="cellIs" dxfId="886" priority="921" operator="equal">
      <formula>"Fri"</formula>
    </cfRule>
    <cfRule type="cellIs" dxfId="885" priority="922" operator="equal">
      <formula>"Thu"</formula>
    </cfRule>
    <cfRule type="containsText" dxfId="884" priority="923" operator="containsText" text="Wed">
      <formula>NOT(ISERROR(SEARCH("Wed",D49)))</formula>
    </cfRule>
    <cfRule type="cellIs" dxfId="883" priority="924" operator="equal">
      <formula>"Tue"</formula>
    </cfRule>
    <cfRule type="containsText" dxfId="882" priority="925" operator="containsText" text="Mon">
      <formula>NOT(ISERROR(SEARCH("Mon",D49)))</formula>
    </cfRule>
  </conditionalFormatting>
  <conditionalFormatting sqref="D50">
    <cfRule type="cellIs" dxfId="881" priority="916" operator="equal">
      <formula>"Fri"</formula>
    </cfRule>
    <cfRule type="cellIs" dxfId="880" priority="917" operator="equal">
      <formula>"Thu"</formula>
    </cfRule>
    <cfRule type="containsText" dxfId="879" priority="918" operator="containsText" text="Wed">
      <formula>NOT(ISERROR(SEARCH("Wed",D50)))</formula>
    </cfRule>
    <cfRule type="cellIs" dxfId="878" priority="919" operator="equal">
      <formula>"Tue"</formula>
    </cfRule>
    <cfRule type="containsText" dxfId="877" priority="920" operator="containsText" text="Mon">
      <formula>NOT(ISERROR(SEARCH("Mon",D50)))</formula>
    </cfRule>
  </conditionalFormatting>
  <conditionalFormatting sqref="D51">
    <cfRule type="cellIs" dxfId="876" priority="911" operator="equal">
      <formula>"Fri"</formula>
    </cfRule>
    <cfRule type="cellIs" dxfId="875" priority="912" operator="equal">
      <formula>"Thu"</formula>
    </cfRule>
    <cfRule type="containsText" dxfId="874" priority="913" operator="containsText" text="Wed">
      <formula>NOT(ISERROR(SEARCH("Wed",D51)))</formula>
    </cfRule>
    <cfRule type="cellIs" dxfId="873" priority="914" operator="equal">
      <formula>"Tue"</formula>
    </cfRule>
    <cfRule type="containsText" dxfId="872" priority="915" operator="containsText" text="Mon">
      <formula>NOT(ISERROR(SEARCH("Mon",D51)))</formula>
    </cfRule>
  </conditionalFormatting>
  <conditionalFormatting sqref="D52">
    <cfRule type="cellIs" dxfId="871" priority="906" operator="equal">
      <formula>"Fri"</formula>
    </cfRule>
    <cfRule type="cellIs" dxfId="870" priority="907" operator="equal">
      <formula>"Thu"</formula>
    </cfRule>
    <cfRule type="containsText" dxfId="869" priority="908" operator="containsText" text="Wed">
      <formula>NOT(ISERROR(SEARCH("Wed",D52)))</formula>
    </cfRule>
    <cfRule type="cellIs" dxfId="868" priority="909" operator="equal">
      <formula>"Tue"</formula>
    </cfRule>
    <cfRule type="containsText" dxfId="867" priority="910" operator="containsText" text="Mon">
      <formula>NOT(ISERROR(SEARCH("Mon",D52)))</formula>
    </cfRule>
  </conditionalFormatting>
  <conditionalFormatting sqref="D54">
    <cfRule type="cellIs" dxfId="866" priority="901" operator="equal">
      <formula>"Fri"</formula>
    </cfRule>
    <cfRule type="cellIs" dxfId="865" priority="902" operator="equal">
      <formula>"Thu"</formula>
    </cfRule>
    <cfRule type="containsText" dxfId="864" priority="903" operator="containsText" text="Wed">
      <formula>NOT(ISERROR(SEARCH("Wed",D54)))</formula>
    </cfRule>
    <cfRule type="cellIs" dxfId="863" priority="904" operator="equal">
      <formula>"Tue"</formula>
    </cfRule>
    <cfRule type="containsText" dxfId="862" priority="905" operator="containsText" text="Mon">
      <formula>NOT(ISERROR(SEARCH("Mon",D54)))</formula>
    </cfRule>
  </conditionalFormatting>
  <conditionalFormatting sqref="D53">
    <cfRule type="cellIs" dxfId="861" priority="896" operator="equal">
      <formula>"Fri"</formula>
    </cfRule>
    <cfRule type="cellIs" dxfId="860" priority="897" operator="equal">
      <formula>"Thu"</formula>
    </cfRule>
    <cfRule type="containsText" dxfId="859" priority="898" operator="containsText" text="Wed">
      <formula>NOT(ISERROR(SEARCH("Wed",D53)))</formula>
    </cfRule>
    <cfRule type="cellIs" dxfId="858" priority="899" operator="equal">
      <formula>"Tue"</formula>
    </cfRule>
    <cfRule type="containsText" dxfId="857" priority="900" operator="containsText" text="Mon">
      <formula>NOT(ISERROR(SEARCH("Mon",D53)))</formula>
    </cfRule>
  </conditionalFormatting>
  <conditionalFormatting sqref="D56">
    <cfRule type="cellIs" dxfId="856" priority="881" operator="equal">
      <formula>"Fri"</formula>
    </cfRule>
    <cfRule type="cellIs" dxfId="855" priority="882" operator="equal">
      <formula>"Thu"</formula>
    </cfRule>
    <cfRule type="containsText" dxfId="854" priority="883" operator="containsText" text="Wed">
      <formula>NOT(ISERROR(SEARCH("Wed",D56)))</formula>
    </cfRule>
    <cfRule type="cellIs" dxfId="853" priority="884" operator="equal">
      <formula>"Tue"</formula>
    </cfRule>
    <cfRule type="containsText" dxfId="852" priority="885" operator="containsText" text="Mon">
      <formula>NOT(ISERROR(SEARCH("Mon",D56)))</formula>
    </cfRule>
  </conditionalFormatting>
  <conditionalFormatting sqref="D55">
    <cfRule type="cellIs" dxfId="851" priority="891" operator="equal">
      <formula>"Fri"</formula>
    </cfRule>
    <cfRule type="cellIs" dxfId="850" priority="892" operator="equal">
      <formula>"Thu"</formula>
    </cfRule>
    <cfRule type="containsText" dxfId="849" priority="893" operator="containsText" text="Wed">
      <formula>NOT(ISERROR(SEARCH("Wed",D55)))</formula>
    </cfRule>
    <cfRule type="cellIs" dxfId="848" priority="894" operator="equal">
      <formula>"Tue"</formula>
    </cfRule>
    <cfRule type="containsText" dxfId="847" priority="895" operator="containsText" text="Mon">
      <formula>NOT(ISERROR(SEARCH("Mon",D55)))</formula>
    </cfRule>
  </conditionalFormatting>
  <conditionalFormatting sqref="D57">
    <cfRule type="cellIs" dxfId="846" priority="886" operator="equal">
      <formula>"Fri"</formula>
    </cfRule>
    <cfRule type="cellIs" dxfId="845" priority="887" operator="equal">
      <formula>"Thu"</formula>
    </cfRule>
    <cfRule type="containsText" dxfId="844" priority="888" operator="containsText" text="Wed">
      <formula>NOT(ISERROR(SEARCH("Wed",D57)))</formula>
    </cfRule>
    <cfRule type="cellIs" dxfId="843" priority="889" operator="equal">
      <formula>"Tue"</formula>
    </cfRule>
    <cfRule type="containsText" dxfId="842" priority="890" operator="containsText" text="Mon">
      <formula>NOT(ISERROR(SEARCH("Mon",D57)))</formula>
    </cfRule>
  </conditionalFormatting>
  <conditionalFormatting sqref="D59">
    <cfRule type="cellIs" dxfId="841" priority="876" operator="equal">
      <formula>"Fri"</formula>
    </cfRule>
    <cfRule type="cellIs" dxfId="840" priority="877" operator="equal">
      <formula>"Thu"</formula>
    </cfRule>
    <cfRule type="containsText" dxfId="839" priority="878" operator="containsText" text="Wed">
      <formula>NOT(ISERROR(SEARCH("Wed",D59)))</formula>
    </cfRule>
    <cfRule type="cellIs" dxfId="838" priority="879" operator="equal">
      <formula>"Tue"</formula>
    </cfRule>
    <cfRule type="containsText" dxfId="837" priority="880" operator="containsText" text="Mon">
      <formula>NOT(ISERROR(SEARCH("Mon",D59)))</formula>
    </cfRule>
  </conditionalFormatting>
  <conditionalFormatting sqref="D58">
    <cfRule type="cellIs" dxfId="836" priority="871" operator="equal">
      <formula>"Fri"</formula>
    </cfRule>
    <cfRule type="cellIs" dxfId="835" priority="872" operator="equal">
      <formula>"Thu"</formula>
    </cfRule>
    <cfRule type="containsText" dxfId="834" priority="873" operator="containsText" text="Wed">
      <formula>NOT(ISERROR(SEARCH("Wed",D58)))</formula>
    </cfRule>
    <cfRule type="cellIs" dxfId="833" priority="874" operator="equal">
      <formula>"Tue"</formula>
    </cfRule>
    <cfRule type="containsText" dxfId="832" priority="875" operator="containsText" text="Mon">
      <formula>NOT(ISERROR(SEARCH("Mon",D58)))</formula>
    </cfRule>
  </conditionalFormatting>
  <conditionalFormatting sqref="D78">
    <cfRule type="cellIs" dxfId="831" priority="866" operator="equal">
      <formula>"Fri"</formula>
    </cfRule>
    <cfRule type="cellIs" dxfId="830" priority="867" operator="equal">
      <formula>"Thu"</formula>
    </cfRule>
    <cfRule type="containsText" dxfId="829" priority="868" operator="containsText" text="Wed">
      <formula>NOT(ISERROR(SEARCH("Wed",D78)))</formula>
    </cfRule>
    <cfRule type="cellIs" dxfId="828" priority="869" operator="equal">
      <formula>"Tue"</formula>
    </cfRule>
    <cfRule type="containsText" dxfId="827" priority="870" operator="containsText" text="Mon">
      <formula>NOT(ISERROR(SEARCH("Mon",D78)))</formula>
    </cfRule>
  </conditionalFormatting>
  <conditionalFormatting sqref="D79">
    <cfRule type="cellIs" dxfId="826" priority="861" operator="equal">
      <formula>"Fri"</formula>
    </cfRule>
    <cfRule type="cellIs" dxfId="825" priority="862" operator="equal">
      <formula>"Thu"</formula>
    </cfRule>
    <cfRule type="containsText" dxfId="824" priority="863" operator="containsText" text="Wed">
      <formula>NOT(ISERROR(SEARCH("Wed",D79)))</formula>
    </cfRule>
    <cfRule type="cellIs" dxfId="823" priority="864" operator="equal">
      <formula>"Tue"</formula>
    </cfRule>
    <cfRule type="containsText" dxfId="822" priority="865" operator="containsText" text="Mon">
      <formula>NOT(ISERROR(SEARCH("Mon",D79)))</formula>
    </cfRule>
  </conditionalFormatting>
  <conditionalFormatting sqref="D80">
    <cfRule type="cellIs" dxfId="821" priority="856" operator="equal">
      <formula>"Fri"</formula>
    </cfRule>
    <cfRule type="cellIs" dxfId="820" priority="857" operator="equal">
      <formula>"Thu"</formula>
    </cfRule>
    <cfRule type="containsText" dxfId="819" priority="858" operator="containsText" text="Wed">
      <formula>NOT(ISERROR(SEARCH("Wed",D80)))</formula>
    </cfRule>
    <cfRule type="cellIs" dxfId="818" priority="859" operator="equal">
      <formula>"Tue"</formula>
    </cfRule>
    <cfRule type="containsText" dxfId="817" priority="860" operator="containsText" text="Mon">
      <formula>NOT(ISERROR(SEARCH("Mon",D80)))</formula>
    </cfRule>
  </conditionalFormatting>
  <conditionalFormatting sqref="D81">
    <cfRule type="cellIs" dxfId="816" priority="851" operator="equal">
      <formula>"Fri"</formula>
    </cfRule>
    <cfRule type="cellIs" dxfId="815" priority="852" operator="equal">
      <formula>"Thu"</formula>
    </cfRule>
    <cfRule type="containsText" dxfId="814" priority="853" operator="containsText" text="Wed">
      <formula>NOT(ISERROR(SEARCH("Wed",D81)))</formula>
    </cfRule>
    <cfRule type="cellIs" dxfId="813" priority="854" operator="equal">
      <formula>"Tue"</formula>
    </cfRule>
    <cfRule type="containsText" dxfId="812" priority="855" operator="containsText" text="Mon">
      <formula>NOT(ISERROR(SEARCH("Mon",D81)))</formula>
    </cfRule>
  </conditionalFormatting>
  <conditionalFormatting sqref="D82">
    <cfRule type="cellIs" dxfId="811" priority="846" operator="equal">
      <formula>"Fri"</formula>
    </cfRule>
    <cfRule type="cellIs" dxfId="810" priority="847" operator="equal">
      <formula>"Thu"</formula>
    </cfRule>
    <cfRule type="containsText" dxfId="809" priority="848" operator="containsText" text="Wed">
      <formula>NOT(ISERROR(SEARCH("Wed",D82)))</formula>
    </cfRule>
    <cfRule type="cellIs" dxfId="808" priority="849" operator="equal">
      <formula>"Tue"</formula>
    </cfRule>
    <cfRule type="containsText" dxfId="807" priority="850" operator="containsText" text="Mon">
      <formula>NOT(ISERROR(SEARCH("Mon",D82)))</formula>
    </cfRule>
  </conditionalFormatting>
  <conditionalFormatting sqref="D83">
    <cfRule type="cellIs" dxfId="806" priority="836" operator="equal">
      <formula>"Fri"</formula>
    </cfRule>
    <cfRule type="cellIs" dxfId="805" priority="837" operator="equal">
      <formula>"Thu"</formula>
    </cfRule>
    <cfRule type="containsText" dxfId="804" priority="838" operator="containsText" text="Wed">
      <formula>NOT(ISERROR(SEARCH("Wed",D83)))</formula>
    </cfRule>
    <cfRule type="cellIs" dxfId="803" priority="839" operator="equal">
      <formula>"Tue"</formula>
    </cfRule>
    <cfRule type="containsText" dxfId="802" priority="840" operator="containsText" text="Mon">
      <formula>NOT(ISERROR(SEARCH("Mon",D83)))</formula>
    </cfRule>
  </conditionalFormatting>
  <conditionalFormatting sqref="D84">
    <cfRule type="cellIs" dxfId="801" priority="831" operator="equal">
      <formula>"Fri"</formula>
    </cfRule>
    <cfRule type="cellIs" dxfId="800" priority="832" operator="equal">
      <formula>"Thu"</formula>
    </cfRule>
    <cfRule type="containsText" dxfId="799" priority="833" operator="containsText" text="Wed">
      <formula>NOT(ISERROR(SEARCH("Wed",D84)))</formula>
    </cfRule>
    <cfRule type="cellIs" dxfId="798" priority="834" operator="equal">
      <formula>"Tue"</formula>
    </cfRule>
    <cfRule type="containsText" dxfId="797" priority="835" operator="containsText" text="Mon">
      <formula>NOT(ISERROR(SEARCH("Mon",D84)))</formula>
    </cfRule>
  </conditionalFormatting>
  <conditionalFormatting sqref="D85">
    <cfRule type="cellIs" dxfId="796" priority="826" operator="equal">
      <formula>"Fri"</formula>
    </cfRule>
    <cfRule type="cellIs" dxfId="795" priority="827" operator="equal">
      <formula>"Thu"</formula>
    </cfRule>
    <cfRule type="containsText" dxfId="794" priority="828" operator="containsText" text="Wed">
      <formula>NOT(ISERROR(SEARCH("Wed",D85)))</formula>
    </cfRule>
    <cfRule type="cellIs" dxfId="793" priority="829" operator="equal">
      <formula>"Tue"</formula>
    </cfRule>
    <cfRule type="containsText" dxfId="792" priority="830" operator="containsText" text="Mon">
      <formula>NOT(ISERROR(SEARCH("Mon",D85)))</formula>
    </cfRule>
  </conditionalFormatting>
  <conditionalFormatting sqref="D86">
    <cfRule type="cellIs" dxfId="791" priority="816" operator="equal">
      <formula>"Fri"</formula>
    </cfRule>
    <cfRule type="cellIs" dxfId="790" priority="817" operator="equal">
      <formula>"Thu"</formula>
    </cfRule>
    <cfRule type="containsText" dxfId="789" priority="818" operator="containsText" text="Wed">
      <formula>NOT(ISERROR(SEARCH("Wed",D86)))</formula>
    </cfRule>
    <cfRule type="cellIs" dxfId="788" priority="819" operator="equal">
      <formula>"Tue"</formula>
    </cfRule>
    <cfRule type="containsText" dxfId="787" priority="820" operator="containsText" text="Mon">
      <formula>NOT(ISERROR(SEARCH("Mon",D86)))</formula>
    </cfRule>
  </conditionalFormatting>
  <conditionalFormatting sqref="D87">
    <cfRule type="cellIs" dxfId="786" priority="811" operator="equal">
      <formula>"Fri"</formula>
    </cfRule>
    <cfRule type="cellIs" dxfId="785" priority="812" operator="equal">
      <formula>"Thu"</formula>
    </cfRule>
    <cfRule type="containsText" dxfId="784" priority="813" operator="containsText" text="Wed">
      <formula>NOT(ISERROR(SEARCH("Wed",D87)))</formula>
    </cfRule>
    <cfRule type="cellIs" dxfId="783" priority="814" operator="equal">
      <formula>"Tue"</formula>
    </cfRule>
    <cfRule type="containsText" dxfId="782" priority="815" operator="containsText" text="Mon">
      <formula>NOT(ISERROR(SEARCH("Mon",D87)))</formula>
    </cfRule>
  </conditionalFormatting>
  <conditionalFormatting sqref="D88">
    <cfRule type="cellIs" dxfId="781" priority="806" operator="equal">
      <formula>"Fri"</formula>
    </cfRule>
    <cfRule type="cellIs" dxfId="780" priority="807" operator="equal">
      <formula>"Thu"</formula>
    </cfRule>
    <cfRule type="containsText" dxfId="779" priority="808" operator="containsText" text="Wed">
      <formula>NOT(ISERROR(SEARCH("Wed",D88)))</formula>
    </cfRule>
    <cfRule type="cellIs" dxfId="778" priority="809" operator="equal">
      <formula>"Tue"</formula>
    </cfRule>
    <cfRule type="containsText" dxfId="777" priority="810" operator="containsText" text="Mon">
      <formula>NOT(ISERROR(SEARCH("Mon",D88)))</formula>
    </cfRule>
  </conditionalFormatting>
  <conditionalFormatting sqref="D89">
    <cfRule type="cellIs" dxfId="776" priority="801" operator="equal">
      <formula>"Fri"</formula>
    </cfRule>
    <cfRule type="cellIs" dxfId="775" priority="802" operator="equal">
      <formula>"Thu"</formula>
    </cfRule>
    <cfRule type="containsText" dxfId="774" priority="803" operator="containsText" text="Wed">
      <formula>NOT(ISERROR(SEARCH("Wed",D89)))</formula>
    </cfRule>
    <cfRule type="cellIs" dxfId="773" priority="804" operator="equal">
      <formula>"Tue"</formula>
    </cfRule>
    <cfRule type="containsText" dxfId="772" priority="805" operator="containsText" text="Mon">
      <formula>NOT(ISERROR(SEARCH("Mon",D89)))</formula>
    </cfRule>
  </conditionalFormatting>
  <conditionalFormatting sqref="D90">
    <cfRule type="cellIs" dxfId="771" priority="796" operator="equal">
      <formula>"Fri"</formula>
    </cfRule>
    <cfRule type="cellIs" dxfId="770" priority="797" operator="equal">
      <formula>"Thu"</formula>
    </cfRule>
    <cfRule type="containsText" dxfId="769" priority="798" operator="containsText" text="Wed">
      <formula>NOT(ISERROR(SEARCH("Wed",D90)))</formula>
    </cfRule>
    <cfRule type="cellIs" dxfId="768" priority="799" operator="equal">
      <formula>"Tue"</formula>
    </cfRule>
    <cfRule type="containsText" dxfId="767" priority="800" operator="containsText" text="Mon">
      <formula>NOT(ISERROR(SEARCH("Mon",D90)))</formula>
    </cfRule>
  </conditionalFormatting>
  <conditionalFormatting sqref="D91">
    <cfRule type="cellIs" dxfId="766" priority="791" operator="equal">
      <formula>"Fri"</formula>
    </cfRule>
    <cfRule type="cellIs" dxfId="765" priority="792" operator="equal">
      <formula>"Thu"</formula>
    </cfRule>
    <cfRule type="containsText" dxfId="764" priority="793" operator="containsText" text="Wed">
      <formula>NOT(ISERROR(SEARCH("Wed",D91)))</formula>
    </cfRule>
    <cfRule type="cellIs" dxfId="763" priority="794" operator="equal">
      <formula>"Tue"</formula>
    </cfRule>
    <cfRule type="containsText" dxfId="762" priority="795" operator="containsText" text="Mon">
      <formula>NOT(ISERROR(SEARCH("Mon",D91)))</formula>
    </cfRule>
  </conditionalFormatting>
  <conditionalFormatting sqref="D92">
    <cfRule type="cellIs" dxfId="761" priority="786" operator="equal">
      <formula>"Fri"</formula>
    </cfRule>
    <cfRule type="cellIs" dxfId="760" priority="787" operator="equal">
      <formula>"Thu"</formula>
    </cfRule>
    <cfRule type="containsText" dxfId="759" priority="788" operator="containsText" text="Wed">
      <formula>NOT(ISERROR(SEARCH("Wed",D92)))</formula>
    </cfRule>
    <cfRule type="cellIs" dxfId="758" priority="789" operator="equal">
      <formula>"Tue"</formula>
    </cfRule>
    <cfRule type="containsText" dxfId="757" priority="790" operator="containsText" text="Mon">
      <formula>NOT(ISERROR(SEARCH("Mon",D92)))</formula>
    </cfRule>
  </conditionalFormatting>
  <conditionalFormatting sqref="D93">
    <cfRule type="cellIs" dxfId="756" priority="781" operator="equal">
      <formula>"Fri"</formula>
    </cfRule>
    <cfRule type="cellIs" dxfId="755" priority="782" operator="equal">
      <formula>"Thu"</formula>
    </cfRule>
    <cfRule type="containsText" dxfId="754" priority="783" operator="containsText" text="Wed">
      <formula>NOT(ISERROR(SEARCH("Wed",D93)))</formula>
    </cfRule>
    <cfRule type="cellIs" dxfId="753" priority="784" operator="equal">
      <formula>"Tue"</formula>
    </cfRule>
    <cfRule type="containsText" dxfId="752" priority="785" operator="containsText" text="Mon">
      <formula>NOT(ISERROR(SEARCH("Mon",D93)))</formula>
    </cfRule>
  </conditionalFormatting>
  <conditionalFormatting sqref="D94">
    <cfRule type="cellIs" dxfId="751" priority="776" operator="equal">
      <formula>"Fri"</formula>
    </cfRule>
    <cfRule type="cellIs" dxfId="750" priority="777" operator="equal">
      <formula>"Thu"</formula>
    </cfRule>
    <cfRule type="containsText" dxfId="749" priority="778" operator="containsText" text="Wed">
      <formula>NOT(ISERROR(SEARCH("Wed",D94)))</formula>
    </cfRule>
    <cfRule type="cellIs" dxfId="748" priority="779" operator="equal">
      <formula>"Tue"</formula>
    </cfRule>
    <cfRule type="containsText" dxfId="747" priority="780" operator="containsText" text="Mon">
      <formula>NOT(ISERROR(SEARCH("Mon",D94)))</formula>
    </cfRule>
  </conditionalFormatting>
  <conditionalFormatting sqref="D95">
    <cfRule type="cellIs" dxfId="746" priority="771" operator="equal">
      <formula>"Fri"</formula>
    </cfRule>
    <cfRule type="cellIs" dxfId="745" priority="772" operator="equal">
      <formula>"Thu"</formula>
    </cfRule>
    <cfRule type="containsText" dxfId="744" priority="773" operator="containsText" text="Wed">
      <formula>NOT(ISERROR(SEARCH("Wed",D95)))</formula>
    </cfRule>
    <cfRule type="cellIs" dxfId="743" priority="774" operator="equal">
      <formula>"Tue"</formula>
    </cfRule>
    <cfRule type="containsText" dxfId="742" priority="775" operator="containsText" text="Mon">
      <formula>NOT(ISERROR(SEARCH("Mon",D95)))</formula>
    </cfRule>
  </conditionalFormatting>
  <conditionalFormatting sqref="D96">
    <cfRule type="cellIs" dxfId="741" priority="766" operator="equal">
      <formula>"Fri"</formula>
    </cfRule>
    <cfRule type="cellIs" dxfId="740" priority="767" operator="equal">
      <formula>"Thu"</formula>
    </cfRule>
    <cfRule type="containsText" dxfId="739" priority="768" operator="containsText" text="Wed">
      <formula>NOT(ISERROR(SEARCH("Wed",D96)))</formula>
    </cfRule>
    <cfRule type="cellIs" dxfId="738" priority="769" operator="equal">
      <formula>"Tue"</formula>
    </cfRule>
    <cfRule type="containsText" dxfId="737" priority="770" operator="containsText" text="Mon">
      <formula>NOT(ISERROR(SEARCH("Mon",D96)))</formula>
    </cfRule>
  </conditionalFormatting>
  <conditionalFormatting sqref="D97">
    <cfRule type="cellIs" dxfId="736" priority="761" operator="equal">
      <formula>"Fri"</formula>
    </cfRule>
    <cfRule type="cellIs" dxfId="735" priority="762" operator="equal">
      <formula>"Thu"</formula>
    </cfRule>
    <cfRule type="containsText" dxfId="734" priority="763" operator="containsText" text="Wed">
      <formula>NOT(ISERROR(SEARCH("Wed",D97)))</formula>
    </cfRule>
    <cfRule type="cellIs" dxfId="733" priority="764" operator="equal">
      <formula>"Tue"</formula>
    </cfRule>
    <cfRule type="containsText" dxfId="732" priority="765" operator="containsText" text="Mon">
      <formula>NOT(ISERROR(SEARCH("Mon",D97)))</formula>
    </cfRule>
  </conditionalFormatting>
  <conditionalFormatting sqref="D98">
    <cfRule type="cellIs" dxfId="731" priority="756" operator="equal">
      <formula>"Fri"</formula>
    </cfRule>
    <cfRule type="cellIs" dxfId="730" priority="757" operator="equal">
      <formula>"Thu"</formula>
    </cfRule>
    <cfRule type="containsText" dxfId="729" priority="758" operator="containsText" text="Wed">
      <formula>NOT(ISERROR(SEARCH("Wed",D98)))</formula>
    </cfRule>
    <cfRule type="cellIs" dxfId="728" priority="759" operator="equal">
      <formula>"Tue"</formula>
    </cfRule>
    <cfRule type="containsText" dxfId="727" priority="760" operator="containsText" text="Mon">
      <formula>NOT(ISERROR(SEARCH("Mon",D98)))</formula>
    </cfRule>
  </conditionalFormatting>
  <conditionalFormatting sqref="D99">
    <cfRule type="cellIs" dxfId="726" priority="751" operator="equal">
      <formula>"Fri"</formula>
    </cfRule>
    <cfRule type="cellIs" dxfId="725" priority="752" operator="equal">
      <formula>"Thu"</formula>
    </cfRule>
    <cfRule type="containsText" dxfId="724" priority="753" operator="containsText" text="Wed">
      <formula>NOT(ISERROR(SEARCH("Wed",D99)))</formula>
    </cfRule>
    <cfRule type="cellIs" dxfId="723" priority="754" operator="equal">
      <formula>"Tue"</formula>
    </cfRule>
    <cfRule type="containsText" dxfId="722" priority="755" operator="containsText" text="Mon">
      <formula>NOT(ISERROR(SEARCH("Mon",D99)))</formula>
    </cfRule>
  </conditionalFormatting>
  <conditionalFormatting sqref="D100">
    <cfRule type="cellIs" dxfId="721" priority="746" operator="equal">
      <formula>"Fri"</formula>
    </cfRule>
    <cfRule type="cellIs" dxfId="720" priority="747" operator="equal">
      <formula>"Thu"</formula>
    </cfRule>
    <cfRule type="containsText" dxfId="719" priority="748" operator="containsText" text="Wed">
      <formula>NOT(ISERROR(SEARCH("Wed",D100)))</formula>
    </cfRule>
    <cfRule type="cellIs" dxfId="718" priority="749" operator="equal">
      <formula>"Tue"</formula>
    </cfRule>
    <cfRule type="containsText" dxfId="717" priority="750" operator="containsText" text="Mon">
      <formula>NOT(ISERROR(SEARCH("Mon",D100)))</formula>
    </cfRule>
  </conditionalFormatting>
  <conditionalFormatting sqref="D101">
    <cfRule type="cellIs" dxfId="716" priority="741" operator="equal">
      <formula>"Fri"</formula>
    </cfRule>
    <cfRule type="cellIs" dxfId="715" priority="742" operator="equal">
      <formula>"Thu"</formula>
    </cfRule>
    <cfRule type="containsText" dxfId="714" priority="743" operator="containsText" text="Wed">
      <formula>NOT(ISERROR(SEARCH("Wed",D101)))</formula>
    </cfRule>
    <cfRule type="cellIs" dxfId="713" priority="744" operator="equal">
      <formula>"Tue"</formula>
    </cfRule>
    <cfRule type="containsText" dxfId="712" priority="745" operator="containsText" text="Mon">
      <formula>NOT(ISERROR(SEARCH("Mon",D101)))</formula>
    </cfRule>
  </conditionalFormatting>
  <conditionalFormatting sqref="D102">
    <cfRule type="cellIs" dxfId="711" priority="736" operator="equal">
      <formula>"Fri"</formula>
    </cfRule>
    <cfRule type="cellIs" dxfId="710" priority="737" operator="equal">
      <formula>"Thu"</formula>
    </cfRule>
    <cfRule type="containsText" dxfId="709" priority="738" operator="containsText" text="Wed">
      <formula>NOT(ISERROR(SEARCH("Wed",D102)))</formula>
    </cfRule>
    <cfRule type="cellIs" dxfId="708" priority="739" operator="equal">
      <formula>"Tue"</formula>
    </cfRule>
    <cfRule type="containsText" dxfId="707" priority="740" operator="containsText" text="Mon">
      <formula>NOT(ISERROR(SEARCH("Mon",D102)))</formula>
    </cfRule>
  </conditionalFormatting>
  <conditionalFormatting sqref="D103">
    <cfRule type="cellIs" dxfId="706" priority="731" operator="equal">
      <formula>"Fri"</formula>
    </cfRule>
    <cfRule type="cellIs" dxfId="705" priority="732" operator="equal">
      <formula>"Thu"</formula>
    </cfRule>
    <cfRule type="containsText" dxfId="704" priority="733" operator="containsText" text="Wed">
      <formula>NOT(ISERROR(SEARCH("Wed",D103)))</formula>
    </cfRule>
    <cfRule type="cellIs" dxfId="703" priority="734" operator="equal">
      <formula>"Tue"</formula>
    </cfRule>
    <cfRule type="containsText" dxfId="702" priority="735" operator="containsText" text="Mon">
      <formula>NOT(ISERROR(SEARCH("Mon",D103)))</formula>
    </cfRule>
  </conditionalFormatting>
  <conditionalFormatting sqref="D104">
    <cfRule type="cellIs" dxfId="701" priority="726" operator="equal">
      <formula>"Fri"</formula>
    </cfRule>
    <cfRule type="cellIs" dxfId="700" priority="727" operator="equal">
      <formula>"Thu"</formula>
    </cfRule>
    <cfRule type="containsText" dxfId="699" priority="728" operator="containsText" text="Wed">
      <formula>NOT(ISERROR(SEARCH("Wed",D104)))</formula>
    </cfRule>
    <cfRule type="cellIs" dxfId="698" priority="729" operator="equal">
      <formula>"Tue"</formula>
    </cfRule>
    <cfRule type="containsText" dxfId="697" priority="730" operator="containsText" text="Mon">
      <formula>NOT(ISERROR(SEARCH("Mon",D104)))</formula>
    </cfRule>
  </conditionalFormatting>
  <conditionalFormatting sqref="D105">
    <cfRule type="cellIs" dxfId="696" priority="721" operator="equal">
      <formula>"Fri"</formula>
    </cfRule>
    <cfRule type="cellIs" dxfId="695" priority="722" operator="equal">
      <formula>"Thu"</formula>
    </cfRule>
    <cfRule type="containsText" dxfId="694" priority="723" operator="containsText" text="Wed">
      <formula>NOT(ISERROR(SEARCH("Wed",D105)))</formula>
    </cfRule>
    <cfRule type="cellIs" dxfId="693" priority="724" operator="equal">
      <formula>"Tue"</formula>
    </cfRule>
    <cfRule type="containsText" dxfId="692" priority="725" operator="containsText" text="Mon">
      <formula>NOT(ISERROR(SEARCH("Mon",D105)))</formula>
    </cfRule>
  </conditionalFormatting>
  <conditionalFormatting sqref="D106">
    <cfRule type="cellIs" dxfId="691" priority="716" operator="equal">
      <formula>"Fri"</formula>
    </cfRule>
    <cfRule type="cellIs" dxfId="690" priority="717" operator="equal">
      <formula>"Thu"</formula>
    </cfRule>
    <cfRule type="containsText" dxfId="689" priority="718" operator="containsText" text="Wed">
      <formula>NOT(ISERROR(SEARCH("Wed",D106)))</formula>
    </cfRule>
    <cfRule type="cellIs" dxfId="688" priority="719" operator="equal">
      <formula>"Tue"</formula>
    </cfRule>
    <cfRule type="containsText" dxfId="687" priority="720" operator="containsText" text="Mon">
      <formula>NOT(ISERROR(SEARCH("Mon",D106)))</formula>
    </cfRule>
  </conditionalFormatting>
  <conditionalFormatting sqref="D107">
    <cfRule type="cellIs" dxfId="686" priority="711" operator="equal">
      <formula>"Fri"</formula>
    </cfRule>
    <cfRule type="cellIs" dxfId="685" priority="712" operator="equal">
      <formula>"Thu"</formula>
    </cfRule>
    <cfRule type="containsText" dxfId="684" priority="713" operator="containsText" text="Wed">
      <formula>NOT(ISERROR(SEARCH("Wed",D107)))</formula>
    </cfRule>
    <cfRule type="cellIs" dxfId="683" priority="714" operator="equal">
      <formula>"Tue"</formula>
    </cfRule>
    <cfRule type="containsText" dxfId="682" priority="715" operator="containsText" text="Mon">
      <formula>NOT(ISERROR(SEARCH("Mon",D107)))</formula>
    </cfRule>
  </conditionalFormatting>
  <conditionalFormatting sqref="D108">
    <cfRule type="cellIs" dxfId="681" priority="706" operator="equal">
      <formula>"Fri"</formula>
    </cfRule>
    <cfRule type="cellIs" dxfId="680" priority="707" operator="equal">
      <formula>"Thu"</formula>
    </cfRule>
    <cfRule type="containsText" dxfId="679" priority="708" operator="containsText" text="Wed">
      <formula>NOT(ISERROR(SEARCH("Wed",D108)))</formula>
    </cfRule>
    <cfRule type="cellIs" dxfId="678" priority="709" operator="equal">
      <formula>"Tue"</formula>
    </cfRule>
    <cfRule type="containsText" dxfId="677" priority="710" operator="containsText" text="Mon">
      <formula>NOT(ISERROR(SEARCH("Mon",D108)))</formula>
    </cfRule>
  </conditionalFormatting>
  <conditionalFormatting sqref="D109">
    <cfRule type="cellIs" dxfId="676" priority="701" operator="equal">
      <formula>"Fri"</formula>
    </cfRule>
    <cfRule type="cellIs" dxfId="675" priority="702" operator="equal">
      <formula>"Thu"</formula>
    </cfRule>
    <cfRule type="containsText" dxfId="674" priority="703" operator="containsText" text="Wed">
      <formula>NOT(ISERROR(SEARCH("Wed",D109)))</formula>
    </cfRule>
    <cfRule type="cellIs" dxfId="673" priority="704" operator="equal">
      <formula>"Tue"</formula>
    </cfRule>
    <cfRule type="containsText" dxfId="672" priority="705" operator="containsText" text="Mon">
      <formula>NOT(ISERROR(SEARCH("Mon",D109)))</formula>
    </cfRule>
  </conditionalFormatting>
  <conditionalFormatting sqref="D110">
    <cfRule type="cellIs" dxfId="671" priority="696" operator="equal">
      <formula>"Fri"</formula>
    </cfRule>
    <cfRule type="cellIs" dxfId="670" priority="697" operator="equal">
      <formula>"Thu"</formula>
    </cfRule>
    <cfRule type="containsText" dxfId="669" priority="698" operator="containsText" text="Wed">
      <formula>NOT(ISERROR(SEARCH("Wed",D110)))</formula>
    </cfRule>
    <cfRule type="cellIs" dxfId="668" priority="699" operator="equal">
      <formula>"Tue"</formula>
    </cfRule>
    <cfRule type="containsText" dxfId="667" priority="700" operator="containsText" text="Mon">
      <formula>NOT(ISERROR(SEARCH("Mon",D110)))</formula>
    </cfRule>
  </conditionalFormatting>
  <conditionalFormatting sqref="D111">
    <cfRule type="cellIs" dxfId="666" priority="691" operator="equal">
      <formula>"Fri"</formula>
    </cfRule>
    <cfRule type="cellIs" dxfId="665" priority="692" operator="equal">
      <formula>"Thu"</formula>
    </cfRule>
    <cfRule type="containsText" dxfId="664" priority="693" operator="containsText" text="Wed">
      <formula>NOT(ISERROR(SEARCH("Wed",D111)))</formula>
    </cfRule>
    <cfRule type="cellIs" dxfId="663" priority="694" operator="equal">
      <formula>"Tue"</formula>
    </cfRule>
    <cfRule type="containsText" dxfId="662" priority="695" operator="containsText" text="Mon">
      <formula>NOT(ISERROR(SEARCH("Mon",D111)))</formula>
    </cfRule>
  </conditionalFormatting>
  <conditionalFormatting sqref="D112">
    <cfRule type="cellIs" dxfId="661" priority="686" operator="equal">
      <formula>"Fri"</formula>
    </cfRule>
    <cfRule type="cellIs" dxfId="660" priority="687" operator="equal">
      <formula>"Thu"</formula>
    </cfRule>
    <cfRule type="containsText" dxfId="659" priority="688" operator="containsText" text="Wed">
      <formula>NOT(ISERROR(SEARCH("Wed",D112)))</formula>
    </cfRule>
    <cfRule type="cellIs" dxfId="658" priority="689" operator="equal">
      <formula>"Tue"</formula>
    </cfRule>
    <cfRule type="containsText" dxfId="657" priority="690" operator="containsText" text="Mon">
      <formula>NOT(ISERROR(SEARCH("Mon",D112)))</formula>
    </cfRule>
  </conditionalFormatting>
  <conditionalFormatting sqref="D113">
    <cfRule type="cellIs" dxfId="656" priority="681" operator="equal">
      <formula>"Fri"</formula>
    </cfRule>
    <cfRule type="cellIs" dxfId="655" priority="682" operator="equal">
      <formula>"Thu"</formula>
    </cfRule>
    <cfRule type="containsText" dxfId="654" priority="683" operator="containsText" text="Wed">
      <formula>NOT(ISERROR(SEARCH("Wed",D113)))</formula>
    </cfRule>
    <cfRule type="cellIs" dxfId="653" priority="684" operator="equal">
      <formula>"Tue"</formula>
    </cfRule>
    <cfRule type="containsText" dxfId="652" priority="685" operator="containsText" text="Mon">
      <formula>NOT(ISERROR(SEARCH("Mon",D113)))</formula>
    </cfRule>
  </conditionalFormatting>
  <conditionalFormatting sqref="D114">
    <cfRule type="cellIs" dxfId="651" priority="676" operator="equal">
      <formula>"Fri"</formula>
    </cfRule>
    <cfRule type="cellIs" dxfId="650" priority="677" operator="equal">
      <formula>"Thu"</formula>
    </cfRule>
    <cfRule type="containsText" dxfId="649" priority="678" operator="containsText" text="Wed">
      <formula>NOT(ISERROR(SEARCH("Wed",D114)))</formula>
    </cfRule>
    <cfRule type="cellIs" dxfId="648" priority="679" operator="equal">
      <formula>"Tue"</formula>
    </cfRule>
    <cfRule type="containsText" dxfId="647" priority="680" operator="containsText" text="Mon">
      <formula>NOT(ISERROR(SEARCH("Mon",D114)))</formula>
    </cfRule>
  </conditionalFormatting>
  <conditionalFormatting sqref="D115">
    <cfRule type="cellIs" dxfId="646" priority="671" operator="equal">
      <formula>"Fri"</formula>
    </cfRule>
    <cfRule type="cellIs" dxfId="645" priority="672" operator="equal">
      <formula>"Thu"</formula>
    </cfRule>
    <cfRule type="containsText" dxfId="644" priority="673" operator="containsText" text="Wed">
      <formula>NOT(ISERROR(SEARCH("Wed",D115)))</formula>
    </cfRule>
    <cfRule type="cellIs" dxfId="643" priority="674" operator="equal">
      <formula>"Tue"</formula>
    </cfRule>
    <cfRule type="containsText" dxfId="642" priority="675" operator="containsText" text="Mon">
      <formula>NOT(ISERROR(SEARCH("Mon",D115)))</formula>
    </cfRule>
  </conditionalFormatting>
  <conditionalFormatting sqref="D116:D118">
    <cfRule type="cellIs" dxfId="641" priority="666" operator="equal">
      <formula>"Fri"</formula>
    </cfRule>
    <cfRule type="cellIs" dxfId="640" priority="667" operator="equal">
      <formula>"Thu"</formula>
    </cfRule>
    <cfRule type="containsText" dxfId="639" priority="668" operator="containsText" text="Wed">
      <formula>NOT(ISERROR(SEARCH("Wed",D116)))</formula>
    </cfRule>
    <cfRule type="cellIs" dxfId="638" priority="669" operator="equal">
      <formula>"Tue"</formula>
    </cfRule>
    <cfRule type="containsText" dxfId="637" priority="670" operator="containsText" text="Mon">
      <formula>NOT(ISERROR(SEARCH("Mon",D116)))</formula>
    </cfRule>
  </conditionalFormatting>
  <conditionalFormatting sqref="D119:D122">
    <cfRule type="cellIs" dxfId="636" priority="661" operator="equal">
      <formula>"Fri"</formula>
    </cfRule>
    <cfRule type="cellIs" dxfId="635" priority="662" operator="equal">
      <formula>"Thu"</formula>
    </cfRule>
    <cfRule type="containsText" dxfId="634" priority="663" operator="containsText" text="Wed">
      <formula>NOT(ISERROR(SEARCH("Wed",D119)))</formula>
    </cfRule>
    <cfRule type="cellIs" dxfId="633" priority="664" operator="equal">
      <formula>"Tue"</formula>
    </cfRule>
    <cfRule type="containsText" dxfId="632" priority="665" operator="containsText" text="Mon">
      <formula>NOT(ISERROR(SEARCH("Mon",D119)))</formula>
    </cfRule>
  </conditionalFormatting>
  <conditionalFormatting sqref="D123">
    <cfRule type="cellIs" dxfId="631" priority="656" operator="equal">
      <formula>"Fri"</formula>
    </cfRule>
    <cfRule type="cellIs" dxfId="630" priority="657" operator="equal">
      <formula>"Thu"</formula>
    </cfRule>
    <cfRule type="containsText" dxfId="629" priority="658" operator="containsText" text="Wed">
      <formula>NOT(ISERROR(SEARCH("Wed",D123)))</formula>
    </cfRule>
    <cfRule type="cellIs" dxfId="628" priority="659" operator="equal">
      <formula>"Tue"</formula>
    </cfRule>
    <cfRule type="containsText" dxfId="627" priority="660" operator="containsText" text="Mon">
      <formula>NOT(ISERROR(SEARCH("Mon",D123)))</formula>
    </cfRule>
  </conditionalFormatting>
  <conditionalFormatting sqref="D124">
    <cfRule type="cellIs" dxfId="626" priority="651" operator="equal">
      <formula>"Fri"</formula>
    </cfRule>
    <cfRule type="cellIs" dxfId="625" priority="652" operator="equal">
      <formula>"Thu"</formula>
    </cfRule>
    <cfRule type="containsText" dxfId="624" priority="653" operator="containsText" text="Wed">
      <formula>NOT(ISERROR(SEARCH("Wed",D124)))</formula>
    </cfRule>
    <cfRule type="cellIs" dxfId="623" priority="654" operator="equal">
      <formula>"Tue"</formula>
    </cfRule>
    <cfRule type="containsText" dxfId="622" priority="655" operator="containsText" text="Mon">
      <formula>NOT(ISERROR(SEARCH("Mon",D124)))</formula>
    </cfRule>
  </conditionalFormatting>
  <conditionalFormatting sqref="D125">
    <cfRule type="cellIs" dxfId="621" priority="646" operator="equal">
      <formula>"Fri"</formula>
    </cfRule>
    <cfRule type="cellIs" dxfId="620" priority="647" operator="equal">
      <formula>"Thu"</formula>
    </cfRule>
    <cfRule type="containsText" dxfId="619" priority="648" operator="containsText" text="Wed">
      <formula>NOT(ISERROR(SEARCH("Wed",D125)))</formula>
    </cfRule>
    <cfRule type="cellIs" dxfId="618" priority="649" operator="equal">
      <formula>"Tue"</formula>
    </cfRule>
    <cfRule type="containsText" dxfId="617" priority="650" operator="containsText" text="Mon">
      <formula>NOT(ISERROR(SEARCH("Mon",D125)))</formula>
    </cfRule>
  </conditionalFormatting>
  <conditionalFormatting sqref="D126">
    <cfRule type="cellIs" dxfId="616" priority="641" operator="equal">
      <formula>"Fri"</formula>
    </cfRule>
    <cfRule type="cellIs" dxfId="615" priority="642" operator="equal">
      <formula>"Thu"</formula>
    </cfRule>
    <cfRule type="containsText" dxfId="614" priority="643" operator="containsText" text="Wed">
      <formula>NOT(ISERROR(SEARCH("Wed",D126)))</formula>
    </cfRule>
    <cfRule type="cellIs" dxfId="613" priority="644" operator="equal">
      <formula>"Tue"</formula>
    </cfRule>
    <cfRule type="containsText" dxfId="612" priority="645" operator="containsText" text="Mon">
      <formula>NOT(ISERROR(SEARCH("Mon",D126)))</formula>
    </cfRule>
  </conditionalFormatting>
  <conditionalFormatting sqref="D127">
    <cfRule type="cellIs" dxfId="611" priority="636" operator="equal">
      <formula>"Fri"</formula>
    </cfRule>
    <cfRule type="cellIs" dxfId="610" priority="637" operator="equal">
      <formula>"Thu"</formula>
    </cfRule>
    <cfRule type="containsText" dxfId="609" priority="638" operator="containsText" text="Wed">
      <formula>NOT(ISERROR(SEARCH("Wed",D127)))</formula>
    </cfRule>
    <cfRule type="cellIs" dxfId="608" priority="639" operator="equal">
      <formula>"Tue"</formula>
    </cfRule>
    <cfRule type="containsText" dxfId="607" priority="640" operator="containsText" text="Mon">
      <formula>NOT(ISERROR(SEARCH("Mon",D127)))</formula>
    </cfRule>
  </conditionalFormatting>
  <conditionalFormatting sqref="D128">
    <cfRule type="cellIs" dxfId="606" priority="631" operator="equal">
      <formula>"Fri"</formula>
    </cfRule>
    <cfRule type="cellIs" dxfId="605" priority="632" operator="equal">
      <formula>"Thu"</formula>
    </cfRule>
    <cfRule type="containsText" dxfId="604" priority="633" operator="containsText" text="Wed">
      <formula>NOT(ISERROR(SEARCH("Wed",D128)))</formula>
    </cfRule>
    <cfRule type="cellIs" dxfId="603" priority="634" operator="equal">
      <formula>"Tue"</formula>
    </cfRule>
    <cfRule type="containsText" dxfId="602" priority="635" operator="containsText" text="Mon">
      <formula>NOT(ISERROR(SEARCH("Mon",D128)))</formula>
    </cfRule>
  </conditionalFormatting>
  <conditionalFormatting sqref="D129">
    <cfRule type="cellIs" dxfId="601" priority="626" operator="equal">
      <formula>"Fri"</formula>
    </cfRule>
    <cfRule type="cellIs" dxfId="600" priority="627" operator="equal">
      <formula>"Thu"</formula>
    </cfRule>
    <cfRule type="containsText" dxfId="599" priority="628" operator="containsText" text="Wed">
      <formula>NOT(ISERROR(SEARCH("Wed",D129)))</formula>
    </cfRule>
    <cfRule type="cellIs" dxfId="598" priority="629" operator="equal">
      <formula>"Tue"</formula>
    </cfRule>
    <cfRule type="containsText" dxfId="597" priority="630" operator="containsText" text="Mon">
      <formula>NOT(ISERROR(SEARCH("Mon",D129)))</formula>
    </cfRule>
  </conditionalFormatting>
  <conditionalFormatting sqref="D130">
    <cfRule type="cellIs" dxfId="596" priority="621" operator="equal">
      <formula>"Fri"</formula>
    </cfRule>
    <cfRule type="cellIs" dxfId="595" priority="622" operator="equal">
      <formula>"Thu"</formula>
    </cfRule>
    <cfRule type="containsText" dxfId="594" priority="623" operator="containsText" text="Wed">
      <formula>NOT(ISERROR(SEARCH("Wed",D130)))</formula>
    </cfRule>
    <cfRule type="cellIs" dxfId="593" priority="624" operator="equal">
      <formula>"Tue"</formula>
    </cfRule>
    <cfRule type="containsText" dxfId="592" priority="625" operator="containsText" text="Mon">
      <formula>NOT(ISERROR(SEARCH("Mon",D130)))</formula>
    </cfRule>
  </conditionalFormatting>
  <conditionalFormatting sqref="D131">
    <cfRule type="cellIs" dxfId="591" priority="611" operator="equal">
      <formula>"Fri"</formula>
    </cfRule>
    <cfRule type="cellIs" dxfId="590" priority="612" operator="equal">
      <formula>"Thu"</formula>
    </cfRule>
    <cfRule type="containsText" dxfId="589" priority="613" operator="containsText" text="Wed">
      <formula>NOT(ISERROR(SEARCH("Wed",D131)))</formula>
    </cfRule>
    <cfRule type="cellIs" dxfId="588" priority="614" operator="equal">
      <formula>"Tue"</formula>
    </cfRule>
    <cfRule type="containsText" dxfId="587" priority="615" operator="containsText" text="Mon">
      <formula>NOT(ISERROR(SEARCH("Mon",D131)))</formula>
    </cfRule>
  </conditionalFormatting>
  <conditionalFormatting sqref="D132">
    <cfRule type="cellIs" dxfId="586" priority="606" operator="equal">
      <formula>"Fri"</formula>
    </cfRule>
    <cfRule type="cellIs" dxfId="585" priority="607" operator="equal">
      <formula>"Thu"</formula>
    </cfRule>
    <cfRule type="containsText" dxfId="584" priority="608" operator="containsText" text="Wed">
      <formula>NOT(ISERROR(SEARCH("Wed",D132)))</formula>
    </cfRule>
    <cfRule type="cellIs" dxfId="583" priority="609" operator="equal">
      <formula>"Tue"</formula>
    </cfRule>
    <cfRule type="containsText" dxfId="582" priority="610" operator="containsText" text="Mon">
      <formula>NOT(ISERROR(SEARCH("Mon",D132)))</formula>
    </cfRule>
  </conditionalFormatting>
  <conditionalFormatting sqref="D135">
    <cfRule type="cellIs" dxfId="581" priority="601" operator="equal">
      <formula>"Fri"</formula>
    </cfRule>
    <cfRule type="cellIs" dxfId="580" priority="602" operator="equal">
      <formula>"Thu"</formula>
    </cfRule>
    <cfRule type="containsText" dxfId="579" priority="603" operator="containsText" text="Wed">
      <formula>NOT(ISERROR(SEARCH("Wed",D135)))</formula>
    </cfRule>
    <cfRule type="cellIs" dxfId="578" priority="604" operator="equal">
      <formula>"Tue"</formula>
    </cfRule>
    <cfRule type="containsText" dxfId="577" priority="605" operator="containsText" text="Mon">
      <formula>NOT(ISERROR(SEARCH("Mon",D135)))</formula>
    </cfRule>
  </conditionalFormatting>
  <conditionalFormatting sqref="D136">
    <cfRule type="cellIs" dxfId="576" priority="596" operator="equal">
      <formula>"Fri"</formula>
    </cfRule>
    <cfRule type="cellIs" dxfId="575" priority="597" operator="equal">
      <formula>"Thu"</formula>
    </cfRule>
    <cfRule type="containsText" dxfId="574" priority="598" operator="containsText" text="Wed">
      <formula>NOT(ISERROR(SEARCH("Wed",D136)))</formula>
    </cfRule>
    <cfRule type="cellIs" dxfId="573" priority="599" operator="equal">
      <formula>"Tue"</formula>
    </cfRule>
    <cfRule type="containsText" dxfId="572" priority="600" operator="containsText" text="Mon">
      <formula>NOT(ISERROR(SEARCH("Mon",D136)))</formula>
    </cfRule>
  </conditionalFormatting>
  <conditionalFormatting sqref="D137">
    <cfRule type="cellIs" dxfId="571" priority="591" operator="equal">
      <formula>"Fri"</formula>
    </cfRule>
    <cfRule type="cellIs" dxfId="570" priority="592" operator="equal">
      <formula>"Thu"</formula>
    </cfRule>
    <cfRule type="containsText" dxfId="569" priority="593" operator="containsText" text="Wed">
      <formula>NOT(ISERROR(SEARCH("Wed",D137)))</formula>
    </cfRule>
    <cfRule type="cellIs" dxfId="568" priority="594" operator="equal">
      <formula>"Tue"</formula>
    </cfRule>
    <cfRule type="containsText" dxfId="567" priority="595" operator="containsText" text="Mon">
      <formula>NOT(ISERROR(SEARCH("Mon",D137)))</formula>
    </cfRule>
  </conditionalFormatting>
  <conditionalFormatting sqref="D138">
    <cfRule type="cellIs" dxfId="566" priority="586" operator="equal">
      <formula>"Fri"</formula>
    </cfRule>
    <cfRule type="cellIs" dxfId="565" priority="587" operator="equal">
      <formula>"Thu"</formula>
    </cfRule>
    <cfRule type="containsText" dxfId="564" priority="588" operator="containsText" text="Wed">
      <formula>NOT(ISERROR(SEARCH("Wed",D138)))</formula>
    </cfRule>
    <cfRule type="cellIs" dxfId="563" priority="589" operator="equal">
      <formula>"Tue"</formula>
    </cfRule>
    <cfRule type="containsText" dxfId="562" priority="590" operator="containsText" text="Mon">
      <formula>NOT(ISERROR(SEARCH("Mon",D138)))</formula>
    </cfRule>
  </conditionalFormatting>
  <conditionalFormatting sqref="D139">
    <cfRule type="cellIs" dxfId="561" priority="581" operator="equal">
      <formula>"Fri"</formula>
    </cfRule>
    <cfRule type="cellIs" dxfId="560" priority="582" operator="equal">
      <formula>"Thu"</formula>
    </cfRule>
    <cfRule type="containsText" dxfId="559" priority="583" operator="containsText" text="Wed">
      <formula>NOT(ISERROR(SEARCH("Wed",D139)))</formula>
    </cfRule>
    <cfRule type="cellIs" dxfId="558" priority="584" operator="equal">
      <formula>"Tue"</formula>
    </cfRule>
    <cfRule type="containsText" dxfId="557" priority="585" operator="containsText" text="Mon">
      <formula>NOT(ISERROR(SEARCH("Mon",D139)))</formula>
    </cfRule>
  </conditionalFormatting>
  <conditionalFormatting sqref="D140">
    <cfRule type="cellIs" dxfId="556" priority="576" operator="equal">
      <formula>"Fri"</formula>
    </cfRule>
    <cfRule type="cellIs" dxfId="555" priority="577" operator="equal">
      <formula>"Thu"</formula>
    </cfRule>
    <cfRule type="containsText" dxfId="554" priority="578" operator="containsText" text="Wed">
      <formula>NOT(ISERROR(SEARCH("Wed",D140)))</formula>
    </cfRule>
    <cfRule type="cellIs" dxfId="553" priority="579" operator="equal">
      <formula>"Tue"</formula>
    </cfRule>
    <cfRule type="containsText" dxfId="552" priority="580" operator="containsText" text="Mon">
      <formula>NOT(ISERROR(SEARCH("Mon",D140)))</formula>
    </cfRule>
  </conditionalFormatting>
  <conditionalFormatting sqref="D141">
    <cfRule type="cellIs" dxfId="551" priority="571" operator="equal">
      <formula>"Fri"</formula>
    </cfRule>
    <cfRule type="cellIs" dxfId="550" priority="572" operator="equal">
      <formula>"Thu"</formula>
    </cfRule>
    <cfRule type="containsText" dxfId="549" priority="573" operator="containsText" text="Wed">
      <formula>NOT(ISERROR(SEARCH("Wed",D141)))</formula>
    </cfRule>
    <cfRule type="cellIs" dxfId="548" priority="574" operator="equal">
      <formula>"Tue"</formula>
    </cfRule>
    <cfRule type="containsText" dxfId="547" priority="575" operator="containsText" text="Mon">
      <formula>NOT(ISERROR(SEARCH("Mon",D141)))</formula>
    </cfRule>
  </conditionalFormatting>
  <conditionalFormatting sqref="D142">
    <cfRule type="cellIs" dxfId="546" priority="566" operator="equal">
      <formula>"Fri"</formula>
    </cfRule>
    <cfRule type="cellIs" dxfId="545" priority="567" operator="equal">
      <formula>"Thu"</formula>
    </cfRule>
    <cfRule type="containsText" dxfId="544" priority="568" operator="containsText" text="Wed">
      <formula>NOT(ISERROR(SEARCH("Wed",D142)))</formula>
    </cfRule>
    <cfRule type="cellIs" dxfId="543" priority="569" operator="equal">
      <formula>"Tue"</formula>
    </cfRule>
    <cfRule type="containsText" dxfId="542" priority="570" operator="containsText" text="Mon">
      <formula>NOT(ISERROR(SEARCH("Mon",D142)))</formula>
    </cfRule>
  </conditionalFormatting>
  <conditionalFormatting sqref="D133">
    <cfRule type="cellIs" dxfId="541" priority="561" operator="equal">
      <formula>"Fri"</formula>
    </cfRule>
    <cfRule type="cellIs" dxfId="540" priority="562" operator="equal">
      <formula>"Thu"</formula>
    </cfRule>
    <cfRule type="containsText" dxfId="539" priority="563" operator="containsText" text="Wed">
      <formula>NOT(ISERROR(SEARCH("Wed",D133)))</formula>
    </cfRule>
    <cfRule type="cellIs" dxfId="538" priority="564" operator="equal">
      <formula>"Tue"</formula>
    </cfRule>
    <cfRule type="containsText" dxfId="537" priority="565" operator="containsText" text="Mon">
      <formula>NOT(ISERROR(SEARCH("Mon",D133)))</formula>
    </cfRule>
  </conditionalFormatting>
  <conditionalFormatting sqref="D134">
    <cfRule type="cellIs" dxfId="536" priority="556" operator="equal">
      <formula>"Fri"</formula>
    </cfRule>
    <cfRule type="cellIs" dxfId="535" priority="557" operator="equal">
      <formula>"Thu"</formula>
    </cfRule>
    <cfRule type="containsText" dxfId="534" priority="558" operator="containsText" text="Wed">
      <formula>NOT(ISERROR(SEARCH("Wed",D134)))</formula>
    </cfRule>
    <cfRule type="cellIs" dxfId="533" priority="559" operator="equal">
      <formula>"Tue"</formula>
    </cfRule>
    <cfRule type="containsText" dxfId="532" priority="560" operator="containsText" text="Mon">
      <formula>NOT(ISERROR(SEARCH("Mon",D134)))</formula>
    </cfRule>
  </conditionalFormatting>
  <conditionalFormatting sqref="D143">
    <cfRule type="cellIs" dxfId="531" priority="551" operator="equal">
      <formula>"Fri"</formula>
    </cfRule>
    <cfRule type="cellIs" dxfId="530" priority="552" operator="equal">
      <formula>"Thu"</formula>
    </cfRule>
    <cfRule type="containsText" dxfId="529" priority="553" operator="containsText" text="Wed">
      <formula>NOT(ISERROR(SEARCH("Wed",D143)))</formula>
    </cfRule>
    <cfRule type="cellIs" dxfId="528" priority="554" operator="equal">
      <formula>"Tue"</formula>
    </cfRule>
    <cfRule type="containsText" dxfId="527" priority="555" operator="containsText" text="Mon">
      <formula>NOT(ISERROR(SEARCH("Mon",D143)))</formula>
    </cfRule>
  </conditionalFormatting>
  <conditionalFormatting sqref="D144">
    <cfRule type="cellIs" dxfId="526" priority="546" operator="equal">
      <formula>"Fri"</formula>
    </cfRule>
    <cfRule type="cellIs" dxfId="525" priority="547" operator="equal">
      <formula>"Thu"</formula>
    </cfRule>
    <cfRule type="containsText" dxfId="524" priority="548" operator="containsText" text="Wed">
      <formula>NOT(ISERROR(SEARCH("Wed",D144)))</formula>
    </cfRule>
    <cfRule type="cellIs" dxfId="523" priority="549" operator="equal">
      <formula>"Tue"</formula>
    </cfRule>
    <cfRule type="containsText" dxfId="522" priority="550" operator="containsText" text="Mon">
      <formula>NOT(ISERROR(SEARCH("Mon",D144)))</formula>
    </cfRule>
  </conditionalFormatting>
  <conditionalFormatting sqref="D145">
    <cfRule type="cellIs" dxfId="521" priority="541" operator="equal">
      <formula>"Fri"</formula>
    </cfRule>
    <cfRule type="cellIs" dxfId="520" priority="542" operator="equal">
      <formula>"Thu"</formula>
    </cfRule>
    <cfRule type="containsText" dxfId="519" priority="543" operator="containsText" text="Wed">
      <formula>NOT(ISERROR(SEARCH("Wed",D145)))</formula>
    </cfRule>
    <cfRule type="cellIs" dxfId="518" priority="544" operator="equal">
      <formula>"Tue"</formula>
    </cfRule>
    <cfRule type="containsText" dxfId="517" priority="545" operator="containsText" text="Mon">
      <formula>NOT(ISERROR(SEARCH("Mon",D145)))</formula>
    </cfRule>
  </conditionalFormatting>
  <conditionalFormatting sqref="D146">
    <cfRule type="cellIs" dxfId="516" priority="536" operator="equal">
      <formula>"Fri"</formula>
    </cfRule>
    <cfRule type="cellIs" dxfId="515" priority="537" operator="equal">
      <formula>"Thu"</formula>
    </cfRule>
    <cfRule type="containsText" dxfId="514" priority="538" operator="containsText" text="Wed">
      <formula>NOT(ISERROR(SEARCH("Wed",D146)))</formula>
    </cfRule>
    <cfRule type="cellIs" dxfId="513" priority="539" operator="equal">
      <formula>"Tue"</formula>
    </cfRule>
    <cfRule type="containsText" dxfId="512" priority="540" operator="containsText" text="Mon">
      <formula>NOT(ISERROR(SEARCH("Mon",D146)))</formula>
    </cfRule>
  </conditionalFormatting>
  <conditionalFormatting sqref="D147">
    <cfRule type="cellIs" dxfId="511" priority="531" operator="equal">
      <formula>"Fri"</formula>
    </cfRule>
    <cfRule type="cellIs" dxfId="510" priority="532" operator="equal">
      <formula>"Thu"</formula>
    </cfRule>
    <cfRule type="containsText" dxfId="509" priority="533" operator="containsText" text="Wed">
      <formula>NOT(ISERROR(SEARCH("Wed",D147)))</formula>
    </cfRule>
    <cfRule type="cellIs" dxfId="508" priority="534" operator="equal">
      <formula>"Tue"</formula>
    </cfRule>
    <cfRule type="containsText" dxfId="507" priority="535" operator="containsText" text="Mon">
      <formula>NOT(ISERROR(SEARCH("Mon",D147)))</formula>
    </cfRule>
  </conditionalFormatting>
  <conditionalFormatting sqref="D148">
    <cfRule type="cellIs" dxfId="506" priority="526" operator="equal">
      <formula>"Fri"</formula>
    </cfRule>
    <cfRule type="cellIs" dxfId="505" priority="527" operator="equal">
      <formula>"Thu"</formula>
    </cfRule>
    <cfRule type="containsText" dxfId="504" priority="528" operator="containsText" text="Wed">
      <formula>NOT(ISERROR(SEARCH("Wed",D148)))</formula>
    </cfRule>
    <cfRule type="cellIs" dxfId="503" priority="529" operator="equal">
      <formula>"Tue"</formula>
    </cfRule>
    <cfRule type="containsText" dxfId="502" priority="530" operator="containsText" text="Mon">
      <formula>NOT(ISERROR(SEARCH("Mon",D148)))</formula>
    </cfRule>
  </conditionalFormatting>
  <conditionalFormatting sqref="D150">
    <cfRule type="cellIs" dxfId="501" priority="521" operator="equal">
      <formula>"Fri"</formula>
    </cfRule>
    <cfRule type="cellIs" dxfId="500" priority="522" operator="equal">
      <formula>"Thu"</formula>
    </cfRule>
    <cfRule type="containsText" dxfId="499" priority="523" operator="containsText" text="Wed">
      <formula>NOT(ISERROR(SEARCH("Wed",D150)))</formula>
    </cfRule>
    <cfRule type="cellIs" dxfId="498" priority="524" operator="equal">
      <formula>"Tue"</formula>
    </cfRule>
    <cfRule type="containsText" dxfId="497" priority="525" operator="containsText" text="Mon">
      <formula>NOT(ISERROR(SEARCH("Mon",D150)))</formula>
    </cfRule>
  </conditionalFormatting>
  <conditionalFormatting sqref="D156">
    <cfRule type="cellIs" dxfId="496" priority="516" operator="equal">
      <formula>"Fri"</formula>
    </cfRule>
    <cfRule type="cellIs" dxfId="495" priority="517" operator="equal">
      <formula>"Thu"</formula>
    </cfRule>
    <cfRule type="containsText" dxfId="494" priority="518" operator="containsText" text="Wed">
      <formula>NOT(ISERROR(SEARCH("Wed",D156)))</formula>
    </cfRule>
    <cfRule type="cellIs" dxfId="493" priority="519" operator="equal">
      <formula>"Tue"</formula>
    </cfRule>
    <cfRule type="containsText" dxfId="492" priority="520" operator="containsText" text="Mon">
      <formula>NOT(ISERROR(SEARCH("Mon",D156)))</formula>
    </cfRule>
  </conditionalFormatting>
  <conditionalFormatting sqref="D157">
    <cfRule type="cellIs" dxfId="491" priority="511" operator="equal">
      <formula>"Fri"</formula>
    </cfRule>
    <cfRule type="cellIs" dxfId="490" priority="512" operator="equal">
      <formula>"Thu"</formula>
    </cfRule>
    <cfRule type="containsText" dxfId="489" priority="513" operator="containsText" text="Wed">
      <formula>NOT(ISERROR(SEARCH("Wed",D157)))</formula>
    </cfRule>
    <cfRule type="cellIs" dxfId="488" priority="514" operator="equal">
      <formula>"Tue"</formula>
    </cfRule>
    <cfRule type="containsText" dxfId="487" priority="515" operator="containsText" text="Mon">
      <formula>NOT(ISERROR(SEARCH("Mon",D157)))</formula>
    </cfRule>
  </conditionalFormatting>
  <conditionalFormatting sqref="D162">
    <cfRule type="cellIs" dxfId="486" priority="506" operator="equal">
      <formula>"Fri"</formula>
    </cfRule>
    <cfRule type="cellIs" dxfId="485" priority="507" operator="equal">
      <formula>"Thu"</formula>
    </cfRule>
    <cfRule type="containsText" dxfId="484" priority="508" operator="containsText" text="Wed">
      <formula>NOT(ISERROR(SEARCH("Wed",D162)))</formula>
    </cfRule>
    <cfRule type="cellIs" dxfId="483" priority="509" operator="equal">
      <formula>"Tue"</formula>
    </cfRule>
    <cfRule type="containsText" dxfId="482" priority="510" operator="containsText" text="Mon">
      <formula>NOT(ISERROR(SEARCH("Mon",D162)))</formula>
    </cfRule>
  </conditionalFormatting>
  <conditionalFormatting sqref="D163">
    <cfRule type="cellIs" dxfId="481" priority="501" operator="equal">
      <formula>"Fri"</formula>
    </cfRule>
    <cfRule type="cellIs" dxfId="480" priority="502" operator="equal">
      <formula>"Thu"</formula>
    </cfRule>
    <cfRule type="containsText" dxfId="479" priority="503" operator="containsText" text="Wed">
      <formula>NOT(ISERROR(SEARCH("Wed",D163)))</formula>
    </cfRule>
    <cfRule type="cellIs" dxfId="478" priority="504" operator="equal">
      <formula>"Tue"</formula>
    </cfRule>
    <cfRule type="containsText" dxfId="477" priority="505" operator="containsText" text="Mon">
      <formula>NOT(ISERROR(SEARCH("Mon",D163)))</formula>
    </cfRule>
  </conditionalFormatting>
  <conditionalFormatting sqref="D164">
    <cfRule type="cellIs" dxfId="476" priority="496" operator="equal">
      <formula>"Fri"</formula>
    </cfRule>
    <cfRule type="cellIs" dxfId="475" priority="497" operator="equal">
      <formula>"Thu"</formula>
    </cfRule>
    <cfRule type="containsText" dxfId="474" priority="498" operator="containsText" text="Wed">
      <formula>NOT(ISERROR(SEARCH("Wed",D164)))</formula>
    </cfRule>
    <cfRule type="cellIs" dxfId="473" priority="499" operator="equal">
      <formula>"Tue"</formula>
    </cfRule>
    <cfRule type="containsText" dxfId="472" priority="500" operator="containsText" text="Mon">
      <formula>NOT(ISERROR(SEARCH("Mon",D164)))</formula>
    </cfRule>
  </conditionalFormatting>
  <conditionalFormatting sqref="D151">
    <cfRule type="cellIs" dxfId="471" priority="491" operator="equal">
      <formula>"Fri"</formula>
    </cfRule>
    <cfRule type="cellIs" dxfId="470" priority="492" operator="equal">
      <formula>"Thu"</formula>
    </cfRule>
    <cfRule type="containsText" dxfId="469" priority="493" operator="containsText" text="Wed">
      <formula>NOT(ISERROR(SEARCH("Wed",D151)))</formula>
    </cfRule>
    <cfRule type="cellIs" dxfId="468" priority="494" operator="equal">
      <formula>"Tue"</formula>
    </cfRule>
    <cfRule type="containsText" dxfId="467" priority="495" operator="containsText" text="Mon">
      <formula>NOT(ISERROR(SEARCH("Mon",D151)))</formula>
    </cfRule>
  </conditionalFormatting>
  <conditionalFormatting sqref="D152">
    <cfRule type="cellIs" dxfId="466" priority="486" operator="equal">
      <formula>"Fri"</formula>
    </cfRule>
    <cfRule type="cellIs" dxfId="465" priority="487" operator="equal">
      <formula>"Thu"</formula>
    </cfRule>
    <cfRule type="containsText" dxfId="464" priority="488" operator="containsText" text="Wed">
      <formula>NOT(ISERROR(SEARCH("Wed",D152)))</formula>
    </cfRule>
    <cfRule type="cellIs" dxfId="463" priority="489" operator="equal">
      <formula>"Tue"</formula>
    </cfRule>
    <cfRule type="containsText" dxfId="462" priority="490" operator="containsText" text="Mon">
      <formula>NOT(ISERROR(SEARCH("Mon",D152)))</formula>
    </cfRule>
  </conditionalFormatting>
  <conditionalFormatting sqref="D158">
    <cfRule type="cellIs" dxfId="461" priority="481" operator="equal">
      <formula>"Fri"</formula>
    </cfRule>
    <cfRule type="cellIs" dxfId="460" priority="482" operator="equal">
      <formula>"Thu"</formula>
    </cfRule>
    <cfRule type="containsText" dxfId="459" priority="483" operator="containsText" text="Wed">
      <formula>NOT(ISERROR(SEARCH("Wed",D158)))</formula>
    </cfRule>
    <cfRule type="cellIs" dxfId="458" priority="484" operator="equal">
      <formula>"Tue"</formula>
    </cfRule>
    <cfRule type="containsText" dxfId="457" priority="485" operator="containsText" text="Mon">
      <formula>NOT(ISERROR(SEARCH("Mon",D158)))</formula>
    </cfRule>
  </conditionalFormatting>
  <conditionalFormatting sqref="D161">
    <cfRule type="cellIs" dxfId="456" priority="476" operator="equal">
      <formula>"Fri"</formula>
    </cfRule>
    <cfRule type="cellIs" dxfId="455" priority="477" operator="equal">
      <formula>"Thu"</formula>
    </cfRule>
    <cfRule type="containsText" dxfId="454" priority="478" operator="containsText" text="Wed">
      <formula>NOT(ISERROR(SEARCH("Wed",D161)))</formula>
    </cfRule>
    <cfRule type="cellIs" dxfId="453" priority="479" operator="equal">
      <formula>"Tue"</formula>
    </cfRule>
    <cfRule type="containsText" dxfId="452" priority="480" operator="containsText" text="Mon">
      <formula>NOT(ISERROR(SEARCH("Mon",D161)))</formula>
    </cfRule>
  </conditionalFormatting>
  <conditionalFormatting sqref="D159">
    <cfRule type="cellIs" dxfId="451" priority="471" operator="equal">
      <formula>"Fri"</formula>
    </cfRule>
    <cfRule type="cellIs" dxfId="450" priority="472" operator="equal">
      <formula>"Thu"</formula>
    </cfRule>
    <cfRule type="containsText" dxfId="449" priority="473" operator="containsText" text="Wed">
      <formula>NOT(ISERROR(SEARCH("Wed",D159)))</formula>
    </cfRule>
    <cfRule type="cellIs" dxfId="448" priority="474" operator="equal">
      <formula>"Tue"</formula>
    </cfRule>
    <cfRule type="containsText" dxfId="447" priority="475" operator="containsText" text="Mon">
      <formula>NOT(ISERROR(SEARCH("Mon",D159)))</formula>
    </cfRule>
  </conditionalFormatting>
  <conditionalFormatting sqref="D153">
    <cfRule type="cellIs" dxfId="446" priority="466" operator="equal">
      <formula>"Fri"</formula>
    </cfRule>
    <cfRule type="cellIs" dxfId="445" priority="467" operator="equal">
      <formula>"Thu"</formula>
    </cfRule>
    <cfRule type="containsText" dxfId="444" priority="468" operator="containsText" text="Wed">
      <formula>NOT(ISERROR(SEARCH("Wed",D153)))</formula>
    </cfRule>
    <cfRule type="cellIs" dxfId="443" priority="469" operator="equal">
      <formula>"Tue"</formula>
    </cfRule>
    <cfRule type="containsText" dxfId="442" priority="470" operator="containsText" text="Mon">
      <formula>NOT(ISERROR(SEARCH("Mon",D153)))</formula>
    </cfRule>
  </conditionalFormatting>
  <conditionalFormatting sqref="D165">
    <cfRule type="cellIs" dxfId="441" priority="461" operator="equal">
      <formula>"Fri"</formula>
    </cfRule>
    <cfRule type="cellIs" dxfId="440" priority="462" operator="equal">
      <formula>"Thu"</formula>
    </cfRule>
    <cfRule type="containsText" dxfId="439" priority="463" operator="containsText" text="Wed">
      <formula>NOT(ISERROR(SEARCH("Wed",D165)))</formula>
    </cfRule>
    <cfRule type="cellIs" dxfId="438" priority="464" operator="equal">
      <formula>"Tue"</formula>
    </cfRule>
    <cfRule type="containsText" dxfId="437" priority="465" operator="containsText" text="Mon">
      <formula>NOT(ISERROR(SEARCH("Mon",D165)))</formula>
    </cfRule>
  </conditionalFormatting>
  <conditionalFormatting sqref="D149">
    <cfRule type="cellIs" dxfId="436" priority="456" operator="equal">
      <formula>"Fri"</formula>
    </cfRule>
    <cfRule type="cellIs" dxfId="435" priority="457" operator="equal">
      <formula>"Thu"</formula>
    </cfRule>
    <cfRule type="containsText" dxfId="434" priority="458" operator="containsText" text="Wed">
      <formula>NOT(ISERROR(SEARCH("Wed",D149)))</formula>
    </cfRule>
    <cfRule type="cellIs" dxfId="433" priority="459" operator="equal">
      <formula>"Tue"</formula>
    </cfRule>
    <cfRule type="containsText" dxfId="432" priority="460" operator="containsText" text="Mon">
      <formula>NOT(ISERROR(SEARCH("Mon",D149)))</formula>
    </cfRule>
  </conditionalFormatting>
  <conditionalFormatting sqref="D160">
    <cfRule type="cellIs" dxfId="431" priority="451" operator="equal">
      <formula>"Fri"</formula>
    </cfRule>
    <cfRule type="cellIs" dxfId="430" priority="452" operator="equal">
      <formula>"Thu"</formula>
    </cfRule>
    <cfRule type="containsText" dxfId="429" priority="453" operator="containsText" text="Wed">
      <formula>NOT(ISERROR(SEARCH("Wed",D160)))</formula>
    </cfRule>
    <cfRule type="cellIs" dxfId="428" priority="454" operator="equal">
      <formula>"Tue"</formula>
    </cfRule>
    <cfRule type="containsText" dxfId="427" priority="455" operator="containsText" text="Mon">
      <formula>NOT(ISERROR(SEARCH("Mon",D160)))</formula>
    </cfRule>
  </conditionalFormatting>
  <conditionalFormatting sqref="D166">
    <cfRule type="cellIs" dxfId="426" priority="446" operator="equal">
      <formula>"Fri"</formula>
    </cfRule>
    <cfRule type="cellIs" dxfId="425" priority="447" operator="equal">
      <formula>"Thu"</formula>
    </cfRule>
    <cfRule type="containsText" dxfId="424" priority="448" operator="containsText" text="Wed">
      <formula>NOT(ISERROR(SEARCH("Wed",D166)))</formula>
    </cfRule>
    <cfRule type="cellIs" dxfId="423" priority="449" operator="equal">
      <formula>"Tue"</formula>
    </cfRule>
    <cfRule type="containsText" dxfId="422" priority="450" operator="containsText" text="Mon">
      <formula>NOT(ISERROR(SEARCH("Mon",D166)))</formula>
    </cfRule>
  </conditionalFormatting>
  <conditionalFormatting sqref="D167">
    <cfRule type="cellIs" dxfId="421" priority="441" operator="equal">
      <formula>"Fri"</formula>
    </cfRule>
    <cfRule type="cellIs" dxfId="420" priority="442" operator="equal">
      <formula>"Thu"</formula>
    </cfRule>
    <cfRule type="containsText" dxfId="419" priority="443" operator="containsText" text="Wed">
      <formula>NOT(ISERROR(SEARCH("Wed",D167)))</formula>
    </cfRule>
    <cfRule type="cellIs" dxfId="418" priority="444" operator="equal">
      <formula>"Tue"</formula>
    </cfRule>
    <cfRule type="containsText" dxfId="417" priority="445" operator="containsText" text="Mon">
      <formula>NOT(ISERROR(SEARCH("Mon",D167)))</formula>
    </cfRule>
  </conditionalFormatting>
  <conditionalFormatting sqref="D168">
    <cfRule type="cellIs" dxfId="416" priority="436" operator="equal">
      <formula>"Fri"</formula>
    </cfRule>
    <cfRule type="cellIs" dxfId="415" priority="437" operator="equal">
      <formula>"Thu"</formula>
    </cfRule>
    <cfRule type="containsText" dxfId="414" priority="438" operator="containsText" text="Wed">
      <formula>NOT(ISERROR(SEARCH("Wed",D168)))</formula>
    </cfRule>
    <cfRule type="cellIs" dxfId="413" priority="439" operator="equal">
      <formula>"Tue"</formula>
    </cfRule>
    <cfRule type="containsText" dxfId="412" priority="440" operator="containsText" text="Mon">
      <formula>NOT(ISERROR(SEARCH("Mon",D168)))</formula>
    </cfRule>
  </conditionalFormatting>
  <conditionalFormatting sqref="D154">
    <cfRule type="cellIs" dxfId="411" priority="431" operator="equal">
      <formula>"Fri"</formula>
    </cfRule>
    <cfRule type="cellIs" dxfId="410" priority="432" operator="equal">
      <formula>"Thu"</formula>
    </cfRule>
    <cfRule type="containsText" dxfId="409" priority="433" operator="containsText" text="Wed">
      <formula>NOT(ISERROR(SEARCH("Wed",D154)))</formula>
    </cfRule>
    <cfRule type="cellIs" dxfId="408" priority="434" operator="equal">
      <formula>"Tue"</formula>
    </cfRule>
    <cfRule type="containsText" dxfId="407" priority="435" operator="containsText" text="Mon">
      <formula>NOT(ISERROR(SEARCH("Mon",D154)))</formula>
    </cfRule>
  </conditionalFormatting>
  <conditionalFormatting sqref="D155">
    <cfRule type="cellIs" dxfId="406" priority="426" operator="equal">
      <formula>"Fri"</formula>
    </cfRule>
    <cfRule type="cellIs" dxfId="405" priority="427" operator="equal">
      <formula>"Thu"</formula>
    </cfRule>
    <cfRule type="containsText" dxfId="404" priority="428" operator="containsText" text="Wed">
      <formula>NOT(ISERROR(SEARCH("Wed",D155)))</formula>
    </cfRule>
    <cfRule type="cellIs" dxfId="403" priority="429" operator="equal">
      <formula>"Tue"</formula>
    </cfRule>
    <cfRule type="containsText" dxfId="402" priority="430" operator="containsText" text="Mon">
      <formula>NOT(ISERROR(SEARCH("Mon",D155)))</formula>
    </cfRule>
  </conditionalFormatting>
  <conditionalFormatting sqref="D169">
    <cfRule type="cellIs" dxfId="401" priority="421" operator="equal">
      <formula>"Fri"</formula>
    </cfRule>
    <cfRule type="cellIs" dxfId="400" priority="422" operator="equal">
      <formula>"Thu"</formula>
    </cfRule>
    <cfRule type="containsText" dxfId="399" priority="423" operator="containsText" text="Wed">
      <formula>NOT(ISERROR(SEARCH("Wed",D169)))</formula>
    </cfRule>
    <cfRule type="cellIs" dxfId="398" priority="424" operator="equal">
      <formula>"Tue"</formula>
    </cfRule>
    <cfRule type="containsText" dxfId="397" priority="425" operator="containsText" text="Mon">
      <formula>NOT(ISERROR(SEARCH("Mon",D169)))</formula>
    </cfRule>
  </conditionalFormatting>
  <conditionalFormatting sqref="D170">
    <cfRule type="cellIs" dxfId="396" priority="416" operator="equal">
      <formula>"Fri"</formula>
    </cfRule>
    <cfRule type="cellIs" dxfId="395" priority="417" operator="equal">
      <formula>"Thu"</formula>
    </cfRule>
    <cfRule type="containsText" dxfId="394" priority="418" operator="containsText" text="Wed">
      <formula>NOT(ISERROR(SEARCH("Wed",D170)))</formula>
    </cfRule>
    <cfRule type="cellIs" dxfId="393" priority="419" operator="equal">
      <formula>"Tue"</formula>
    </cfRule>
    <cfRule type="containsText" dxfId="392" priority="420" operator="containsText" text="Mon">
      <formula>NOT(ISERROR(SEARCH("Mon",D170)))</formula>
    </cfRule>
  </conditionalFormatting>
  <conditionalFormatting sqref="D171">
    <cfRule type="cellIs" dxfId="391" priority="411" operator="equal">
      <formula>"Fri"</formula>
    </cfRule>
    <cfRule type="cellIs" dxfId="390" priority="412" operator="equal">
      <formula>"Thu"</formula>
    </cfRule>
    <cfRule type="containsText" dxfId="389" priority="413" operator="containsText" text="Wed">
      <formula>NOT(ISERROR(SEARCH("Wed",D171)))</formula>
    </cfRule>
    <cfRule type="cellIs" dxfId="388" priority="414" operator="equal">
      <formula>"Tue"</formula>
    </cfRule>
    <cfRule type="containsText" dxfId="387" priority="415" operator="containsText" text="Mon">
      <formula>NOT(ISERROR(SEARCH("Mon",D171)))</formula>
    </cfRule>
  </conditionalFormatting>
  <conditionalFormatting sqref="D172">
    <cfRule type="cellIs" dxfId="386" priority="406" operator="equal">
      <formula>"Fri"</formula>
    </cfRule>
    <cfRule type="cellIs" dxfId="385" priority="407" operator="equal">
      <formula>"Thu"</formula>
    </cfRule>
    <cfRule type="containsText" dxfId="384" priority="408" operator="containsText" text="Wed">
      <formula>NOT(ISERROR(SEARCH("Wed",D172)))</formula>
    </cfRule>
    <cfRule type="cellIs" dxfId="383" priority="409" operator="equal">
      <formula>"Tue"</formula>
    </cfRule>
    <cfRule type="containsText" dxfId="382" priority="410" operator="containsText" text="Mon">
      <formula>NOT(ISERROR(SEARCH("Mon",D172)))</formula>
    </cfRule>
  </conditionalFormatting>
  <conditionalFormatting sqref="D173">
    <cfRule type="cellIs" dxfId="381" priority="401" operator="equal">
      <formula>"Fri"</formula>
    </cfRule>
    <cfRule type="cellIs" dxfId="380" priority="402" operator="equal">
      <formula>"Thu"</formula>
    </cfRule>
    <cfRule type="containsText" dxfId="379" priority="403" operator="containsText" text="Wed">
      <formula>NOT(ISERROR(SEARCH("Wed",D173)))</formula>
    </cfRule>
    <cfRule type="cellIs" dxfId="378" priority="404" operator="equal">
      <formula>"Tue"</formula>
    </cfRule>
    <cfRule type="containsText" dxfId="377" priority="405" operator="containsText" text="Mon">
      <formula>NOT(ISERROR(SEARCH("Mon",D173)))</formula>
    </cfRule>
  </conditionalFormatting>
  <conditionalFormatting sqref="D174">
    <cfRule type="cellIs" dxfId="376" priority="396" operator="equal">
      <formula>"Fri"</formula>
    </cfRule>
    <cfRule type="cellIs" dxfId="375" priority="397" operator="equal">
      <formula>"Thu"</formula>
    </cfRule>
    <cfRule type="containsText" dxfId="374" priority="398" operator="containsText" text="Wed">
      <formula>NOT(ISERROR(SEARCH("Wed",D174)))</formula>
    </cfRule>
    <cfRule type="cellIs" dxfId="373" priority="399" operator="equal">
      <formula>"Tue"</formula>
    </cfRule>
    <cfRule type="containsText" dxfId="372" priority="400" operator="containsText" text="Mon">
      <formula>NOT(ISERROR(SEARCH("Mon",D174)))</formula>
    </cfRule>
  </conditionalFormatting>
  <conditionalFormatting sqref="D175">
    <cfRule type="cellIs" dxfId="371" priority="391" operator="equal">
      <formula>"Fri"</formula>
    </cfRule>
    <cfRule type="cellIs" dxfId="370" priority="392" operator="equal">
      <formula>"Thu"</formula>
    </cfRule>
    <cfRule type="containsText" dxfId="369" priority="393" operator="containsText" text="Wed">
      <formula>NOT(ISERROR(SEARCH("Wed",D175)))</formula>
    </cfRule>
    <cfRule type="cellIs" dxfId="368" priority="394" operator="equal">
      <formula>"Tue"</formula>
    </cfRule>
    <cfRule type="containsText" dxfId="367" priority="395" operator="containsText" text="Mon">
      <formula>NOT(ISERROR(SEARCH("Mon",D175)))</formula>
    </cfRule>
  </conditionalFormatting>
  <conditionalFormatting sqref="D176">
    <cfRule type="cellIs" dxfId="366" priority="386" operator="equal">
      <formula>"Fri"</formula>
    </cfRule>
    <cfRule type="cellIs" dxfId="365" priority="387" operator="equal">
      <formula>"Thu"</formula>
    </cfRule>
    <cfRule type="containsText" dxfId="364" priority="388" operator="containsText" text="Wed">
      <formula>NOT(ISERROR(SEARCH("Wed",D176)))</formula>
    </cfRule>
    <cfRule type="cellIs" dxfId="363" priority="389" operator="equal">
      <formula>"Tue"</formula>
    </cfRule>
    <cfRule type="containsText" dxfId="362" priority="390" operator="containsText" text="Mon">
      <formula>NOT(ISERROR(SEARCH("Mon",D176)))</formula>
    </cfRule>
  </conditionalFormatting>
  <conditionalFormatting sqref="D177">
    <cfRule type="cellIs" dxfId="361" priority="381" operator="equal">
      <formula>"Fri"</formula>
    </cfRule>
    <cfRule type="cellIs" dxfId="360" priority="382" operator="equal">
      <formula>"Thu"</formula>
    </cfRule>
    <cfRule type="containsText" dxfId="359" priority="383" operator="containsText" text="Wed">
      <formula>NOT(ISERROR(SEARCH("Wed",D177)))</formula>
    </cfRule>
    <cfRule type="cellIs" dxfId="358" priority="384" operator="equal">
      <formula>"Tue"</formula>
    </cfRule>
    <cfRule type="containsText" dxfId="357" priority="385" operator="containsText" text="Mon">
      <formula>NOT(ISERROR(SEARCH("Mon",D177)))</formula>
    </cfRule>
  </conditionalFormatting>
  <conditionalFormatting sqref="D178">
    <cfRule type="cellIs" dxfId="356" priority="376" operator="equal">
      <formula>"Fri"</formula>
    </cfRule>
    <cfRule type="cellIs" dxfId="355" priority="377" operator="equal">
      <formula>"Thu"</formula>
    </cfRule>
    <cfRule type="containsText" dxfId="354" priority="378" operator="containsText" text="Wed">
      <formula>NOT(ISERROR(SEARCH("Wed",D178)))</formula>
    </cfRule>
    <cfRule type="cellIs" dxfId="353" priority="379" operator="equal">
      <formula>"Tue"</formula>
    </cfRule>
    <cfRule type="containsText" dxfId="352" priority="380" operator="containsText" text="Mon">
      <formula>NOT(ISERROR(SEARCH("Mon",D178)))</formula>
    </cfRule>
  </conditionalFormatting>
  <conditionalFormatting sqref="D179">
    <cfRule type="cellIs" dxfId="351" priority="371" operator="equal">
      <formula>"Fri"</formula>
    </cfRule>
    <cfRule type="cellIs" dxfId="350" priority="372" operator="equal">
      <formula>"Thu"</formula>
    </cfRule>
    <cfRule type="containsText" dxfId="349" priority="373" operator="containsText" text="Wed">
      <formula>NOT(ISERROR(SEARCH("Wed",D179)))</formula>
    </cfRule>
    <cfRule type="cellIs" dxfId="348" priority="374" operator="equal">
      <formula>"Tue"</formula>
    </cfRule>
    <cfRule type="containsText" dxfId="347" priority="375" operator="containsText" text="Mon">
      <formula>NOT(ISERROR(SEARCH("Mon",D179)))</formula>
    </cfRule>
  </conditionalFormatting>
  <conditionalFormatting sqref="D181">
    <cfRule type="cellIs" dxfId="346" priority="366" operator="equal">
      <formula>"Fri"</formula>
    </cfRule>
    <cfRule type="cellIs" dxfId="345" priority="367" operator="equal">
      <formula>"Thu"</formula>
    </cfRule>
    <cfRule type="containsText" dxfId="344" priority="368" operator="containsText" text="Wed">
      <formula>NOT(ISERROR(SEARCH("Wed",D181)))</formula>
    </cfRule>
    <cfRule type="cellIs" dxfId="343" priority="369" operator="equal">
      <formula>"Tue"</formula>
    </cfRule>
    <cfRule type="containsText" dxfId="342" priority="370" operator="containsText" text="Mon">
      <formula>NOT(ISERROR(SEARCH("Mon",D181)))</formula>
    </cfRule>
  </conditionalFormatting>
  <conditionalFormatting sqref="D180">
    <cfRule type="cellIs" dxfId="341" priority="361" operator="equal">
      <formula>"Fri"</formula>
    </cfRule>
    <cfRule type="cellIs" dxfId="340" priority="362" operator="equal">
      <formula>"Thu"</formula>
    </cfRule>
    <cfRule type="containsText" dxfId="339" priority="363" operator="containsText" text="Wed">
      <formula>NOT(ISERROR(SEARCH("Wed",D180)))</formula>
    </cfRule>
    <cfRule type="cellIs" dxfId="338" priority="364" operator="equal">
      <formula>"Tue"</formula>
    </cfRule>
    <cfRule type="containsText" dxfId="337" priority="365" operator="containsText" text="Mon">
      <formula>NOT(ISERROR(SEARCH("Mon",D180)))</formula>
    </cfRule>
  </conditionalFormatting>
  <conditionalFormatting sqref="D182:D184">
    <cfRule type="cellIs" dxfId="336" priority="356" operator="equal">
      <formula>"Fri"</formula>
    </cfRule>
    <cfRule type="cellIs" dxfId="335" priority="357" operator="equal">
      <formula>"Thu"</formula>
    </cfRule>
    <cfRule type="containsText" dxfId="334" priority="358" operator="containsText" text="Wed">
      <formula>NOT(ISERROR(SEARCH("Wed",D182)))</formula>
    </cfRule>
    <cfRule type="cellIs" dxfId="333" priority="359" operator="equal">
      <formula>"Tue"</formula>
    </cfRule>
    <cfRule type="containsText" dxfId="332" priority="360" operator="containsText" text="Mon">
      <formula>NOT(ISERROR(SEARCH("Mon",D182)))</formula>
    </cfRule>
  </conditionalFormatting>
  <conditionalFormatting sqref="D185">
    <cfRule type="cellIs" dxfId="331" priority="351" operator="equal">
      <formula>"Fri"</formula>
    </cfRule>
    <cfRule type="cellIs" dxfId="330" priority="352" operator="equal">
      <formula>"Thu"</formula>
    </cfRule>
    <cfRule type="containsText" dxfId="329" priority="353" operator="containsText" text="Wed">
      <formula>NOT(ISERROR(SEARCH("Wed",D185)))</formula>
    </cfRule>
    <cfRule type="cellIs" dxfId="328" priority="354" operator="equal">
      <formula>"Tue"</formula>
    </cfRule>
    <cfRule type="containsText" dxfId="327" priority="355" operator="containsText" text="Mon">
      <formula>NOT(ISERROR(SEARCH("Mon",D185)))</formula>
    </cfRule>
  </conditionalFormatting>
  <conditionalFormatting sqref="D186">
    <cfRule type="cellIs" dxfId="326" priority="346" operator="equal">
      <formula>"Fri"</formula>
    </cfRule>
    <cfRule type="cellIs" dxfId="325" priority="347" operator="equal">
      <formula>"Thu"</formula>
    </cfRule>
    <cfRule type="containsText" dxfId="324" priority="348" operator="containsText" text="Wed">
      <formula>NOT(ISERROR(SEARCH("Wed",D186)))</formula>
    </cfRule>
    <cfRule type="cellIs" dxfId="323" priority="349" operator="equal">
      <formula>"Tue"</formula>
    </cfRule>
    <cfRule type="containsText" dxfId="322" priority="350" operator="containsText" text="Mon">
      <formula>NOT(ISERROR(SEARCH("Mon",D186)))</formula>
    </cfRule>
  </conditionalFormatting>
  <conditionalFormatting sqref="D187">
    <cfRule type="cellIs" dxfId="321" priority="341" operator="equal">
      <formula>"Fri"</formula>
    </cfRule>
    <cfRule type="cellIs" dxfId="320" priority="342" operator="equal">
      <formula>"Thu"</formula>
    </cfRule>
    <cfRule type="containsText" dxfId="319" priority="343" operator="containsText" text="Wed">
      <formula>NOT(ISERROR(SEARCH("Wed",D187)))</formula>
    </cfRule>
    <cfRule type="cellIs" dxfId="318" priority="344" operator="equal">
      <formula>"Tue"</formula>
    </cfRule>
    <cfRule type="containsText" dxfId="317" priority="345" operator="containsText" text="Mon">
      <formula>NOT(ISERROR(SEARCH("Mon",D187)))</formula>
    </cfRule>
  </conditionalFormatting>
  <conditionalFormatting sqref="D188">
    <cfRule type="cellIs" dxfId="316" priority="336" operator="equal">
      <formula>"Fri"</formula>
    </cfRule>
    <cfRule type="cellIs" dxfId="315" priority="337" operator="equal">
      <formula>"Thu"</formula>
    </cfRule>
    <cfRule type="containsText" dxfId="314" priority="338" operator="containsText" text="Wed">
      <formula>NOT(ISERROR(SEARCH("Wed",D188)))</formula>
    </cfRule>
    <cfRule type="cellIs" dxfId="313" priority="339" operator="equal">
      <formula>"Tue"</formula>
    </cfRule>
    <cfRule type="containsText" dxfId="312" priority="340" operator="containsText" text="Mon">
      <formula>NOT(ISERROR(SEARCH("Mon",D188)))</formula>
    </cfRule>
  </conditionalFormatting>
  <conditionalFormatting sqref="D189">
    <cfRule type="cellIs" dxfId="311" priority="331" operator="equal">
      <formula>"Fri"</formula>
    </cfRule>
    <cfRule type="cellIs" dxfId="310" priority="332" operator="equal">
      <formula>"Thu"</formula>
    </cfRule>
    <cfRule type="containsText" dxfId="309" priority="333" operator="containsText" text="Wed">
      <formula>NOT(ISERROR(SEARCH("Wed",D189)))</formula>
    </cfRule>
    <cfRule type="cellIs" dxfId="308" priority="334" operator="equal">
      <formula>"Tue"</formula>
    </cfRule>
    <cfRule type="containsText" dxfId="307" priority="335" operator="containsText" text="Mon">
      <formula>NOT(ISERROR(SEARCH("Mon",D189)))</formula>
    </cfRule>
  </conditionalFormatting>
  <conditionalFormatting sqref="D190">
    <cfRule type="cellIs" dxfId="306" priority="326" operator="equal">
      <formula>"Fri"</formula>
    </cfRule>
    <cfRule type="cellIs" dxfId="305" priority="327" operator="equal">
      <formula>"Thu"</formula>
    </cfRule>
    <cfRule type="containsText" dxfId="304" priority="328" operator="containsText" text="Wed">
      <formula>NOT(ISERROR(SEARCH("Wed",D190)))</formula>
    </cfRule>
    <cfRule type="cellIs" dxfId="303" priority="329" operator="equal">
      <formula>"Tue"</formula>
    </cfRule>
    <cfRule type="containsText" dxfId="302" priority="330" operator="containsText" text="Mon">
      <formula>NOT(ISERROR(SEARCH("Mon",D190)))</formula>
    </cfRule>
  </conditionalFormatting>
  <conditionalFormatting sqref="D193">
    <cfRule type="cellIs" dxfId="301" priority="321" operator="equal">
      <formula>"Fri"</formula>
    </cfRule>
    <cfRule type="cellIs" dxfId="300" priority="322" operator="equal">
      <formula>"Thu"</formula>
    </cfRule>
    <cfRule type="containsText" dxfId="299" priority="323" operator="containsText" text="Wed">
      <formula>NOT(ISERROR(SEARCH("Wed",D193)))</formula>
    </cfRule>
    <cfRule type="cellIs" dxfId="298" priority="324" operator="equal">
      <formula>"Tue"</formula>
    </cfRule>
    <cfRule type="containsText" dxfId="297" priority="325" operator="containsText" text="Mon">
      <formula>NOT(ISERROR(SEARCH("Mon",D193)))</formula>
    </cfRule>
  </conditionalFormatting>
  <conditionalFormatting sqref="D191">
    <cfRule type="cellIs" dxfId="296" priority="316" operator="equal">
      <formula>"Fri"</formula>
    </cfRule>
    <cfRule type="cellIs" dxfId="295" priority="317" operator="equal">
      <formula>"Thu"</formula>
    </cfRule>
    <cfRule type="containsText" dxfId="294" priority="318" operator="containsText" text="Wed">
      <formula>NOT(ISERROR(SEARCH("Wed",D191)))</formula>
    </cfRule>
    <cfRule type="cellIs" dxfId="293" priority="319" operator="equal">
      <formula>"Tue"</formula>
    </cfRule>
    <cfRule type="containsText" dxfId="292" priority="320" operator="containsText" text="Mon">
      <formula>NOT(ISERROR(SEARCH("Mon",D191)))</formula>
    </cfRule>
  </conditionalFormatting>
  <conditionalFormatting sqref="D198">
    <cfRule type="cellIs" dxfId="291" priority="306" operator="equal">
      <formula>"Fri"</formula>
    </cfRule>
    <cfRule type="cellIs" dxfId="290" priority="307" operator="equal">
      <formula>"Thu"</formula>
    </cfRule>
    <cfRule type="containsText" dxfId="289" priority="308" operator="containsText" text="Wed">
      <formula>NOT(ISERROR(SEARCH("Wed",D198)))</formula>
    </cfRule>
    <cfRule type="cellIs" dxfId="288" priority="309" operator="equal">
      <formula>"Tue"</formula>
    </cfRule>
    <cfRule type="containsText" dxfId="287" priority="310" operator="containsText" text="Mon">
      <formula>NOT(ISERROR(SEARCH("Mon",D198)))</formula>
    </cfRule>
  </conditionalFormatting>
  <conditionalFormatting sqref="D202">
    <cfRule type="cellIs" dxfId="286" priority="296" operator="equal">
      <formula>"Fri"</formula>
    </cfRule>
    <cfRule type="cellIs" dxfId="285" priority="297" operator="equal">
      <formula>"Thu"</formula>
    </cfRule>
    <cfRule type="containsText" dxfId="284" priority="298" operator="containsText" text="Wed">
      <formula>NOT(ISERROR(SEARCH("Wed",D202)))</formula>
    </cfRule>
    <cfRule type="cellIs" dxfId="283" priority="299" operator="equal">
      <formula>"Tue"</formula>
    </cfRule>
    <cfRule type="containsText" dxfId="282" priority="300" operator="containsText" text="Mon">
      <formula>NOT(ISERROR(SEARCH("Mon",D202)))</formula>
    </cfRule>
  </conditionalFormatting>
  <conditionalFormatting sqref="D192">
    <cfRule type="cellIs" dxfId="281" priority="286" operator="equal">
      <formula>"Fri"</formula>
    </cfRule>
    <cfRule type="cellIs" dxfId="280" priority="287" operator="equal">
      <formula>"Thu"</formula>
    </cfRule>
    <cfRule type="containsText" dxfId="279" priority="288" operator="containsText" text="Wed">
      <formula>NOT(ISERROR(SEARCH("Wed",D192)))</formula>
    </cfRule>
    <cfRule type="cellIs" dxfId="278" priority="289" operator="equal">
      <formula>"Tue"</formula>
    </cfRule>
    <cfRule type="containsText" dxfId="277" priority="290" operator="containsText" text="Mon">
      <formula>NOT(ISERROR(SEARCH("Mon",D192)))</formula>
    </cfRule>
  </conditionalFormatting>
  <conditionalFormatting sqref="D197">
    <cfRule type="cellIs" dxfId="276" priority="281" operator="equal">
      <formula>"Fri"</formula>
    </cfRule>
    <cfRule type="cellIs" dxfId="275" priority="282" operator="equal">
      <formula>"Thu"</formula>
    </cfRule>
    <cfRule type="containsText" dxfId="274" priority="283" operator="containsText" text="Wed">
      <formula>NOT(ISERROR(SEARCH("Wed",D197)))</formula>
    </cfRule>
    <cfRule type="cellIs" dxfId="273" priority="284" operator="equal">
      <formula>"Tue"</formula>
    </cfRule>
    <cfRule type="containsText" dxfId="272" priority="285" operator="containsText" text="Mon">
      <formula>NOT(ISERROR(SEARCH("Mon",D197)))</formula>
    </cfRule>
  </conditionalFormatting>
  <conditionalFormatting sqref="D203">
    <cfRule type="cellIs" dxfId="271" priority="276" operator="equal">
      <formula>"Fri"</formula>
    </cfRule>
    <cfRule type="cellIs" dxfId="270" priority="277" operator="equal">
      <formula>"Thu"</formula>
    </cfRule>
    <cfRule type="containsText" dxfId="269" priority="278" operator="containsText" text="Wed">
      <formula>NOT(ISERROR(SEARCH("Wed",D203)))</formula>
    </cfRule>
    <cfRule type="cellIs" dxfId="268" priority="279" operator="equal">
      <formula>"Tue"</formula>
    </cfRule>
    <cfRule type="containsText" dxfId="267" priority="280" operator="containsText" text="Mon">
      <formula>NOT(ISERROR(SEARCH("Mon",D203)))</formula>
    </cfRule>
  </conditionalFormatting>
  <conditionalFormatting sqref="D204">
    <cfRule type="cellIs" dxfId="266" priority="266" operator="equal">
      <formula>"Fri"</formula>
    </cfRule>
    <cfRule type="cellIs" dxfId="265" priority="267" operator="equal">
      <formula>"Thu"</formula>
    </cfRule>
    <cfRule type="containsText" dxfId="264" priority="268" operator="containsText" text="Wed">
      <formula>NOT(ISERROR(SEARCH("Wed",D204)))</formula>
    </cfRule>
    <cfRule type="cellIs" dxfId="263" priority="269" operator="equal">
      <formula>"Tue"</formula>
    </cfRule>
    <cfRule type="containsText" dxfId="262" priority="270" operator="containsText" text="Mon">
      <formula>NOT(ISERROR(SEARCH("Mon",D204)))</formula>
    </cfRule>
  </conditionalFormatting>
  <conditionalFormatting sqref="D201">
    <cfRule type="cellIs" dxfId="261" priority="261" operator="equal">
      <formula>"Fri"</formula>
    </cfRule>
    <cfRule type="cellIs" dxfId="260" priority="262" operator="equal">
      <formula>"Thu"</formula>
    </cfRule>
    <cfRule type="containsText" dxfId="259" priority="263" operator="containsText" text="Wed">
      <formula>NOT(ISERROR(SEARCH("Wed",D201)))</formula>
    </cfRule>
    <cfRule type="cellIs" dxfId="258" priority="264" operator="equal">
      <formula>"Tue"</formula>
    </cfRule>
    <cfRule type="containsText" dxfId="257" priority="265" operator="containsText" text="Mon">
      <formula>NOT(ISERROR(SEARCH("Mon",D201)))</formula>
    </cfRule>
  </conditionalFormatting>
  <conditionalFormatting sqref="D205">
    <cfRule type="cellIs" dxfId="256" priority="256" operator="equal">
      <formula>"Fri"</formula>
    </cfRule>
    <cfRule type="cellIs" dxfId="255" priority="257" operator="equal">
      <formula>"Thu"</formula>
    </cfRule>
    <cfRule type="containsText" dxfId="254" priority="258" operator="containsText" text="Wed">
      <formula>NOT(ISERROR(SEARCH("Wed",D205)))</formula>
    </cfRule>
    <cfRule type="cellIs" dxfId="253" priority="259" operator="equal">
      <formula>"Tue"</formula>
    </cfRule>
    <cfRule type="containsText" dxfId="252" priority="260" operator="containsText" text="Mon">
      <formula>NOT(ISERROR(SEARCH("Mon",D205)))</formula>
    </cfRule>
  </conditionalFormatting>
  <conditionalFormatting sqref="D206">
    <cfRule type="cellIs" dxfId="251" priority="251" operator="equal">
      <formula>"Fri"</formula>
    </cfRule>
    <cfRule type="cellIs" dxfId="250" priority="252" operator="equal">
      <formula>"Thu"</formula>
    </cfRule>
    <cfRule type="containsText" dxfId="249" priority="253" operator="containsText" text="Wed">
      <formula>NOT(ISERROR(SEARCH("Wed",D206)))</formula>
    </cfRule>
    <cfRule type="cellIs" dxfId="248" priority="254" operator="equal">
      <formula>"Tue"</formula>
    </cfRule>
    <cfRule type="containsText" dxfId="247" priority="255" operator="containsText" text="Mon">
      <formula>NOT(ISERROR(SEARCH("Mon",D206)))</formula>
    </cfRule>
  </conditionalFormatting>
  <conditionalFormatting sqref="D207">
    <cfRule type="cellIs" dxfId="246" priority="246" operator="equal">
      <formula>"Fri"</formula>
    </cfRule>
    <cfRule type="cellIs" dxfId="245" priority="247" operator="equal">
      <formula>"Thu"</formula>
    </cfRule>
    <cfRule type="containsText" dxfId="244" priority="248" operator="containsText" text="Wed">
      <formula>NOT(ISERROR(SEARCH("Wed",D207)))</formula>
    </cfRule>
    <cfRule type="cellIs" dxfId="243" priority="249" operator="equal">
      <formula>"Tue"</formula>
    </cfRule>
    <cfRule type="containsText" dxfId="242" priority="250" operator="containsText" text="Mon">
      <formula>NOT(ISERROR(SEARCH("Mon",D207)))</formula>
    </cfRule>
  </conditionalFormatting>
  <conditionalFormatting sqref="D208">
    <cfRule type="cellIs" dxfId="241" priority="241" operator="equal">
      <formula>"Fri"</formula>
    </cfRule>
    <cfRule type="cellIs" dxfId="240" priority="242" operator="equal">
      <formula>"Thu"</formula>
    </cfRule>
    <cfRule type="containsText" dxfId="239" priority="243" operator="containsText" text="Wed">
      <formula>NOT(ISERROR(SEARCH("Wed",D208)))</formula>
    </cfRule>
    <cfRule type="cellIs" dxfId="238" priority="244" operator="equal">
      <formula>"Tue"</formula>
    </cfRule>
    <cfRule type="containsText" dxfId="237" priority="245" operator="containsText" text="Mon">
      <formula>NOT(ISERROR(SEARCH("Mon",D208)))</formula>
    </cfRule>
  </conditionalFormatting>
  <conditionalFormatting sqref="D194">
    <cfRule type="cellIs" dxfId="236" priority="231" operator="equal">
      <formula>"Fri"</formula>
    </cfRule>
    <cfRule type="cellIs" dxfId="235" priority="232" operator="equal">
      <formula>"Thu"</formula>
    </cfRule>
    <cfRule type="containsText" dxfId="234" priority="233" operator="containsText" text="Wed">
      <formula>NOT(ISERROR(SEARCH("Wed",D194)))</formula>
    </cfRule>
    <cfRule type="cellIs" dxfId="233" priority="234" operator="equal">
      <formula>"Tue"</formula>
    </cfRule>
    <cfRule type="containsText" dxfId="232" priority="235" operator="containsText" text="Mon">
      <formula>NOT(ISERROR(SEARCH("Mon",D194)))</formula>
    </cfRule>
  </conditionalFormatting>
  <conditionalFormatting sqref="D195">
    <cfRule type="cellIs" dxfId="231" priority="226" operator="equal">
      <formula>"Fri"</formula>
    </cfRule>
    <cfRule type="cellIs" dxfId="230" priority="227" operator="equal">
      <formula>"Thu"</formula>
    </cfRule>
    <cfRule type="containsText" dxfId="229" priority="228" operator="containsText" text="Wed">
      <formula>NOT(ISERROR(SEARCH("Wed",D195)))</formula>
    </cfRule>
    <cfRule type="cellIs" dxfId="228" priority="229" operator="equal">
      <formula>"Tue"</formula>
    </cfRule>
    <cfRule type="containsText" dxfId="227" priority="230" operator="containsText" text="Mon">
      <formula>NOT(ISERROR(SEARCH("Mon",D195)))</formula>
    </cfRule>
  </conditionalFormatting>
  <conditionalFormatting sqref="D196">
    <cfRule type="cellIs" dxfId="226" priority="221" operator="equal">
      <formula>"Fri"</formula>
    </cfRule>
    <cfRule type="cellIs" dxfId="225" priority="222" operator="equal">
      <formula>"Thu"</formula>
    </cfRule>
    <cfRule type="containsText" dxfId="224" priority="223" operator="containsText" text="Wed">
      <formula>NOT(ISERROR(SEARCH("Wed",D196)))</formula>
    </cfRule>
    <cfRule type="cellIs" dxfId="223" priority="224" operator="equal">
      <formula>"Tue"</formula>
    </cfRule>
    <cfRule type="containsText" dxfId="222" priority="225" operator="containsText" text="Mon">
      <formula>NOT(ISERROR(SEARCH("Mon",D196)))</formula>
    </cfRule>
  </conditionalFormatting>
  <conditionalFormatting sqref="D211">
    <cfRule type="cellIs" dxfId="221" priority="216" operator="equal">
      <formula>"Fri"</formula>
    </cfRule>
    <cfRule type="cellIs" dxfId="220" priority="217" operator="equal">
      <formula>"Thu"</formula>
    </cfRule>
    <cfRule type="containsText" dxfId="219" priority="218" operator="containsText" text="Wed">
      <formula>NOT(ISERROR(SEARCH("Wed",D211)))</formula>
    </cfRule>
    <cfRule type="cellIs" dxfId="218" priority="219" operator="equal">
      <formula>"Tue"</formula>
    </cfRule>
    <cfRule type="containsText" dxfId="217" priority="220" operator="containsText" text="Mon">
      <formula>NOT(ISERROR(SEARCH("Mon",D211)))</formula>
    </cfRule>
  </conditionalFormatting>
  <conditionalFormatting sqref="D212">
    <cfRule type="cellIs" dxfId="216" priority="211" operator="equal">
      <formula>"Fri"</formula>
    </cfRule>
    <cfRule type="cellIs" dxfId="215" priority="212" operator="equal">
      <formula>"Thu"</formula>
    </cfRule>
    <cfRule type="containsText" dxfId="214" priority="213" operator="containsText" text="Wed">
      <formula>NOT(ISERROR(SEARCH("Wed",D212)))</formula>
    </cfRule>
    <cfRule type="cellIs" dxfId="213" priority="214" operator="equal">
      <formula>"Tue"</formula>
    </cfRule>
    <cfRule type="containsText" dxfId="212" priority="215" operator="containsText" text="Mon">
      <formula>NOT(ISERROR(SEARCH("Mon",D212)))</formula>
    </cfRule>
  </conditionalFormatting>
  <conditionalFormatting sqref="D210">
    <cfRule type="cellIs" dxfId="211" priority="206" operator="equal">
      <formula>"Fri"</formula>
    </cfRule>
    <cfRule type="cellIs" dxfId="210" priority="207" operator="equal">
      <formula>"Thu"</formula>
    </cfRule>
    <cfRule type="containsText" dxfId="209" priority="208" operator="containsText" text="Wed">
      <formula>NOT(ISERROR(SEARCH("Wed",D210)))</formula>
    </cfRule>
    <cfRule type="cellIs" dxfId="208" priority="209" operator="equal">
      <formula>"Tue"</formula>
    </cfRule>
    <cfRule type="containsText" dxfId="207" priority="210" operator="containsText" text="Mon">
      <formula>NOT(ISERROR(SEARCH("Mon",D210)))</formula>
    </cfRule>
  </conditionalFormatting>
  <conditionalFormatting sqref="D200">
    <cfRule type="cellIs" dxfId="206" priority="191" operator="equal">
      <formula>"Fri"</formula>
    </cfRule>
    <cfRule type="cellIs" dxfId="205" priority="192" operator="equal">
      <formula>"Thu"</formula>
    </cfRule>
    <cfRule type="containsText" dxfId="204" priority="193" operator="containsText" text="Wed">
      <formula>NOT(ISERROR(SEARCH("Wed",D200)))</formula>
    </cfRule>
    <cfRule type="cellIs" dxfId="203" priority="194" operator="equal">
      <formula>"Tue"</formula>
    </cfRule>
    <cfRule type="containsText" dxfId="202" priority="195" operator="containsText" text="Mon">
      <formula>NOT(ISERROR(SEARCH("Mon",D200)))</formula>
    </cfRule>
  </conditionalFormatting>
  <conditionalFormatting sqref="D199">
    <cfRule type="cellIs" dxfId="201" priority="186" operator="equal">
      <formula>"Fri"</formula>
    </cfRule>
    <cfRule type="cellIs" dxfId="200" priority="187" operator="equal">
      <formula>"Thu"</formula>
    </cfRule>
    <cfRule type="containsText" dxfId="199" priority="188" operator="containsText" text="Wed">
      <formula>NOT(ISERROR(SEARCH("Wed",D199)))</formula>
    </cfRule>
    <cfRule type="cellIs" dxfId="198" priority="189" operator="equal">
      <formula>"Tue"</formula>
    </cfRule>
    <cfRule type="containsText" dxfId="197" priority="190" operator="containsText" text="Mon">
      <formula>NOT(ISERROR(SEARCH("Mon",D199)))</formula>
    </cfRule>
  </conditionalFormatting>
  <conditionalFormatting sqref="D214">
    <cfRule type="cellIs" dxfId="196" priority="181" operator="equal">
      <formula>"Fri"</formula>
    </cfRule>
    <cfRule type="cellIs" dxfId="195" priority="182" operator="equal">
      <formula>"Thu"</formula>
    </cfRule>
    <cfRule type="containsText" dxfId="194" priority="183" operator="containsText" text="Wed">
      <formula>NOT(ISERROR(SEARCH("Wed",D214)))</formula>
    </cfRule>
    <cfRule type="cellIs" dxfId="193" priority="184" operator="equal">
      <formula>"Tue"</formula>
    </cfRule>
    <cfRule type="containsText" dxfId="192" priority="185" operator="containsText" text="Mon">
      <formula>NOT(ISERROR(SEARCH("Mon",D214)))</formula>
    </cfRule>
  </conditionalFormatting>
  <conditionalFormatting sqref="D215">
    <cfRule type="cellIs" dxfId="191" priority="176" operator="equal">
      <formula>"Fri"</formula>
    </cfRule>
    <cfRule type="cellIs" dxfId="190" priority="177" operator="equal">
      <formula>"Thu"</formula>
    </cfRule>
    <cfRule type="containsText" dxfId="189" priority="178" operator="containsText" text="Wed">
      <formula>NOT(ISERROR(SEARCH("Wed",D215)))</formula>
    </cfRule>
    <cfRule type="cellIs" dxfId="188" priority="179" operator="equal">
      <formula>"Tue"</formula>
    </cfRule>
    <cfRule type="containsText" dxfId="187" priority="180" operator="containsText" text="Mon">
      <formula>NOT(ISERROR(SEARCH("Mon",D215)))</formula>
    </cfRule>
  </conditionalFormatting>
  <conditionalFormatting sqref="D216">
    <cfRule type="cellIs" dxfId="186" priority="166" operator="equal">
      <formula>"Fri"</formula>
    </cfRule>
    <cfRule type="cellIs" dxfId="185" priority="167" operator="equal">
      <formula>"Thu"</formula>
    </cfRule>
    <cfRule type="containsText" dxfId="184" priority="168" operator="containsText" text="Wed">
      <formula>NOT(ISERROR(SEARCH("Wed",D216)))</formula>
    </cfRule>
    <cfRule type="cellIs" dxfId="183" priority="169" operator="equal">
      <formula>"Tue"</formula>
    </cfRule>
    <cfRule type="containsText" dxfId="182" priority="170" operator="containsText" text="Mon">
      <formula>NOT(ISERROR(SEARCH("Mon",D216)))</formula>
    </cfRule>
  </conditionalFormatting>
  <conditionalFormatting sqref="D217">
    <cfRule type="cellIs" dxfId="181" priority="161" operator="equal">
      <formula>"Fri"</formula>
    </cfRule>
    <cfRule type="cellIs" dxfId="180" priority="162" operator="equal">
      <formula>"Thu"</formula>
    </cfRule>
    <cfRule type="containsText" dxfId="179" priority="163" operator="containsText" text="Wed">
      <formula>NOT(ISERROR(SEARCH("Wed",D217)))</formula>
    </cfRule>
    <cfRule type="cellIs" dxfId="178" priority="164" operator="equal">
      <formula>"Tue"</formula>
    </cfRule>
    <cfRule type="containsText" dxfId="177" priority="165" operator="containsText" text="Mon">
      <formula>NOT(ISERROR(SEARCH("Mon",D217)))</formula>
    </cfRule>
  </conditionalFormatting>
  <conditionalFormatting sqref="D218">
    <cfRule type="cellIs" dxfId="176" priority="156" operator="equal">
      <formula>"Fri"</formula>
    </cfRule>
    <cfRule type="cellIs" dxfId="175" priority="157" operator="equal">
      <formula>"Thu"</formula>
    </cfRule>
    <cfRule type="containsText" dxfId="174" priority="158" operator="containsText" text="Wed">
      <formula>NOT(ISERROR(SEARCH("Wed",D218)))</formula>
    </cfRule>
    <cfRule type="cellIs" dxfId="173" priority="159" operator="equal">
      <formula>"Tue"</formula>
    </cfRule>
    <cfRule type="containsText" dxfId="172" priority="160" operator="containsText" text="Mon">
      <formula>NOT(ISERROR(SEARCH("Mon",D218)))</formula>
    </cfRule>
  </conditionalFormatting>
  <conditionalFormatting sqref="D219">
    <cfRule type="cellIs" dxfId="171" priority="151" operator="equal">
      <formula>"Fri"</formula>
    </cfRule>
    <cfRule type="cellIs" dxfId="170" priority="152" operator="equal">
      <formula>"Thu"</formula>
    </cfRule>
    <cfRule type="containsText" dxfId="169" priority="153" operator="containsText" text="Wed">
      <formula>NOT(ISERROR(SEARCH("Wed",D219)))</formula>
    </cfRule>
    <cfRule type="cellIs" dxfId="168" priority="154" operator="equal">
      <formula>"Tue"</formula>
    </cfRule>
    <cfRule type="containsText" dxfId="167" priority="155" operator="containsText" text="Mon">
      <formula>NOT(ISERROR(SEARCH("Mon",D219)))</formula>
    </cfRule>
  </conditionalFormatting>
  <conditionalFormatting sqref="D220">
    <cfRule type="cellIs" dxfId="166" priority="146" operator="equal">
      <formula>"Fri"</formula>
    </cfRule>
    <cfRule type="cellIs" dxfId="165" priority="147" operator="equal">
      <formula>"Thu"</formula>
    </cfRule>
    <cfRule type="containsText" dxfId="164" priority="148" operator="containsText" text="Wed">
      <formula>NOT(ISERROR(SEARCH("Wed",D220)))</formula>
    </cfRule>
    <cfRule type="cellIs" dxfId="163" priority="149" operator="equal">
      <formula>"Tue"</formula>
    </cfRule>
    <cfRule type="containsText" dxfId="162" priority="150" operator="containsText" text="Mon">
      <formula>NOT(ISERROR(SEARCH("Mon",D220)))</formula>
    </cfRule>
  </conditionalFormatting>
  <conditionalFormatting sqref="D222">
    <cfRule type="cellIs" dxfId="161" priority="141" operator="equal">
      <formula>"Fri"</formula>
    </cfRule>
    <cfRule type="cellIs" dxfId="160" priority="142" operator="equal">
      <formula>"Thu"</formula>
    </cfRule>
    <cfRule type="containsText" dxfId="159" priority="143" operator="containsText" text="Wed">
      <formula>NOT(ISERROR(SEARCH("Wed",D222)))</formula>
    </cfRule>
    <cfRule type="cellIs" dxfId="158" priority="144" operator="equal">
      <formula>"Tue"</formula>
    </cfRule>
    <cfRule type="containsText" dxfId="157" priority="145" operator="containsText" text="Mon">
      <formula>NOT(ISERROR(SEARCH("Mon",D222)))</formula>
    </cfRule>
  </conditionalFormatting>
  <conditionalFormatting sqref="D223">
    <cfRule type="cellIs" dxfId="156" priority="136" operator="equal">
      <formula>"Fri"</formula>
    </cfRule>
    <cfRule type="cellIs" dxfId="155" priority="137" operator="equal">
      <formula>"Thu"</formula>
    </cfRule>
    <cfRule type="containsText" dxfId="154" priority="138" operator="containsText" text="Wed">
      <formula>NOT(ISERROR(SEARCH("Wed",D223)))</formula>
    </cfRule>
    <cfRule type="cellIs" dxfId="153" priority="139" operator="equal">
      <formula>"Tue"</formula>
    </cfRule>
    <cfRule type="containsText" dxfId="152" priority="140" operator="containsText" text="Mon">
      <formula>NOT(ISERROR(SEARCH("Mon",D223)))</formula>
    </cfRule>
  </conditionalFormatting>
  <conditionalFormatting sqref="D224">
    <cfRule type="cellIs" dxfId="151" priority="131" operator="equal">
      <formula>"Fri"</formula>
    </cfRule>
    <cfRule type="cellIs" dxfId="150" priority="132" operator="equal">
      <formula>"Thu"</formula>
    </cfRule>
    <cfRule type="containsText" dxfId="149" priority="133" operator="containsText" text="Wed">
      <formula>NOT(ISERROR(SEARCH("Wed",D224)))</formula>
    </cfRule>
    <cfRule type="cellIs" dxfId="148" priority="134" operator="equal">
      <formula>"Tue"</formula>
    </cfRule>
    <cfRule type="containsText" dxfId="147" priority="135" operator="containsText" text="Mon">
      <formula>NOT(ISERROR(SEARCH("Mon",D224)))</formula>
    </cfRule>
  </conditionalFormatting>
  <conditionalFormatting sqref="D209">
    <cfRule type="cellIs" dxfId="146" priority="126" operator="equal">
      <formula>"Fri"</formula>
    </cfRule>
    <cfRule type="cellIs" dxfId="145" priority="127" operator="equal">
      <formula>"Thu"</formula>
    </cfRule>
    <cfRule type="containsText" dxfId="144" priority="128" operator="containsText" text="Wed">
      <formula>NOT(ISERROR(SEARCH("Wed",D209)))</formula>
    </cfRule>
    <cfRule type="cellIs" dxfId="143" priority="129" operator="equal">
      <formula>"Tue"</formula>
    </cfRule>
    <cfRule type="containsText" dxfId="142" priority="130" operator="containsText" text="Mon">
      <formula>NOT(ISERROR(SEARCH("Mon",D209)))</formula>
    </cfRule>
  </conditionalFormatting>
  <conditionalFormatting sqref="D213">
    <cfRule type="cellIs" dxfId="141" priority="121" operator="equal">
      <formula>"Fri"</formula>
    </cfRule>
    <cfRule type="cellIs" dxfId="140" priority="122" operator="equal">
      <formula>"Thu"</formula>
    </cfRule>
    <cfRule type="containsText" dxfId="139" priority="123" operator="containsText" text="Wed">
      <formula>NOT(ISERROR(SEARCH("Wed",D213)))</formula>
    </cfRule>
    <cfRule type="cellIs" dxfId="138" priority="124" operator="equal">
      <formula>"Tue"</formula>
    </cfRule>
    <cfRule type="containsText" dxfId="137" priority="125" operator="containsText" text="Mon">
      <formula>NOT(ISERROR(SEARCH("Mon",D213)))</formula>
    </cfRule>
  </conditionalFormatting>
  <conditionalFormatting sqref="D225">
    <cfRule type="cellIs" dxfId="136" priority="116" operator="equal">
      <formula>"Fri"</formula>
    </cfRule>
    <cfRule type="cellIs" dxfId="135" priority="117" operator="equal">
      <formula>"Thu"</formula>
    </cfRule>
    <cfRule type="containsText" dxfId="134" priority="118" operator="containsText" text="Wed">
      <formula>NOT(ISERROR(SEARCH("Wed",D225)))</formula>
    </cfRule>
    <cfRule type="cellIs" dxfId="133" priority="119" operator="equal">
      <formula>"Tue"</formula>
    </cfRule>
    <cfRule type="containsText" dxfId="132" priority="120" operator="containsText" text="Mon">
      <formula>NOT(ISERROR(SEARCH("Mon",D225)))</formula>
    </cfRule>
  </conditionalFormatting>
  <conditionalFormatting sqref="D227">
    <cfRule type="cellIs" dxfId="131" priority="111" operator="equal">
      <formula>"Fri"</formula>
    </cfRule>
    <cfRule type="cellIs" dxfId="130" priority="112" operator="equal">
      <formula>"Thu"</formula>
    </cfRule>
    <cfRule type="containsText" dxfId="129" priority="113" operator="containsText" text="Wed">
      <formula>NOT(ISERROR(SEARCH("Wed",D227)))</formula>
    </cfRule>
    <cfRule type="cellIs" dxfId="128" priority="114" operator="equal">
      <formula>"Tue"</formula>
    </cfRule>
    <cfRule type="containsText" dxfId="127" priority="115" operator="containsText" text="Mon">
      <formula>NOT(ISERROR(SEARCH("Mon",D227)))</formula>
    </cfRule>
  </conditionalFormatting>
  <conditionalFormatting sqref="D228">
    <cfRule type="cellIs" dxfId="126" priority="106" operator="equal">
      <formula>"Fri"</formula>
    </cfRule>
    <cfRule type="cellIs" dxfId="125" priority="107" operator="equal">
      <formula>"Thu"</formula>
    </cfRule>
    <cfRule type="containsText" dxfId="124" priority="108" operator="containsText" text="Wed">
      <formula>NOT(ISERROR(SEARCH("Wed",D228)))</formula>
    </cfRule>
    <cfRule type="cellIs" dxfId="123" priority="109" operator="equal">
      <formula>"Tue"</formula>
    </cfRule>
    <cfRule type="containsText" dxfId="122" priority="110" operator="containsText" text="Mon">
      <formula>NOT(ISERROR(SEARCH("Mon",D228)))</formula>
    </cfRule>
  </conditionalFormatting>
  <conditionalFormatting sqref="D221">
    <cfRule type="cellIs" dxfId="121" priority="96" operator="equal">
      <formula>"Fri"</formula>
    </cfRule>
    <cfRule type="cellIs" dxfId="120" priority="97" operator="equal">
      <formula>"Thu"</formula>
    </cfRule>
    <cfRule type="containsText" dxfId="119" priority="98" operator="containsText" text="Wed">
      <formula>NOT(ISERROR(SEARCH("Wed",D221)))</formula>
    </cfRule>
    <cfRule type="cellIs" dxfId="118" priority="99" operator="equal">
      <formula>"Tue"</formula>
    </cfRule>
    <cfRule type="containsText" dxfId="117" priority="100" operator="containsText" text="Mon">
      <formula>NOT(ISERROR(SEARCH("Mon",D221)))</formula>
    </cfRule>
  </conditionalFormatting>
  <conditionalFormatting sqref="D226">
    <cfRule type="cellIs" dxfId="116" priority="91" operator="equal">
      <formula>"Fri"</formula>
    </cfRule>
    <cfRule type="cellIs" dxfId="115" priority="92" operator="equal">
      <formula>"Thu"</formula>
    </cfRule>
    <cfRule type="containsText" dxfId="114" priority="93" operator="containsText" text="Wed">
      <formula>NOT(ISERROR(SEARCH("Wed",D226)))</formula>
    </cfRule>
    <cfRule type="cellIs" dxfId="113" priority="94" operator="equal">
      <formula>"Tue"</formula>
    </cfRule>
    <cfRule type="containsText" dxfId="112" priority="95" operator="containsText" text="Mon">
      <formula>NOT(ISERROR(SEARCH("Mon",D226)))</formula>
    </cfRule>
  </conditionalFormatting>
  <conditionalFormatting sqref="D229">
    <cfRule type="cellIs" dxfId="111" priority="86" operator="equal">
      <formula>"Fri"</formula>
    </cfRule>
    <cfRule type="cellIs" dxfId="110" priority="87" operator="equal">
      <formula>"Thu"</formula>
    </cfRule>
    <cfRule type="containsText" dxfId="109" priority="88" operator="containsText" text="Wed">
      <formula>NOT(ISERROR(SEARCH("Wed",D229)))</formula>
    </cfRule>
    <cfRule type="cellIs" dxfId="108" priority="89" operator="equal">
      <formula>"Tue"</formula>
    </cfRule>
    <cfRule type="containsText" dxfId="107" priority="90" operator="containsText" text="Mon">
      <formula>NOT(ISERROR(SEARCH("Mon",D229)))</formula>
    </cfRule>
  </conditionalFormatting>
  <conditionalFormatting sqref="D230">
    <cfRule type="cellIs" dxfId="106" priority="81" operator="equal">
      <formula>"Fri"</formula>
    </cfRule>
    <cfRule type="cellIs" dxfId="105" priority="82" operator="equal">
      <formula>"Thu"</formula>
    </cfRule>
    <cfRule type="containsText" dxfId="104" priority="83" operator="containsText" text="Wed">
      <formula>NOT(ISERROR(SEARCH("Wed",D230)))</formula>
    </cfRule>
    <cfRule type="cellIs" dxfId="103" priority="84" operator="equal">
      <formula>"Tue"</formula>
    </cfRule>
    <cfRule type="containsText" dxfId="102" priority="85" operator="containsText" text="Mon">
      <formula>NOT(ISERROR(SEARCH("Mon",D230)))</formula>
    </cfRule>
  </conditionalFormatting>
  <conditionalFormatting sqref="D232">
    <cfRule type="cellIs" dxfId="101" priority="76" operator="equal">
      <formula>"Fri"</formula>
    </cfRule>
    <cfRule type="cellIs" dxfId="100" priority="77" operator="equal">
      <formula>"Thu"</formula>
    </cfRule>
    <cfRule type="containsText" dxfId="99" priority="78" operator="containsText" text="Wed">
      <formula>NOT(ISERROR(SEARCH("Wed",D232)))</formula>
    </cfRule>
    <cfRule type="cellIs" dxfId="98" priority="79" operator="equal">
      <formula>"Tue"</formula>
    </cfRule>
    <cfRule type="containsText" dxfId="97" priority="80" operator="containsText" text="Mon">
      <formula>NOT(ISERROR(SEARCH("Mon",D232)))</formula>
    </cfRule>
  </conditionalFormatting>
  <conditionalFormatting sqref="D233:D237">
    <cfRule type="cellIs" dxfId="96" priority="66" operator="equal">
      <formula>"Fri"</formula>
    </cfRule>
    <cfRule type="cellIs" dxfId="95" priority="67" operator="equal">
      <formula>"Thu"</formula>
    </cfRule>
    <cfRule type="containsText" dxfId="94" priority="68" operator="containsText" text="Wed">
      <formula>NOT(ISERROR(SEARCH("Wed",D233)))</formula>
    </cfRule>
    <cfRule type="cellIs" dxfId="93" priority="69" operator="equal">
      <formula>"Tue"</formula>
    </cfRule>
    <cfRule type="containsText" dxfId="92" priority="70" operator="containsText" text="Mon">
      <formula>NOT(ISERROR(SEARCH("Mon",D233)))</formula>
    </cfRule>
  </conditionalFormatting>
  <conditionalFormatting sqref="D238">
    <cfRule type="cellIs" dxfId="91" priority="61" operator="equal">
      <formula>"Fri"</formula>
    </cfRule>
    <cfRule type="cellIs" dxfId="90" priority="62" operator="equal">
      <formula>"Thu"</formula>
    </cfRule>
    <cfRule type="containsText" dxfId="89" priority="63" operator="containsText" text="Wed">
      <formula>NOT(ISERROR(SEARCH("Wed",D238)))</formula>
    </cfRule>
    <cfRule type="cellIs" dxfId="88" priority="64" operator="equal">
      <formula>"Tue"</formula>
    </cfRule>
    <cfRule type="containsText" dxfId="87" priority="65" operator="containsText" text="Mon">
      <formula>NOT(ISERROR(SEARCH("Mon",D238)))</formula>
    </cfRule>
  </conditionalFormatting>
  <conditionalFormatting sqref="D239 D241:D243">
    <cfRule type="cellIs" dxfId="86" priority="56" operator="equal">
      <formula>"Fri"</formula>
    </cfRule>
    <cfRule type="cellIs" dxfId="85" priority="57" operator="equal">
      <formula>"Thu"</formula>
    </cfRule>
    <cfRule type="containsText" dxfId="84" priority="58" operator="containsText" text="Wed">
      <formula>NOT(ISERROR(SEARCH("Wed",D239)))</formula>
    </cfRule>
    <cfRule type="cellIs" dxfId="83" priority="59" operator="equal">
      <formula>"Tue"</formula>
    </cfRule>
    <cfRule type="containsText" dxfId="82" priority="60" operator="containsText" text="Mon">
      <formula>NOT(ISERROR(SEARCH("Mon",D239)))</formula>
    </cfRule>
  </conditionalFormatting>
  <conditionalFormatting sqref="D244">
    <cfRule type="cellIs" dxfId="81" priority="51" operator="equal">
      <formula>"Fri"</formula>
    </cfRule>
    <cfRule type="cellIs" dxfId="80" priority="52" operator="equal">
      <formula>"Thu"</formula>
    </cfRule>
    <cfRule type="containsText" dxfId="79" priority="53" operator="containsText" text="Wed">
      <formula>NOT(ISERROR(SEARCH("Wed",D244)))</formula>
    </cfRule>
    <cfRule type="cellIs" dxfId="78" priority="54" operator="equal">
      <formula>"Tue"</formula>
    </cfRule>
    <cfRule type="containsText" dxfId="77" priority="55" operator="containsText" text="Mon">
      <formula>NOT(ISERROR(SEARCH("Mon",D244)))</formula>
    </cfRule>
  </conditionalFormatting>
  <conditionalFormatting sqref="D245">
    <cfRule type="cellIs" dxfId="76" priority="46" operator="equal">
      <formula>"Fri"</formula>
    </cfRule>
    <cfRule type="cellIs" dxfId="75" priority="47" operator="equal">
      <formula>"Thu"</formula>
    </cfRule>
    <cfRule type="containsText" dxfId="74" priority="48" operator="containsText" text="Wed">
      <formula>NOT(ISERROR(SEARCH("Wed",D245)))</formula>
    </cfRule>
    <cfRule type="cellIs" dxfId="73" priority="49" operator="equal">
      <formula>"Tue"</formula>
    </cfRule>
    <cfRule type="containsText" dxfId="72" priority="50" operator="containsText" text="Mon">
      <formula>NOT(ISERROR(SEARCH("Mon",D245)))</formula>
    </cfRule>
  </conditionalFormatting>
  <conditionalFormatting sqref="D246">
    <cfRule type="cellIs" dxfId="71" priority="41" operator="equal">
      <formula>"Fri"</formula>
    </cfRule>
    <cfRule type="cellIs" dxfId="70" priority="42" operator="equal">
      <formula>"Thu"</formula>
    </cfRule>
    <cfRule type="containsText" dxfId="69" priority="43" operator="containsText" text="Wed">
      <formula>NOT(ISERROR(SEARCH("Wed",D246)))</formula>
    </cfRule>
    <cfRule type="cellIs" dxfId="68" priority="44" operator="equal">
      <formula>"Tue"</formula>
    </cfRule>
    <cfRule type="containsText" dxfId="67" priority="45" operator="containsText" text="Mon">
      <formula>NOT(ISERROR(SEARCH("Mon",D246)))</formula>
    </cfRule>
  </conditionalFormatting>
  <conditionalFormatting sqref="D231">
    <cfRule type="cellIs" dxfId="66" priority="36" operator="equal">
      <formula>"Fri"</formula>
    </cfRule>
    <cfRule type="cellIs" dxfId="65" priority="37" operator="equal">
      <formula>"Thu"</formula>
    </cfRule>
    <cfRule type="containsText" dxfId="64" priority="38" operator="containsText" text="Wed">
      <formula>NOT(ISERROR(SEARCH("Wed",D231)))</formula>
    </cfRule>
    <cfRule type="cellIs" dxfId="63" priority="39" operator="equal">
      <formula>"Tue"</formula>
    </cfRule>
    <cfRule type="containsText" dxfId="62" priority="40" operator="containsText" text="Mon">
      <formula>NOT(ISERROR(SEARCH("Mon",D231)))</formula>
    </cfRule>
  </conditionalFormatting>
  <conditionalFormatting sqref="D247">
    <cfRule type="cellIs" dxfId="61" priority="26" operator="equal">
      <formula>"Fri"</formula>
    </cfRule>
    <cfRule type="cellIs" dxfId="60" priority="27" operator="equal">
      <formula>"Thu"</formula>
    </cfRule>
    <cfRule type="containsText" dxfId="59" priority="28" operator="containsText" text="Wed">
      <formula>NOT(ISERROR(SEARCH("Wed",D247)))</formula>
    </cfRule>
    <cfRule type="cellIs" dxfId="58" priority="29" operator="equal">
      <formula>"Tue"</formula>
    </cfRule>
    <cfRule type="containsText" dxfId="57" priority="30" operator="containsText" text="Mon">
      <formula>NOT(ISERROR(SEARCH("Mon",D247)))</formula>
    </cfRule>
  </conditionalFormatting>
  <conditionalFormatting sqref="D248">
    <cfRule type="cellIs" dxfId="56" priority="21" operator="equal">
      <formula>"Fri"</formula>
    </cfRule>
    <cfRule type="cellIs" dxfId="55" priority="22" operator="equal">
      <formula>"Thu"</formula>
    </cfRule>
    <cfRule type="containsText" dxfId="54" priority="23" operator="containsText" text="Wed">
      <formula>NOT(ISERROR(SEARCH("Wed",D248)))</formula>
    </cfRule>
    <cfRule type="cellIs" dxfId="53" priority="24" operator="equal">
      <formula>"Tue"</formula>
    </cfRule>
    <cfRule type="containsText" dxfId="52" priority="25" operator="containsText" text="Mon">
      <formula>NOT(ISERROR(SEARCH("Mon",D248)))</formula>
    </cfRule>
  </conditionalFormatting>
  <conditionalFormatting sqref="D249">
    <cfRule type="cellIs" dxfId="51" priority="16" operator="equal">
      <formula>"Fri"</formula>
    </cfRule>
    <cfRule type="cellIs" dxfId="50" priority="17" operator="equal">
      <formula>"Thu"</formula>
    </cfRule>
    <cfRule type="containsText" dxfId="49" priority="18" operator="containsText" text="Wed">
      <formula>NOT(ISERROR(SEARCH("Wed",D249)))</formula>
    </cfRule>
    <cfRule type="cellIs" dxfId="48" priority="19" operator="equal">
      <formula>"Tue"</formula>
    </cfRule>
    <cfRule type="containsText" dxfId="47" priority="20" operator="containsText" text="Mon">
      <formula>NOT(ISERROR(SEARCH("Mon",D249)))</formula>
    </cfRule>
  </conditionalFormatting>
  <conditionalFormatting sqref="D240">
    <cfRule type="cellIs" dxfId="46" priority="11" operator="equal">
      <formula>"Fri"</formula>
    </cfRule>
    <cfRule type="cellIs" dxfId="45" priority="12" operator="equal">
      <formula>"Thu"</formula>
    </cfRule>
    <cfRule type="containsText" dxfId="44" priority="13" operator="containsText" text="Wed">
      <formula>NOT(ISERROR(SEARCH("Wed",D240)))</formula>
    </cfRule>
    <cfRule type="cellIs" dxfId="43" priority="14" operator="equal">
      <formula>"Tue"</formula>
    </cfRule>
    <cfRule type="containsText" dxfId="42" priority="15" operator="containsText" text="Mon">
      <formula>NOT(ISERROR(SEARCH("Mon",D240)))</formula>
    </cfRule>
  </conditionalFormatting>
  <conditionalFormatting sqref="D250">
    <cfRule type="cellIs" dxfId="41" priority="6" operator="equal">
      <formula>"Fri"</formula>
    </cfRule>
    <cfRule type="cellIs" dxfId="40" priority="7" operator="equal">
      <formula>"Thu"</formula>
    </cfRule>
    <cfRule type="containsText" dxfId="39" priority="8" operator="containsText" text="Wed">
      <formula>NOT(ISERROR(SEARCH("Wed",D250)))</formula>
    </cfRule>
    <cfRule type="cellIs" dxfId="38" priority="9" operator="equal">
      <formula>"Tue"</formula>
    </cfRule>
    <cfRule type="containsText" dxfId="37" priority="10" operator="containsText" text="Mon">
      <formula>NOT(ISERROR(SEARCH("Mon",D250)))</formula>
    </cfRule>
  </conditionalFormatting>
  <conditionalFormatting sqref="D251">
    <cfRule type="cellIs" dxfId="36" priority="1" operator="equal">
      <formula>"Fri"</formula>
    </cfRule>
    <cfRule type="cellIs" dxfId="35" priority="2" operator="equal">
      <formula>"Thu"</formula>
    </cfRule>
    <cfRule type="containsText" dxfId="34" priority="3" operator="containsText" text="Wed">
      <formula>NOT(ISERROR(SEARCH("Wed",D251)))</formula>
    </cfRule>
    <cfRule type="cellIs" dxfId="33" priority="4" operator="equal">
      <formula>"Tue"</formula>
    </cfRule>
    <cfRule type="containsText" dxfId="32" priority="5" operator="containsText" text="Mon">
      <formula>NOT(ISERROR(SEARCH("Mon",D251)))</formula>
    </cfRule>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725"/>
  <sheetViews>
    <sheetView showGridLines="0" tabSelected="1" workbookViewId="0">
      <pane xSplit="2" ySplit="2" topLeftCell="C621" activePane="bottomRight" state="frozen"/>
      <selection pane="topRight" activeCell="C1" sqref="C1"/>
      <selection pane="bottomLeft" activeCell="A3" sqref="A3"/>
      <selection pane="bottomRight" activeCell="I633" sqref="I633"/>
    </sheetView>
  </sheetViews>
  <sheetFormatPr defaultRowHeight="16.5" x14ac:dyDescent="0.25"/>
  <cols>
    <col min="1" max="1" width="12.42578125" style="14" bestFit="1" customWidth="1"/>
    <col min="2" max="2" width="9.140625" style="3"/>
    <col min="3" max="14" width="9.7109375" style="3" customWidth="1"/>
    <col min="15" max="16384" width="9.140625" style="3"/>
  </cols>
  <sheetData>
    <row r="1" spans="1:15" ht="66" x14ac:dyDescent="0.25">
      <c r="A1" s="40" t="s">
        <v>48</v>
      </c>
      <c r="B1" s="41"/>
      <c r="C1" s="16" t="s">
        <v>6</v>
      </c>
      <c r="D1" s="16" t="s">
        <v>7</v>
      </c>
      <c r="E1" s="16" t="s">
        <v>11</v>
      </c>
      <c r="F1" s="16" t="s">
        <v>13</v>
      </c>
      <c r="G1" s="16" t="s">
        <v>14</v>
      </c>
      <c r="H1" s="16" t="s">
        <v>15</v>
      </c>
      <c r="I1" s="16" t="s">
        <v>24</v>
      </c>
      <c r="J1" s="16" t="s">
        <v>45</v>
      </c>
      <c r="K1" s="16" t="s">
        <v>39</v>
      </c>
      <c r="L1" s="16" t="s">
        <v>72</v>
      </c>
      <c r="M1" s="16" t="s">
        <v>71</v>
      </c>
      <c r="N1" s="16" t="s">
        <v>30</v>
      </c>
      <c r="O1" s="16" t="s">
        <v>46</v>
      </c>
    </row>
    <row r="2" spans="1:15" x14ac:dyDescent="0.25">
      <c r="A2" s="14" t="s">
        <v>18</v>
      </c>
      <c r="B2" s="14" t="s">
        <v>47</v>
      </c>
      <c r="C2" s="17">
        <f>SUM(C$3:C$99999)</f>
        <v>30.5</v>
      </c>
      <c r="D2" s="17">
        <f t="shared" ref="D2:N2" si="0">SUM(D$3:D$99999)</f>
        <v>38</v>
      </c>
      <c r="E2" s="17">
        <f t="shared" si="0"/>
        <v>49</v>
      </c>
      <c r="F2" s="17">
        <f t="shared" si="0"/>
        <v>40</v>
      </c>
      <c r="G2" s="17">
        <f t="shared" si="0"/>
        <v>14.5</v>
      </c>
      <c r="H2" s="17">
        <f t="shared" si="0"/>
        <v>14</v>
      </c>
      <c r="I2" s="17">
        <f t="shared" si="0"/>
        <v>9</v>
      </c>
      <c r="J2" s="18">
        <f>SUM(J$3:J$99999)</f>
        <v>3</v>
      </c>
      <c r="K2" s="18">
        <f>SUM(K$3:K$99999)</f>
        <v>9</v>
      </c>
      <c r="L2" s="18">
        <f t="shared" si="0"/>
        <v>4</v>
      </c>
      <c r="M2" s="18">
        <f t="shared" si="0"/>
        <v>0</v>
      </c>
      <c r="N2" s="18">
        <f t="shared" si="0"/>
        <v>2</v>
      </c>
      <c r="O2" s="16"/>
    </row>
    <row r="3" spans="1:15" x14ac:dyDescent="0.25">
      <c r="A3" s="24">
        <v>43101</v>
      </c>
      <c r="B3" s="2" t="str">
        <f>CHOOSE(WEEKDAY(A3),"Sun","Mon","Tue","Wed","Thu","Fri","Sat")</f>
        <v>Mon</v>
      </c>
      <c r="C3" s="11">
        <f>SUMIFS('Leave Management'!$L:$L,'Leave Management'!$C:$C,Detail!$A3,'Leave Management'!$B:$B,Detail!C$1)</f>
        <v>0</v>
      </c>
      <c r="D3" s="11">
        <f>SUMIFS('Leave Management'!$L:$L,'Leave Management'!$C:$C,Detail!$A3,'Leave Management'!$B:$B,Detail!D$1)</f>
        <v>0</v>
      </c>
      <c r="E3" s="11">
        <f>SUMIFS('Leave Management'!$L:$L,'Leave Management'!$C:$C,Detail!$A3,'Leave Management'!$B:$B,Detail!E$1)</f>
        <v>0</v>
      </c>
      <c r="F3" s="11">
        <f>SUMIFS('Leave Management'!$L:$L,'Leave Management'!$C:$C,Detail!$A3,'Leave Management'!$B:$B,Detail!F$1)</f>
        <v>0</v>
      </c>
      <c r="G3" s="11">
        <f>SUMIFS('Leave Management'!$L:$L,'Leave Management'!$C:$C,Detail!$A3,'Leave Management'!$B:$B,Detail!G$1)</f>
        <v>0</v>
      </c>
      <c r="H3" s="11">
        <f>SUMIFS('Leave Management'!$L:$L,'Leave Management'!$C:$C,Detail!$A3,'Leave Management'!$B:$B,Detail!H$1)</f>
        <v>0</v>
      </c>
      <c r="I3" s="11">
        <f>SUMIFS('Leave Management'!$L:$L,'Leave Management'!$C:$C,Detail!$A3,'Leave Management'!$B:$B,Detail!I$1)</f>
        <v>0</v>
      </c>
      <c r="J3" s="11">
        <f>SUMIFS('Leave Management'!$L:$L,'Leave Management'!$C:$C,Detail!$A3,'Leave Management'!$B:$B,Detail!J$1)</f>
        <v>0</v>
      </c>
      <c r="K3" s="11">
        <f>SUMIFS('Leave Management'!$L:$L,'Leave Management'!$C:$C,Detail!$A3,'Leave Management'!$B:$B,Detail!K$1)</f>
        <v>0</v>
      </c>
      <c r="L3" s="11">
        <f>SUMIFS('Leave Management'!$L:$L,'Leave Management'!$C:$C,Detail!$A3,'Leave Management'!$B:$B,Detail!L$1)</f>
        <v>0</v>
      </c>
      <c r="M3" s="11">
        <f>SUMIFS('Leave Management'!$L:$L,'Leave Management'!$C:$C,Detail!$A3,'Leave Management'!$B:$B,Detail!M$1)</f>
        <v>0</v>
      </c>
      <c r="N3" s="11">
        <f>SUMIFS('Leave Management'!$L:$L,'Leave Management'!$C:$C,Detail!$A3,'Leave Management'!$B:$B,Detail!N$1)</f>
        <v>0</v>
      </c>
      <c r="O3" s="7">
        <f>COUNTA($C$1:$N$1)-SUM($C3:$N3)</f>
        <v>12</v>
      </c>
    </row>
    <row r="4" spans="1:15" x14ac:dyDescent="0.25">
      <c r="A4" s="24">
        <v>43102</v>
      </c>
      <c r="B4" s="2" t="str">
        <f t="shared" ref="B4:B67" si="1">CHOOSE(WEEKDAY(A4),"Sun","Mon","Tue","Wed","Thu","Fri","Sat")</f>
        <v>Tue</v>
      </c>
      <c r="C4" s="7">
        <f>SUMIFS('Leave Management'!$L:$L,'Leave Management'!$C:$C,Detail!$A4,'Leave Management'!$B:$B,Detail!C$1)</f>
        <v>0</v>
      </c>
      <c r="D4" s="7">
        <f>SUMIFS('Leave Management'!$L:$L,'Leave Management'!$C:$C,Detail!$A4,'Leave Management'!$B:$B,Detail!D$1)</f>
        <v>0</v>
      </c>
      <c r="E4" s="7">
        <f>SUMIFS('Leave Management'!$L:$L,'Leave Management'!$C:$C,Detail!$A4,'Leave Management'!$B:$B,Detail!E$1)</f>
        <v>0</v>
      </c>
      <c r="F4" s="7">
        <f>SUMIFS('Leave Management'!$L:$L,'Leave Management'!$C:$C,Detail!$A4,'Leave Management'!$B:$B,Detail!F$1)</f>
        <v>0</v>
      </c>
      <c r="G4" s="7">
        <f>SUMIFS('Leave Management'!$L:$L,'Leave Management'!$C:$C,Detail!$A4,'Leave Management'!$B:$B,Detail!G$1)</f>
        <v>0</v>
      </c>
      <c r="H4" s="7">
        <f>SUMIFS('Leave Management'!$L:$L,'Leave Management'!$C:$C,Detail!$A4,'Leave Management'!$B:$B,Detail!H$1)</f>
        <v>0</v>
      </c>
      <c r="I4" s="7">
        <f>SUMIFS('Leave Management'!$L:$L,'Leave Management'!$C:$C,Detail!$A4,'Leave Management'!$B:$B,Detail!I$1)</f>
        <v>0</v>
      </c>
      <c r="J4" s="7">
        <f>SUMIFS('Leave Management'!$L:$L,'Leave Management'!$C:$C,Detail!$A4,'Leave Management'!$B:$B,Detail!J$1)</f>
        <v>0</v>
      </c>
      <c r="K4" s="7">
        <f>SUMIFS('Leave Management'!$L:$L,'Leave Management'!$C:$C,Detail!$A4,'Leave Management'!$B:$B,Detail!K$1)</f>
        <v>0</v>
      </c>
      <c r="L4" s="7">
        <f>SUMIFS('Leave Management'!$L:$L,'Leave Management'!$C:$C,Detail!$A4,'Leave Management'!$B:$B,Detail!L$1)</f>
        <v>0</v>
      </c>
      <c r="M4" s="7">
        <f>SUMIFS('Leave Management'!$L:$L,'Leave Management'!$C:$C,Detail!$A4,'Leave Management'!$B:$B,Detail!M$1)</f>
        <v>0</v>
      </c>
      <c r="N4" s="7">
        <f>SUMIFS('Leave Management'!$L:$L,'Leave Management'!$C:$C,Detail!$A4,'Leave Management'!$B:$B,Detail!N$1)</f>
        <v>0</v>
      </c>
      <c r="O4" s="7">
        <f t="shared" ref="O4:O67" si="2">COUNTA($C$1:$N$1)-SUM($C4:$N4)</f>
        <v>12</v>
      </c>
    </row>
    <row r="5" spans="1:15" x14ac:dyDescent="0.25">
      <c r="A5" s="24">
        <v>43103</v>
      </c>
      <c r="B5" s="2" t="str">
        <f t="shared" si="1"/>
        <v>Wed</v>
      </c>
      <c r="C5" s="7">
        <f>SUMIFS('Leave Management'!$L:$L,'Leave Management'!$C:$C,Detail!$A5,'Leave Management'!$B:$B,Detail!C$1)</f>
        <v>0</v>
      </c>
      <c r="D5" s="7">
        <f>SUMIFS('Leave Management'!$L:$L,'Leave Management'!$C:$C,Detail!$A5,'Leave Management'!$B:$B,Detail!D$1)</f>
        <v>0</v>
      </c>
      <c r="E5" s="7">
        <f>SUMIFS('Leave Management'!$L:$L,'Leave Management'!$C:$C,Detail!$A5,'Leave Management'!$B:$B,Detail!E$1)</f>
        <v>0</v>
      </c>
      <c r="F5" s="7">
        <f>SUMIFS('Leave Management'!$L:$L,'Leave Management'!$C:$C,Detail!$A5,'Leave Management'!$B:$B,Detail!F$1)</f>
        <v>0</v>
      </c>
      <c r="G5" s="7">
        <f>SUMIFS('Leave Management'!$L:$L,'Leave Management'!$C:$C,Detail!$A5,'Leave Management'!$B:$B,Detail!G$1)</f>
        <v>0</v>
      </c>
      <c r="H5" s="7">
        <f>SUMIFS('Leave Management'!$L:$L,'Leave Management'!$C:$C,Detail!$A5,'Leave Management'!$B:$B,Detail!H$1)</f>
        <v>0</v>
      </c>
      <c r="I5" s="7">
        <f>SUMIFS('Leave Management'!$L:$L,'Leave Management'!$C:$C,Detail!$A5,'Leave Management'!$B:$B,Detail!I$1)</f>
        <v>0</v>
      </c>
      <c r="J5" s="7">
        <f>SUMIFS('Leave Management'!$L:$L,'Leave Management'!$C:$C,Detail!$A5,'Leave Management'!$B:$B,Detail!J$1)</f>
        <v>0</v>
      </c>
      <c r="K5" s="7">
        <f>SUMIFS('Leave Management'!$L:$L,'Leave Management'!$C:$C,Detail!$A5,'Leave Management'!$B:$B,Detail!K$1)</f>
        <v>0</v>
      </c>
      <c r="L5" s="7">
        <f>SUMIFS('Leave Management'!$L:$L,'Leave Management'!$C:$C,Detail!$A5,'Leave Management'!$B:$B,Detail!L$1)</f>
        <v>0</v>
      </c>
      <c r="M5" s="7">
        <f>SUMIFS('Leave Management'!$L:$L,'Leave Management'!$C:$C,Detail!$A5,'Leave Management'!$B:$B,Detail!M$1)</f>
        <v>0</v>
      </c>
      <c r="N5" s="7">
        <f>SUMIFS('Leave Management'!$L:$L,'Leave Management'!$C:$C,Detail!$A5,'Leave Management'!$B:$B,Detail!N$1)</f>
        <v>0</v>
      </c>
      <c r="O5" s="7">
        <f t="shared" si="2"/>
        <v>12</v>
      </c>
    </row>
    <row r="6" spans="1:15" x14ac:dyDescent="0.25">
      <c r="A6" s="24">
        <v>43104</v>
      </c>
      <c r="B6" s="2" t="str">
        <f t="shared" si="1"/>
        <v>Thu</v>
      </c>
      <c r="C6" s="7">
        <f>SUMIFS('Leave Management'!$L:$L,'Leave Management'!$C:$C,Detail!$A6,'Leave Management'!$B:$B,Detail!C$1)</f>
        <v>0</v>
      </c>
      <c r="D6" s="7">
        <f>SUMIFS('Leave Management'!$L:$L,'Leave Management'!$C:$C,Detail!$A6,'Leave Management'!$B:$B,Detail!D$1)</f>
        <v>0</v>
      </c>
      <c r="E6" s="7">
        <f>SUMIFS('Leave Management'!$L:$L,'Leave Management'!$C:$C,Detail!$A6,'Leave Management'!$B:$B,Detail!E$1)</f>
        <v>0</v>
      </c>
      <c r="F6" s="7">
        <f>SUMIFS('Leave Management'!$L:$L,'Leave Management'!$C:$C,Detail!$A6,'Leave Management'!$B:$B,Detail!F$1)</f>
        <v>0</v>
      </c>
      <c r="G6" s="7">
        <f>SUMIFS('Leave Management'!$L:$L,'Leave Management'!$C:$C,Detail!$A6,'Leave Management'!$B:$B,Detail!G$1)</f>
        <v>0</v>
      </c>
      <c r="H6" s="7">
        <f>SUMIFS('Leave Management'!$L:$L,'Leave Management'!$C:$C,Detail!$A6,'Leave Management'!$B:$B,Detail!H$1)</f>
        <v>0</v>
      </c>
      <c r="I6" s="7">
        <f>SUMIFS('Leave Management'!$L:$L,'Leave Management'!$C:$C,Detail!$A6,'Leave Management'!$B:$B,Detail!I$1)</f>
        <v>0</v>
      </c>
      <c r="J6" s="7">
        <f>SUMIFS('Leave Management'!$L:$L,'Leave Management'!$C:$C,Detail!$A6,'Leave Management'!$B:$B,Detail!J$1)</f>
        <v>0</v>
      </c>
      <c r="K6" s="7">
        <f>SUMIFS('Leave Management'!$L:$L,'Leave Management'!$C:$C,Detail!$A6,'Leave Management'!$B:$B,Detail!K$1)</f>
        <v>0</v>
      </c>
      <c r="L6" s="7">
        <f>SUMIFS('Leave Management'!$L:$L,'Leave Management'!$C:$C,Detail!$A6,'Leave Management'!$B:$B,Detail!L$1)</f>
        <v>0</v>
      </c>
      <c r="M6" s="7">
        <f>SUMIFS('Leave Management'!$L:$L,'Leave Management'!$C:$C,Detail!$A6,'Leave Management'!$B:$B,Detail!M$1)</f>
        <v>0</v>
      </c>
      <c r="N6" s="7">
        <f>SUMIFS('Leave Management'!$L:$L,'Leave Management'!$C:$C,Detail!$A6,'Leave Management'!$B:$B,Detail!N$1)</f>
        <v>0</v>
      </c>
      <c r="O6" s="7">
        <f t="shared" si="2"/>
        <v>12</v>
      </c>
    </row>
    <row r="7" spans="1:15" x14ac:dyDescent="0.25">
      <c r="A7" s="24">
        <v>43105</v>
      </c>
      <c r="B7" s="2" t="str">
        <f t="shared" si="1"/>
        <v>Fri</v>
      </c>
      <c r="C7" s="7">
        <f>SUMIFS('Leave Management'!$L:$L,'Leave Management'!$C:$C,Detail!$A7,'Leave Management'!$B:$B,Detail!C$1)</f>
        <v>0</v>
      </c>
      <c r="D7" s="7">
        <f>SUMIFS('Leave Management'!$L:$L,'Leave Management'!$C:$C,Detail!$A7,'Leave Management'!$B:$B,Detail!D$1)</f>
        <v>0</v>
      </c>
      <c r="E7" s="7">
        <f>SUMIFS('Leave Management'!$L:$L,'Leave Management'!$C:$C,Detail!$A7,'Leave Management'!$B:$B,Detail!E$1)</f>
        <v>0</v>
      </c>
      <c r="F7" s="7">
        <f>SUMIFS('Leave Management'!$L:$L,'Leave Management'!$C:$C,Detail!$A7,'Leave Management'!$B:$B,Detail!F$1)</f>
        <v>0</v>
      </c>
      <c r="G7" s="7">
        <f>SUMIFS('Leave Management'!$L:$L,'Leave Management'!$C:$C,Detail!$A7,'Leave Management'!$B:$B,Detail!G$1)</f>
        <v>0</v>
      </c>
      <c r="H7" s="7">
        <f>SUMIFS('Leave Management'!$L:$L,'Leave Management'!$C:$C,Detail!$A7,'Leave Management'!$B:$B,Detail!H$1)</f>
        <v>0</v>
      </c>
      <c r="I7" s="7">
        <f>SUMIFS('Leave Management'!$L:$L,'Leave Management'!$C:$C,Detail!$A7,'Leave Management'!$B:$B,Detail!I$1)</f>
        <v>0</v>
      </c>
      <c r="J7" s="7">
        <f>SUMIFS('Leave Management'!$L:$L,'Leave Management'!$C:$C,Detail!$A7,'Leave Management'!$B:$B,Detail!J$1)</f>
        <v>0</v>
      </c>
      <c r="K7" s="7">
        <f>SUMIFS('Leave Management'!$L:$L,'Leave Management'!$C:$C,Detail!$A7,'Leave Management'!$B:$B,Detail!K$1)</f>
        <v>0</v>
      </c>
      <c r="L7" s="7">
        <f>SUMIFS('Leave Management'!$L:$L,'Leave Management'!$C:$C,Detail!$A7,'Leave Management'!$B:$B,Detail!L$1)</f>
        <v>0</v>
      </c>
      <c r="M7" s="7">
        <f>SUMIFS('Leave Management'!$L:$L,'Leave Management'!$C:$C,Detail!$A7,'Leave Management'!$B:$B,Detail!M$1)</f>
        <v>0</v>
      </c>
      <c r="N7" s="7">
        <f>SUMIFS('Leave Management'!$L:$L,'Leave Management'!$C:$C,Detail!$A7,'Leave Management'!$B:$B,Detail!N$1)</f>
        <v>0</v>
      </c>
      <c r="O7" s="7">
        <f t="shared" si="2"/>
        <v>12</v>
      </c>
    </row>
    <row r="8" spans="1:15" x14ac:dyDescent="0.25">
      <c r="A8" s="24">
        <v>43106</v>
      </c>
      <c r="B8" s="2" t="str">
        <f t="shared" si="1"/>
        <v>Sat</v>
      </c>
      <c r="C8" s="7">
        <f>SUMIFS('Leave Management'!$L:$L,'Leave Management'!$C:$C,Detail!$A8,'Leave Management'!$B:$B,Detail!C$1)</f>
        <v>0</v>
      </c>
      <c r="D8" s="7">
        <f>SUMIFS('Leave Management'!$L:$L,'Leave Management'!$C:$C,Detail!$A8,'Leave Management'!$B:$B,Detail!D$1)</f>
        <v>0</v>
      </c>
      <c r="E8" s="7">
        <f>SUMIFS('Leave Management'!$L:$L,'Leave Management'!$C:$C,Detail!$A8,'Leave Management'!$B:$B,Detail!E$1)</f>
        <v>0</v>
      </c>
      <c r="F8" s="7">
        <f>SUMIFS('Leave Management'!$L:$L,'Leave Management'!$C:$C,Detail!$A8,'Leave Management'!$B:$B,Detail!F$1)</f>
        <v>0</v>
      </c>
      <c r="G8" s="7">
        <f>SUMIFS('Leave Management'!$L:$L,'Leave Management'!$C:$C,Detail!$A8,'Leave Management'!$B:$B,Detail!G$1)</f>
        <v>0</v>
      </c>
      <c r="H8" s="7">
        <f>SUMIFS('Leave Management'!$L:$L,'Leave Management'!$C:$C,Detail!$A8,'Leave Management'!$B:$B,Detail!H$1)</f>
        <v>0</v>
      </c>
      <c r="I8" s="7">
        <f>SUMIFS('Leave Management'!$L:$L,'Leave Management'!$C:$C,Detail!$A8,'Leave Management'!$B:$B,Detail!I$1)</f>
        <v>0</v>
      </c>
      <c r="J8" s="7">
        <f>SUMIFS('Leave Management'!$L:$L,'Leave Management'!$C:$C,Detail!$A8,'Leave Management'!$B:$B,Detail!J$1)</f>
        <v>0</v>
      </c>
      <c r="K8" s="7">
        <f>SUMIFS('Leave Management'!$L:$L,'Leave Management'!$C:$C,Detail!$A8,'Leave Management'!$B:$B,Detail!K$1)</f>
        <v>0</v>
      </c>
      <c r="L8" s="7">
        <f>SUMIFS('Leave Management'!$L:$L,'Leave Management'!$C:$C,Detail!$A8,'Leave Management'!$B:$B,Detail!L$1)</f>
        <v>0</v>
      </c>
      <c r="M8" s="7">
        <f>SUMIFS('Leave Management'!$L:$L,'Leave Management'!$C:$C,Detail!$A8,'Leave Management'!$B:$B,Detail!M$1)</f>
        <v>0</v>
      </c>
      <c r="N8" s="7">
        <f>SUMIFS('Leave Management'!$L:$L,'Leave Management'!$C:$C,Detail!$A8,'Leave Management'!$B:$B,Detail!N$1)</f>
        <v>0</v>
      </c>
      <c r="O8" s="7">
        <f t="shared" si="2"/>
        <v>12</v>
      </c>
    </row>
    <row r="9" spans="1:15" x14ac:dyDescent="0.25">
      <c r="A9" s="24">
        <v>43107</v>
      </c>
      <c r="B9" s="2" t="str">
        <f t="shared" si="1"/>
        <v>Sun</v>
      </c>
      <c r="C9" s="7">
        <f>SUMIFS('Leave Management'!$L:$L,'Leave Management'!$C:$C,Detail!$A9,'Leave Management'!$B:$B,Detail!C$1)</f>
        <v>0</v>
      </c>
      <c r="D9" s="7">
        <f>SUMIFS('Leave Management'!$L:$L,'Leave Management'!$C:$C,Detail!$A9,'Leave Management'!$B:$B,Detail!D$1)</f>
        <v>0</v>
      </c>
      <c r="E9" s="7">
        <f>SUMIFS('Leave Management'!$L:$L,'Leave Management'!$C:$C,Detail!$A9,'Leave Management'!$B:$B,Detail!E$1)</f>
        <v>0</v>
      </c>
      <c r="F9" s="7">
        <f>SUMIFS('Leave Management'!$L:$L,'Leave Management'!$C:$C,Detail!$A9,'Leave Management'!$B:$B,Detail!F$1)</f>
        <v>0</v>
      </c>
      <c r="G9" s="7">
        <f>SUMIFS('Leave Management'!$L:$L,'Leave Management'!$C:$C,Detail!$A9,'Leave Management'!$B:$B,Detail!G$1)</f>
        <v>0</v>
      </c>
      <c r="H9" s="7">
        <f>SUMIFS('Leave Management'!$L:$L,'Leave Management'!$C:$C,Detail!$A9,'Leave Management'!$B:$B,Detail!H$1)</f>
        <v>0</v>
      </c>
      <c r="I9" s="7">
        <f>SUMIFS('Leave Management'!$L:$L,'Leave Management'!$C:$C,Detail!$A9,'Leave Management'!$B:$B,Detail!I$1)</f>
        <v>0</v>
      </c>
      <c r="J9" s="7">
        <f>SUMIFS('Leave Management'!$L:$L,'Leave Management'!$C:$C,Detail!$A9,'Leave Management'!$B:$B,Detail!J$1)</f>
        <v>0</v>
      </c>
      <c r="K9" s="7">
        <f>SUMIFS('Leave Management'!$L:$L,'Leave Management'!$C:$C,Detail!$A9,'Leave Management'!$B:$B,Detail!K$1)</f>
        <v>0</v>
      </c>
      <c r="L9" s="7">
        <f>SUMIFS('Leave Management'!$L:$L,'Leave Management'!$C:$C,Detail!$A9,'Leave Management'!$B:$B,Detail!L$1)</f>
        <v>0</v>
      </c>
      <c r="M9" s="7">
        <f>SUMIFS('Leave Management'!$L:$L,'Leave Management'!$C:$C,Detail!$A9,'Leave Management'!$B:$B,Detail!M$1)</f>
        <v>0</v>
      </c>
      <c r="N9" s="7">
        <f>SUMIFS('Leave Management'!$L:$L,'Leave Management'!$C:$C,Detail!$A9,'Leave Management'!$B:$B,Detail!N$1)</f>
        <v>0</v>
      </c>
      <c r="O9" s="7">
        <f t="shared" si="2"/>
        <v>12</v>
      </c>
    </row>
    <row r="10" spans="1:15" x14ac:dyDescent="0.25">
      <c r="A10" s="24">
        <v>43108</v>
      </c>
      <c r="B10" s="2" t="str">
        <f t="shared" si="1"/>
        <v>Mon</v>
      </c>
      <c r="C10" s="7">
        <f>SUMIFS('Leave Management'!$L:$L,'Leave Management'!$C:$C,Detail!$A10,'Leave Management'!$B:$B,Detail!C$1)</f>
        <v>0</v>
      </c>
      <c r="D10" s="7">
        <f>SUMIFS('Leave Management'!$L:$L,'Leave Management'!$C:$C,Detail!$A10,'Leave Management'!$B:$B,Detail!D$1)</f>
        <v>1</v>
      </c>
      <c r="E10" s="7">
        <f>SUMIFS('Leave Management'!$L:$L,'Leave Management'!$C:$C,Detail!$A10,'Leave Management'!$B:$B,Detail!E$1)</f>
        <v>0</v>
      </c>
      <c r="F10" s="7">
        <f>SUMIFS('Leave Management'!$L:$L,'Leave Management'!$C:$C,Detail!$A10,'Leave Management'!$B:$B,Detail!F$1)</f>
        <v>0</v>
      </c>
      <c r="G10" s="7">
        <f>SUMIFS('Leave Management'!$L:$L,'Leave Management'!$C:$C,Detail!$A10,'Leave Management'!$B:$B,Detail!G$1)</f>
        <v>0</v>
      </c>
      <c r="H10" s="7">
        <f>SUMIFS('Leave Management'!$L:$L,'Leave Management'!$C:$C,Detail!$A10,'Leave Management'!$B:$B,Detail!H$1)</f>
        <v>0</v>
      </c>
      <c r="I10" s="7">
        <f>SUMIFS('Leave Management'!$L:$L,'Leave Management'!$C:$C,Detail!$A10,'Leave Management'!$B:$B,Detail!I$1)</f>
        <v>0</v>
      </c>
      <c r="J10" s="7">
        <f>SUMIFS('Leave Management'!$L:$L,'Leave Management'!$C:$C,Detail!$A10,'Leave Management'!$B:$B,Detail!J$1)</f>
        <v>0</v>
      </c>
      <c r="K10" s="7">
        <f>SUMIFS('Leave Management'!$L:$L,'Leave Management'!$C:$C,Detail!$A10,'Leave Management'!$B:$B,Detail!K$1)</f>
        <v>0</v>
      </c>
      <c r="L10" s="7">
        <f>SUMIFS('Leave Management'!$L:$L,'Leave Management'!$C:$C,Detail!$A10,'Leave Management'!$B:$B,Detail!L$1)</f>
        <v>0</v>
      </c>
      <c r="M10" s="7">
        <f>SUMIFS('Leave Management'!$L:$L,'Leave Management'!$C:$C,Detail!$A10,'Leave Management'!$B:$B,Detail!M$1)</f>
        <v>0</v>
      </c>
      <c r="N10" s="7">
        <f>SUMIFS('Leave Management'!$L:$L,'Leave Management'!$C:$C,Detail!$A10,'Leave Management'!$B:$B,Detail!N$1)</f>
        <v>0</v>
      </c>
      <c r="O10" s="7">
        <f t="shared" si="2"/>
        <v>11</v>
      </c>
    </row>
    <row r="11" spans="1:15" x14ac:dyDescent="0.25">
      <c r="A11" s="24">
        <v>43109</v>
      </c>
      <c r="B11" s="2" t="str">
        <f t="shared" si="1"/>
        <v>Tue</v>
      </c>
      <c r="C11" s="7">
        <f>SUMIFS('Leave Management'!$L:$L,'Leave Management'!$C:$C,Detail!$A11,'Leave Management'!$B:$B,Detail!C$1)</f>
        <v>0</v>
      </c>
      <c r="D11" s="7">
        <f>SUMIFS('Leave Management'!$L:$L,'Leave Management'!$C:$C,Detail!$A11,'Leave Management'!$B:$B,Detail!D$1)</f>
        <v>1</v>
      </c>
      <c r="E11" s="7">
        <f>SUMIFS('Leave Management'!$L:$L,'Leave Management'!$C:$C,Detail!$A11,'Leave Management'!$B:$B,Detail!E$1)</f>
        <v>0</v>
      </c>
      <c r="F11" s="7">
        <f>SUMIFS('Leave Management'!$L:$L,'Leave Management'!$C:$C,Detail!$A11,'Leave Management'!$B:$B,Detail!F$1)</f>
        <v>0</v>
      </c>
      <c r="G11" s="7">
        <f>SUMIFS('Leave Management'!$L:$L,'Leave Management'!$C:$C,Detail!$A11,'Leave Management'!$B:$B,Detail!G$1)</f>
        <v>0</v>
      </c>
      <c r="H11" s="7">
        <f>SUMIFS('Leave Management'!$L:$L,'Leave Management'!$C:$C,Detail!$A11,'Leave Management'!$B:$B,Detail!H$1)</f>
        <v>0</v>
      </c>
      <c r="I11" s="7">
        <f>SUMIFS('Leave Management'!$L:$L,'Leave Management'!$C:$C,Detail!$A11,'Leave Management'!$B:$B,Detail!I$1)</f>
        <v>0</v>
      </c>
      <c r="J11" s="7">
        <f>SUMIFS('Leave Management'!$L:$L,'Leave Management'!$C:$C,Detail!$A11,'Leave Management'!$B:$B,Detail!J$1)</f>
        <v>0</v>
      </c>
      <c r="K11" s="7">
        <f>SUMIFS('Leave Management'!$L:$L,'Leave Management'!$C:$C,Detail!$A11,'Leave Management'!$B:$B,Detail!K$1)</f>
        <v>0</v>
      </c>
      <c r="L11" s="7">
        <f>SUMIFS('Leave Management'!$L:$L,'Leave Management'!$C:$C,Detail!$A11,'Leave Management'!$B:$B,Detail!L$1)</f>
        <v>0</v>
      </c>
      <c r="M11" s="7">
        <f>SUMIFS('Leave Management'!$L:$L,'Leave Management'!$C:$C,Detail!$A11,'Leave Management'!$B:$B,Detail!M$1)</f>
        <v>0</v>
      </c>
      <c r="N11" s="7">
        <f>SUMIFS('Leave Management'!$L:$L,'Leave Management'!$C:$C,Detail!$A11,'Leave Management'!$B:$B,Detail!N$1)</f>
        <v>0</v>
      </c>
      <c r="O11" s="7">
        <f t="shared" si="2"/>
        <v>11</v>
      </c>
    </row>
    <row r="12" spans="1:15" x14ac:dyDescent="0.25">
      <c r="A12" s="24">
        <v>43110</v>
      </c>
      <c r="B12" s="2" t="str">
        <f t="shared" si="1"/>
        <v>Wed</v>
      </c>
      <c r="C12" s="7">
        <f>SUMIFS('Leave Management'!$L:$L,'Leave Management'!$C:$C,Detail!$A12,'Leave Management'!$B:$B,Detail!C$1)</f>
        <v>0</v>
      </c>
      <c r="D12" s="7">
        <f>SUMIFS('Leave Management'!$L:$L,'Leave Management'!$C:$C,Detail!$A12,'Leave Management'!$B:$B,Detail!D$1)</f>
        <v>0</v>
      </c>
      <c r="E12" s="7">
        <f>SUMIFS('Leave Management'!$L:$L,'Leave Management'!$C:$C,Detail!$A12,'Leave Management'!$B:$B,Detail!E$1)</f>
        <v>1</v>
      </c>
      <c r="F12" s="7">
        <f>SUMIFS('Leave Management'!$L:$L,'Leave Management'!$C:$C,Detail!$A12,'Leave Management'!$B:$B,Detail!F$1)</f>
        <v>0</v>
      </c>
      <c r="G12" s="7">
        <f>SUMIFS('Leave Management'!$L:$L,'Leave Management'!$C:$C,Detail!$A12,'Leave Management'!$B:$B,Detail!G$1)</f>
        <v>0</v>
      </c>
      <c r="H12" s="7">
        <f>SUMIFS('Leave Management'!$L:$L,'Leave Management'!$C:$C,Detail!$A12,'Leave Management'!$B:$B,Detail!H$1)</f>
        <v>0</v>
      </c>
      <c r="I12" s="7">
        <f>SUMIFS('Leave Management'!$L:$L,'Leave Management'!$C:$C,Detail!$A12,'Leave Management'!$B:$B,Detail!I$1)</f>
        <v>0</v>
      </c>
      <c r="J12" s="7">
        <f>SUMIFS('Leave Management'!$L:$L,'Leave Management'!$C:$C,Detail!$A12,'Leave Management'!$B:$B,Detail!J$1)</f>
        <v>0</v>
      </c>
      <c r="K12" s="7">
        <f>SUMIFS('Leave Management'!$L:$L,'Leave Management'!$C:$C,Detail!$A12,'Leave Management'!$B:$B,Detail!K$1)</f>
        <v>0</v>
      </c>
      <c r="L12" s="7">
        <f>SUMIFS('Leave Management'!$L:$L,'Leave Management'!$C:$C,Detail!$A12,'Leave Management'!$B:$B,Detail!L$1)</f>
        <v>0</v>
      </c>
      <c r="M12" s="7">
        <f>SUMIFS('Leave Management'!$L:$L,'Leave Management'!$C:$C,Detail!$A12,'Leave Management'!$B:$B,Detail!M$1)</f>
        <v>0</v>
      </c>
      <c r="N12" s="7">
        <f>SUMIFS('Leave Management'!$L:$L,'Leave Management'!$C:$C,Detail!$A12,'Leave Management'!$B:$B,Detail!N$1)</f>
        <v>0</v>
      </c>
      <c r="O12" s="7">
        <f t="shared" si="2"/>
        <v>11</v>
      </c>
    </row>
    <row r="13" spans="1:15" x14ac:dyDescent="0.25">
      <c r="A13" s="24">
        <v>43111</v>
      </c>
      <c r="B13" s="2" t="str">
        <f t="shared" si="1"/>
        <v>Thu</v>
      </c>
      <c r="C13" s="7">
        <f>SUMIFS('Leave Management'!$L:$L,'Leave Management'!$C:$C,Detail!$A13,'Leave Management'!$B:$B,Detail!C$1)</f>
        <v>0</v>
      </c>
      <c r="D13" s="7">
        <f>SUMIFS('Leave Management'!$L:$L,'Leave Management'!$C:$C,Detail!$A13,'Leave Management'!$B:$B,Detail!D$1)</f>
        <v>0</v>
      </c>
      <c r="E13" s="7">
        <f>SUMIFS('Leave Management'!$L:$L,'Leave Management'!$C:$C,Detail!$A13,'Leave Management'!$B:$B,Detail!E$1)</f>
        <v>1</v>
      </c>
      <c r="F13" s="7">
        <f>SUMIFS('Leave Management'!$L:$L,'Leave Management'!$C:$C,Detail!$A13,'Leave Management'!$B:$B,Detail!F$1)</f>
        <v>0</v>
      </c>
      <c r="G13" s="7">
        <f>SUMIFS('Leave Management'!$L:$L,'Leave Management'!$C:$C,Detail!$A13,'Leave Management'!$B:$B,Detail!G$1)</f>
        <v>0</v>
      </c>
      <c r="H13" s="7">
        <f>SUMIFS('Leave Management'!$L:$L,'Leave Management'!$C:$C,Detail!$A13,'Leave Management'!$B:$B,Detail!H$1)</f>
        <v>0</v>
      </c>
      <c r="I13" s="7">
        <f>SUMIFS('Leave Management'!$L:$L,'Leave Management'!$C:$C,Detail!$A13,'Leave Management'!$B:$B,Detail!I$1)</f>
        <v>0</v>
      </c>
      <c r="J13" s="7">
        <f>SUMIFS('Leave Management'!$L:$L,'Leave Management'!$C:$C,Detail!$A13,'Leave Management'!$B:$B,Detail!J$1)</f>
        <v>0</v>
      </c>
      <c r="K13" s="7">
        <f>SUMIFS('Leave Management'!$L:$L,'Leave Management'!$C:$C,Detail!$A13,'Leave Management'!$B:$B,Detail!K$1)</f>
        <v>0</v>
      </c>
      <c r="L13" s="7">
        <f>SUMIFS('Leave Management'!$L:$L,'Leave Management'!$C:$C,Detail!$A13,'Leave Management'!$B:$B,Detail!L$1)</f>
        <v>0</v>
      </c>
      <c r="M13" s="7">
        <f>SUMIFS('Leave Management'!$L:$L,'Leave Management'!$C:$C,Detail!$A13,'Leave Management'!$B:$B,Detail!M$1)</f>
        <v>0</v>
      </c>
      <c r="N13" s="7">
        <f>SUMIFS('Leave Management'!$L:$L,'Leave Management'!$C:$C,Detail!$A13,'Leave Management'!$B:$B,Detail!N$1)</f>
        <v>0</v>
      </c>
      <c r="O13" s="7">
        <f t="shared" si="2"/>
        <v>11</v>
      </c>
    </row>
    <row r="14" spans="1:15" x14ac:dyDescent="0.25">
      <c r="A14" s="24">
        <v>43112</v>
      </c>
      <c r="B14" s="2" t="str">
        <f t="shared" si="1"/>
        <v>Fri</v>
      </c>
      <c r="C14" s="7">
        <f>SUMIFS('Leave Management'!$L:$L,'Leave Management'!$C:$C,Detail!$A14,'Leave Management'!$B:$B,Detail!C$1)</f>
        <v>0</v>
      </c>
      <c r="D14" s="7">
        <f>SUMIFS('Leave Management'!$L:$L,'Leave Management'!$C:$C,Detail!$A14,'Leave Management'!$B:$B,Detail!D$1)</f>
        <v>0</v>
      </c>
      <c r="E14" s="7">
        <f>SUMIFS('Leave Management'!$L:$L,'Leave Management'!$C:$C,Detail!$A14,'Leave Management'!$B:$B,Detail!E$1)</f>
        <v>1</v>
      </c>
      <c r="F14" s="7">
        <f>SUMIFS('Leave Management'!$L:$L,'Leave Management'!$C:$C,Detail!$A14,'Leave Management'!$B:$B,Detail!F$1)</f>
        <v>0</v>
      </c>
      <c r="G14" s="7">
        <f>SUMIFS('Leave Management'!$L:$L,'Leave Management'!$C:$C,Detail!$A14,'Leave Management'!$B:$B,Detail!G$1)</f>
        <v>0</v>
      </c>
      <c r="H14" s="7">
        <f>SUMIFS('Leave Management'!$L:$L,'Leave Management'!$C:$C,Detail!$A14,'Leave Management'!$B:$B,Detail!H$1)</f>
        <v>0</v>
      </c>
      <c r="I14" s="7">
        <f>SUMIFS('Leave Management'!$L:$L,'Leave Management'!$C:$C,Detail!$A14,'Leave Management'!$B:$B,Detail!I$1)</f>
        <v>0</v>
      </c>
      <c r="J14" s="7">
        <f>SUMIFS('Leave Management'!$L:$L,'Leave Management'!$C:$C,Detail!$A14,'Leave Management'!$B:$B,Detail!J$1)</f>
        <v>0</v>
      </c>
      <c r="K14" s="7">
        <f>SUMIFS('Leave Management'!$L:$L,'Leave Management'!$C:$C,Detail!$A14,'Leave Management'!$B:$B,Detail!K$1)</f>
        <v>0</v>
      </c>
      <c r="L14" s="7">
        <f>SUMIFS('Leave Management'!$L:$L,'Leave Management'!$C:$C,Detail!$A14,'Leave Management'!$B:$B,Detail!L$1)</f>
        <v>0</v>
      </c>
      <c r="M14" s="7">
        <f>SUMIFS('Leave Management'!$L:$L,'Leave Management'!$C:$C,Detail!$A14,'Leave Management'!$B:$B,Detail!M$1)</f>
        <v>0</v>
      </c>
      <c r="N14" s="7">
        <f>SUMIFS('Leave Management'!$L:$L,'Leave Management'!$C:$C,Detail!$A14,'Leave Management'!$B:$B,Detail!N$1)</f>
        <v>0</v>
      </c>
      <c r="O14" s="7">
        <f t="shared" si="2"/>
        <v>11</v>
      </c>
    </row>
    <row r="15" spans="1:15" x14ac:dyDescent="0.25">
      <c r="A15" s="24">
        <v>43113</v>
      </c>
      <c r="B15" s="2" t="str">
        <f t="shared" si="1"/>
        <v>Sat</v>
      </c>
      <c r="C15" s="7">
        <f>SUMIFS('Leave Management'!$L:$L,'Leave Management'!$C:$C,Detail!$A15,'Leave Management'!$B:$B,Detail!C$1)</f>
        <v>0</v>
      </c>
      <c r="D15" s="7">
        <f>SUMIFS('Leave Management'!$L:$L,'Leave Management'!$C:$C,Detail!$A15,'Leave Management'!$B:$B,Detail!D$1)</f>
        <v>0</v>
      </c>
      <c r="E15" s="7">
        <f>SUMIFS('Leave Management'!$L:$L,'Leave Management'!$C:$C,Detail!$A15,'Leave Management'!$B:$B,Detail!E$1)</f>
        <v>0</v>
      </c>
      <c r="F15" s="7">
        <f>SUMIFS('Leave Management'!$L:$L,'Leave Management'!$C:$C,Detail!$A15,'Leave Management'!$B:$B,Detail!F$1)</f>
        <v>0</v>
      </c>
      <c r="G15" s="7">
        <f>SUMIFS('Leave Management'!$L:$L,'Leave Management'!$C:$C,Detail!$A15,'Leave Management'!$B:$B,Detail!G$1)</f>
        <v>0</v>
      </c>
      <c r="H15" s="7">
        <f>SUMIFS('Leave Management'!$L:$L,'Leave Management'!$C:$C,Detail!$A15,'Leave Management'!$B:$B,Detail!H$1)</f>
        <v>0</v>
      </c>
      <c r="I15" s="7">
        <f>SUMIFS('Leave Management'!$L:$L,'Leave Management'!$C:$C,Detail!$A15,'Leave Management'!$B:$B,Detail!I$1)</f>
        <v>0</v>
      </c>
      <c r="J15" s="7">
        <f>SUMIFS('Leave Management'!$L:$L,'Leave Management'!$C:$C,Detail!$A15,'Leave Management'!$B:$B,Detail!J$1)</f>
        <v>0</v>
      </c>
      <c r="K15" s="7">
        <f>SUMIFS('Leave Management'!$L:$L,'Leave Management'!$C:$C,Detail!$A15,'Leave Management'!$B:$B,Detail!K$1)</f>
        <v>0</v>
      </c>
      <c r="L15" s="7">
        <f>SUMIFS('Leave Management'!$L:$L,'Leave Management'!$C:$C,Detail!$A15,'Leave Management'!$B:$B,Detail!L$1)</f>
        <v>0</v>
      </c>
      <c r="M15" s="7">
        <f>SUMIFS('Leave Management'!$L:$L,'Leave Management'!$C:$C,Detail!$A15,'Leave Management'!$B:$B,Detail!M$1)</f>
        <v>0</v>
      </c>
      <c r="N15" s="7">
        <f>SUMIFS('Leave Management'!$L:$L,'Leave Management'!$C:$C,Detail!$A15,'Leave Management'!$B:$B,Detail!N$1)</f>
        <v>0</v>
      </c>
      <c r="O15" s="7">
        <f t="shared" si="2"/>
        <v>12</v>
      </c>
    </row>
    <row r="16" spans="1:15" x14ac:dyDescent="0.25">
      <c r="A16" s="24">
        <v>43114</v>
      </c>
      <c r="B16" s="2" t="str">
        <f t="shared" si="1"/>
        <v>Sun</v>
      </c>
      <c r="C16" s="7">
        <f>SUMIFS('Leave Management'!$L:$L,'Leave Management'!$C:$C,Detail!$A16,'Leave Management'!$B:$B,Detail!C$1)</f>
        <v>0</v>
      </c>
      <c r="D16" s="7">
        <f>SUMIFS('Leave Management'!$L:$L,'Leave Management'!$C:$C,Detail!$A16,'Leave Management'!$B:$B,Detail!D$1)</f>
        <v>0</v>
      </c>
      <c r="E16" s="7">
        <f>SUMIFS('Leave Management'!$L:$L,'Leave Management'!$C:$C,Detail!$A16,'Leave Management'!$B:$B,Detail!E$1)</f>
        <v>0</v>
      </c>
      <c r="F16" s="7">
        <f>SUMIFS('Leave Management'!$L:$L,'Leave Management'!$C:$C,Detail!$A16,'Leave Management'!$B:$B,Detail!F$1)</f>
        <v>0</v>
      </c>
      <c r="G16" s="7">
        <f>SUMIFS('Leave Management'!$L:$L,'Leave Management'!$C:$C,Detail!$A16,'Leave Management'!$B:$B,Detail!G$1)</f>
        <v>0</v>
      </c>
      <c r="H16" s="7">
        <f>SUMIFS('Leave Management'!$L:$L,'Leave Management'!$C:$C,Detail!$A16,'Leave Management'!$B:$B,Detail!H$1)</f>
        <v>0</v>
      </c>
      <c r="I16" s="7">
        <f>SUMIFS('Leave Management'!$L:$L,'Leave Management'!$C:$C,Detail!$A16,'Leave Management'!$B:$B,Detail!I$1)</f>
        <v>0</v>
      </c>
      <c r="J16" s="7">
        <f>SUMIFS('Leave Management'!$L:$L,'Leave Management'!$C:$C,Detail!$A16,'Leave Management'!$B:$B,Detail!J$1)</f>
        <v>0</v>
      </c>
      <c r="K16" s="7">
        <f>SUMIFS('Leave Management'!$L:$L,'Leave Management'!$C:$C,Detail!$A16,'Leave Management'!$B:$B,Detail!K$1)</f>
        <v>0</v>
      </c>
      <c r="L16" s="7">
        <f>SUMIFS('Leave Management'!$L:$L,'Leave Management'!$C:$C,Detail!$A16,'Leave Management'!$B:$B,Detail!L$1)</f>
        <v>0</v>
      </c>
      <c r="M16" s="7">
        <f>SUMIFS('Leave Management'!$L:$L,'Leave Management'!$C:$C,Detail!$A16,'Leave Management'!$B:$B,Detail!M$1)</f>
        <v>0</v>
      </c>
      <c r="N16" s="7">
        <f>SUMIFS('Leave Management'!$L:$L,'Leave Management'!$C:$C,Detail!$A16,'Leave Management'!$B:$B,Detail!N$1)</f>
        <v>0</v>
      </c>
      <c r="O16" s="7">
        <f t="shared" si="2"/>
        <v>12</v>
      </c>
    </row>
    <row r="17" spans="1:15" x14ac:dyDescent="0.25">
      <c r="A17" s="24">
        <v>43115</v>
      </c>
      <c r="B17" s="2" t="str">
        <f t="shared" si="1"/>
        <v>Mon</v>
      </c>
      <c r="C17" s="7">
        <f>SUMIFS('Leave Management'!$L:$L,'Leave Management'!$C:$C,Detail!$A17,'Leave Management'!$B:$B,Detail!C$1)</f>
        <v>1</v>
      </c>
      <c r="D17" s="7">
        <f>SUMIFS('Leave Management'!$L:$L,'Leave Management'!$C:$C,Detail!$A17,'Leave Management'!$B:$B,Detail!D$1)</f>
        <v>0</v>
      </c>
      <c r="E17" s="7">
        <f>SUMIFS('Leave Management'!$L:$L,'Leave Management'!$C:$C,Detail!$A17,'Leave Management'!$B:$B,Detail!E$1)</f>
        <v>0</v>
      </c>
      <c r="F17" s="7">
        <f>SUMIFS('Leave Management'!$L:$L,'Leave Management'!$C:$C,Detail!$A17,'Leave Management'!$B:$B,Detail!F$1)</f>
        <v>0</v>
      </c>
      <c r="G17" s="7">
        <f>SUMIFS('Leave Management'!$L:$L,'Leave Management'!$C:$C,Detail!$A17,'Leave Management'!$B:$B,Detail!G$1)</f>
        <v>0</v>
      </c>
      <c r="H17" s="7">
        <f>SUMIFS('Leave Management'!$L:$L,'Leave Management'!$C:$C,Detail!$A17,'Leave Management'!$B:$B,Detail!H$1)</f>
        <v>0</v>
      </c>
      <c r="I17" s="7">
        <f>SUMIFS('Leave Management'!$L:$L,'Leave Management'!$C:$C,Detail!$A17,'Leave Management'!$B:$B,Detail!I$1)</f>
        <v>0</v>
      </c>
      <c r="J17" s="7">
        <f>SUMIFS('Leave Management'!$L:$L,'Leave Management'!$C:$C,Detail!$A17,'Leave Management'!$B:$B,Detail!J$1)</f>
        <v>0</v>
      </c>
      <c r="K17" s="7">
        <f>SUMIFS('Leave Management'!$L:$L,'Leave Management'!$C:$C,Detail!$A17,'Leave Management'!$B:$B,Detail!K$1)</f>
        <v>0</v>
      </c>
      <c r="L17" s="7">
        <f>SUMIFS('Leave Management'!$L:$L,'Leave Management'!$C:$C,Detail!$A17,'Leave Management'!$B:$B,Detail!L$1)</f>
        <v>0</v>
      </c>
      <c r="M17" s="7">
        <f>SUMIFS('Leave Management'!$L:$L,'Leave Management'!$C:$C,Detail!$A17,'Leave Management'!$B:$B,Detail!M$1)</f>
        <v>0</v>
      </c>
      <c r="N17" s="7">
        <f>SUMIFS('Leave Management'!$L:$L,'Leave Management'!$C:$C,Detail!$A17,'Leave Management'!$B:$B,Detail!N$1)</f>
        <v>0</v>
      </c>
      <c r="O17" s="7">
        <f t="shared" si="2"/>
        <v>11</v>
      </c>
    </row>
    <row r="18" spans="1:15" x14ac:dyDescent="0.25">
      <c r="A18" s="24">
        <v>43116</v>
      </c>
      <c r="B18" s="2" t="str">
        <f t="shared" si="1"/>
        <v>Tue</v>
      </c>
      <c r="C18" s="7">
        <f>SUMIFS('Leave Management'!$L:$L,'Leave Management'!$C:$C,Detail!$A18,'Leave Management'!$B:$B,Detail!C$1)</f>
        <v>1</v>
      </c>
      <c r="D18" s="7">
        <f>SUMIFS('Leave Management'!$L:$L,'Leave Management'!$C:$C,Detail!$A18,'Leave Management'!$B:$B,Detail!D$1)</f>
        <v>0</v>
      </c>
      <c r="E18" s="7">
        <f>SUMIFS('Leave Management'!$L:$L,'Leave Management'!$C:$C,Detail!$A18,'Leave Management'!$B:$B,Detail!E$1)</f>
        <v>0</v>
      </c>
      <c r="F18" s="7">
        <f>SUMIFS('Leave Management'!$L:$L,'Leave Management'!$C:$C,Detail!$A18,'Leave Management'!$B:$B,Detail!F$1)</f>
        <v>0</v>
      </c>
      <c r="G18" s="7">
        <f>SUMIFS('Leave Management'!$L:$L,'Leave Management'!$C:$C,Detail!$A18,'Leave Management'!$B:$B,Detail!G$1)</f>
        <v>0</v>
      </c>
      <c r="H18" s="7">
        <f>SUMIFS('Leave Management'!$L:$L,'Leave Management'!$C:$C,Detail!$A18,'Leave Management'!$B:$B,Detail!H$1)</f>
        <v>0</v>
      </c>
      <c r="I18" s="7">
        <f>SUMIFS('Leave Management'!$L:$L,'Leave Management'!$C:$C,Detail!$A18,'Leave Management'!$B:$B,Detail!I$1)</f>
        <v>0</v>
      </c>
      <c r="J18" s="7">
        <f>SUMIFS('Leave Management'!$L:$L,'Leave Management'!$C:$C,Detail!$A18,'Leave Management'!$B:$B,Detail!J$1)</f>
        <v>0</v>
      </c>
      <c r="K18" s="7">
        <f>SUMIFS('Leave Management'!$L:$L,'Leave Management'!$C:$C,Detail!$A18,'Leave Management'!$B:$B,Detail!K$1)</f>
        <v>0</v>
      </c>
      <c r="L18" s="7">
        <f>SUMIFS('Leave Management'!$L:$L,'Leave Management'!$C:$C,Detail!$A18,'Leave Management'!$B:$B,Detail!L$1)</f>
        <v>0</v>
      </c>
      <c r="M18" s="7">
        <f>SUMIFS('Leave Management'!$L:$L,'Leave Management'!$C:$C,Detail!$A18,'Leave Management'!$B:$B,Detail!M$1)</f>
        <v>0</v>
      </c>
      <c r="N18" s="7">
        <f>SUMIFS('Leave Management'!$L:$L,'Leave Management'!$C:$C,Detail!$A18,'Leave Management'!$B:$B,Detail!N$1)</f>
        <v>0</v>
      </c>
      <c r="O18" s="7">
        <f t="shared" si="2"/>
        <v>11</v>
      </c>
    </row>
    <row r="19" spans="1:15" x14ac:dyDescent="0.25">
      <c r="A19" s="24">
        <v>43117</v>
      </c>
      <c r="B19" s="2" t="str">
        <f t="shared" si="1"/>
        <v>Wed</v>
      </c>
      <c r="C19" s="7">
        <f>SUMIFS('Leave Management'!$L:$L,'Leave Management'!$C:$C,Detail!$A19,'Leave Management'!$B:$B,Detail!C$1)</f>
        <v>1</v>
      </c>
      <c r="D19" s="7">
        <f>SUMIFS('Leave Management'!$L:$L,'Leave Management'!$C:$C,Detail!$A19,'Leave Management'!$B:$B,Detail!D$1)</f>
        <v>0</v>
      </c>
      <c r="E19" s="7">
        <f>SUMIFS('Leave Management'!$L:$L,'Leave Management'!$C:$C,Detail!$A19,'Leave Management'!$B:$B,Detail!E$1)</f>
        <v>0</v>
      </c>
      <c r="F19" s="7">
        <f>SUMIFS('Leave Management'!$L:$L,'Leave Management'!$C:$C,Detail!$A19,'Leave Management'!$B:$B,Detail!F$1)</f>
        <v>0</v>
      </c>
      <c r="G19" s="7">
        <f>SUMIFS('Leave Management'!$L:$L,'Leave Management'!$C:$C,Detail!$A19,'Leave Management'!$B:$B,Detail!G$1)</f>
        <v>0</v>
      </c>
      <c r="H19" s="7">
        <f>SUMIFS('Leave Management'!$L:$L,'Leave Management'!$C:$C,Detail!$A19,'Leave Management'!$B:$B,Detail!H$1)</f>
        <v>0</v>
      </c>
      <c r="I19" s="7">
        <f>SUMIFS('Leave Management'!$L:$L,'Leave Management'!$C:$C,Detail!$A19,'Leave Management'!$B:$B,Detail!I$1)</f>
        <v>0</v>
      </c>
      <c r="J19" s="7">
        <f>SUMIFS('Leave Management'!$L:$L,'Leave Management'!$C:$C,Detail!$A19,'Leave Management'!$B:$B,Detail!J$1)</f>
        <v>0</v>
      </c>
      <c r="K19" s="7">
        <f>SUMIFS('Leave Management'!$L:$L,'Leave Management'!$C:$C,Detail!$A19,'Leave Management'!$B:$B,Detail!K$1)</f>
        <v>0</v>
      </c>
      <c r="L19" s="7">
        <f>SUMIFS('Leave Management'!$L:$L,'Leave Management'!$C:$C,Detail!$A19,'Leave Management'!$B:$B,Detail!L$1)</f>
        <v>0</v>
      </c>
      <c r="M19" s="7">
        <f>SUMIFS('Leave Management'!$L:$L,'Leave Management'!$C:$C,Detail!$A19,'Leave Management'!$B:$B,Detail!M$1)</f>
        <v>0</v>
      </c>
      <c r="N19" s="7">
        <f>SUMIFS('Leave Management'!$L:$L,'Leave Management'!$C:$C,Detail!$A19,'Leave Management'!$B:$B,Detail!N$1)</f>
        <v>0</v>
      </c>
      <c r="O19" s="7">
        <f t="shared" si="2"/>
        <v>11</v>
      </c>
    </row>
    <row r="20" spans="1:15" x14ac:dyDescent="0.25">
      <c r="A20" s="24">
        <v>43118</v>
      </c>
      <c r="B20" s="2" t="str">
        <f t="shared" si="1"/>
        <v>Thu</v>
      </c>
      <c r="C20" s="7">
        <f>SUMIFS('Leave Management'!$L:$L,'Leave Management'!$C:$C,Detail!$A20,'Leave Management'!$B:$B,Detail!C$1)</f>
        <v>1</v>
      </c>
      <c r="D20" s="7">
        <f>SUMIFS('Leave Management'!$L:$L,'Leave Management'!$C:$C,Detail!$A20,'Leave Management'!$B:$B,Detail!D$1)</f>
        <v>0</v>
      </c>
      <c r="E20" s="7">
        <f>SUMIFS('Leave Management'!$L:$L,'Leave Management'!$C:$C,Detail!$A20,'Leave Management'!$B:$B,Detail!E$1)</f>
        <v>0</v>
      </c>
      <c r="F20" s="7">
        <f>SUMIFS('Leave Management'!$L:$L,'Leave Management'!$C:$C,Detail!$A20,'Leave Management'!$B:$B,Detail!F$1)</f>
        <v>0</v>
      </c>
      <c r="G20" s="7">
        <f>SUMIFS('Leave Management'!$L:$L,'Leave Management'!$C:$C,Detail!$A20,'Leave Management'!$B:$B,Detail!G$1)</f>
        <v>0</v>
      </c>
      <c r="H20" s="7">
        <f>SUMIFS('Leave Management'!$L:$L,'Leave Management'!$C:$C,Detail!$A20,'Leave Management'!$B:$B,Detail!H$1)</f>
        <v>0</v>
      </c>
      <c r="I20" s="7">
        <f>SUMIFS('Leave Management'!$L:$L,'Leave Management'!$C:$C,Detail!$A20,'Leave Management'!$B:$B,Detail!I$1)</f>
        <v>0</v>
      </c>
      <c r="J20" s="7">
        <f>SUMIFS('Leave Management'!$L:$L,'Leave Management'!$C:$C,Detail!$A20,'Leave Management'!$B:$B,Detail!J$1)</f>
        <v>0</v>
      </c>
      <c r="K20" s="7">
        <f>SUMIFS('Leave Management'!$L:$L,'Leave Management'!$C:$C,Detail!$A20,'Leave Management'!$B:$B,Detail!K$1)</f>
        <v>0</v>
      </c>
      <c r="L20" s="7">
        <f>SUMIFS('Leave Management'!$L:$L,'Leave Management'!$C:$C,Detail!$A20,'Leave Management'!$B:$B,Detail!L$1)</f>
        <v>0</v>
      </c>
      <c r="M20" s="7">
        <f>SUMIFS('Leave Management'!$L:$L,'Leave Management'!$C:$C,Detail!$A20,'Leave Management'!$B:$B,Detail!M$1)</f>
        <v>0</v>
      </c>
      <c r="N20" s="7">
        <f>SUMIFS('Leave Management'!$L:$L,'Leave Management'!$C:$C,Detail!$A20,'Leave Management'!$B:$B,Detail!N$1)</f>
        <v>0</v>
      </c>
      <c r="O20" s="7">
        <f t="shared" si="2"/>
        <v>11</v>
      </c>
    </row>
    <row r="21" spans="1:15" x14ac:dyDescent="0.25">
      <c r="A21" s="24">
        <v>43119</v>
      </c>
      <c r="B21" s="2" t="str">
        <f t="shared" si="1"/>
        <v>Fri</v>
      </c>
      <c r="C21" s="7">
        <f>SUMIFS('Leave Management'!$L:$L,'Leave Management'!$C:$C,Detail!$A21,'Leave Management'!$B:$B,Detail!C$1)</f>
        <v>0</v>
      </c>
      <c r="D21" s="7">
        <f>SUMIFS('Leave Management'!$L:$L,'Leave Management'!$C:$C,Detail!$A21,'Leave Management'!$B:$B,Detail!D$1)</f>
        <v>0</v>
      </c>
      <c r="E21" s="7">
        <f>SUMIFS('Leave Management'!$L:$L,'Leave Management'!$C:$C,Detail!$A21,'Leave Management'!$B:$B,Detail!E$1)</f>
        <v>1</v>
      </c>
      <c r="F21" s="7">
        <f>SUMIFS('Leave Management'!$L:$L,'Leave Management'!$C:$C,Detail!$A21,'Leave Management'!$B:$B,Detail!F$1)</f>
        <v>1</v>
      </c>
      <c r="G21" s="7">
        <f>SUMIFS('Leave Management'!$L:$L,'Leave Management'!$C:$C,Detail!$A21,'Leave Management'!$B:$B,Detail!G$1)</f>
        <v>0</v>
      </c>
      <c r="H21" s="7">
        <f>SUMIFS('Leave Management'!$L:$L,'Leave Management'!$C:$C,Detail!$A21,'Leave Management'!$B:$B,Detail!H$1)</f>
        <v>0</v>
      </c>
      <c r="I21" s="7">
        <f>SUMIFS('Leave Management'!$L:$L,'Leave Management'!$C:$C,Detail!$A21,'Leave Management'!$B:$B,Detail!I$1)</f>
        <v>0</v>
      </c>
      <c r="J21" s="7">
        <f>SUMIFS('Leave Management'!$L:$L,'Leave Management'!$C:$C,Detail!$A21,'Leave Management'!$B:$B,Detail!J$1)</f>
        <v>0</v>
      </c>
      <c r="K21" s="7">
        <f>SUMIFS('Leave Management'!$L:$L,'Leave Management'!$C:$C,Detail!$A21,'Leave Management'!$B:$B,Detail!K$1)</f>
        <v>0</v>
      </c>
      <c r="L21" s="7">
        <f>SUMIFS('Leave Management'!$L:$L,'Leave Management'!$C:$C,Detail!$A21,'Leave Management'!$B:$B,Detail!L$1)</f>
        <v>0</v>
      </c>
      <c r="M21" s="7">
        <f>SUMIFS('Leave Management'!$L:$L,'Leave Management'!$C:$C,Detail!$A21,'Leave Management'!$B:$B,Detail!M$1)</f>
        <v>0</v>
      </c>
      <c r="N21" s="7">
        <f>SUMIFS('Leave Management'!$L:$L,'Leave Management'!$C:$C,Detail!$A21,'Leave Management'!$B:$B,Detail!N$1)</f>
        <v>0</v>
      </c>
      <c r="O21" s="7">
        <f t="shared" si="2"/>
        <v>10</v>
      </c>
    </row>
    <row r="22" spans="1:15" x14ac:dyDescent="0.25">
      <c r="A22" s="24">
        <v>43120</v>
      </c>
      <c r="B22" s="2" t="str">
        <f t="shared" si="1"/>
        <v>Sat</v>
      </c>
      <c r="C22" s="7">
        <f>SUMIFS('Leave Management'!$L:$L,'Leave Management'!$C:$C,Detail!$A22,'Leave Management'!$B:$B,Detail!C$1)</f>
        <v>0</v>
      </c>
      <c r="D22" s="7">
        <f>SUMIFS('Leave Management'!$L:$L,'Leave Management'!$C:$C,Detail!$A22,'Leave Management'!$B:$B,Detail!D$1)</f>
        <v>0</v>
      </c>
      <c r="E22" s="7">
        <f>SUMIFS('Leave Management'!$L:$L,'Leave Management'!$C:$C,Detail!$A22,'Leave Management'!$B:$B,Detail!E$1)</f>
        <v>0</v>
      </c>
      <c r="F22" s="7">
        <f>SUMIFS('Leave Management'!$L:$L,'Leave Management'!$C:$C,Detail!$A22,'Leave Management'!$B:$B,Detail!F$1)</f>
        <v>0</v>
      </c>
      <c r="G22" s="7">
        <f>SUMIFS('Leave Management'!$L:$L,'Leave Management'!$C:$C,Detail!$A22,'Leave Management'!$B:$B,Detail!G$1)</f>
        <v>0</v>
      </c>
      <c r="H22" s="7">
        <f>SUMIFS('Leave Management'!$L:$L,'Leave Management'!$C:$C,Detail!$A22,'Leave Management'!$B:$B,Detail!H$1)</f>
        <v>0</v>
      </c>
      <c r="I22" s="7">
        <f>SUMIFS('Leave Management'!$L:$L,'Leave Management'!$C:$C,Detail!$A22,'Leave Management'!$B:$B,Detail!I$1)</f>
        <v>0</v>
      </c>
      <c r="J22" s="7">
        <f>SUMIFS('Leave Management'!$L:$L,'Leave Management'!$C:$C,Detail!$A22,'Leave Management'!$B:$B,Detail!J$1)</f>
        <v>0</v>
      </c>
      <c r="K22" s="7">
        <f>SUMIFS('Leave Management'!$L:$L,'Leave Management'!$C:$C,Detail!$A22,'Leave Management'!$B:$B,Detail!K$1)</f>
        <v>0</v>
      </c>
      <c r="L22" s="7">
        <f>SUMIFS('Leave Management'!$L:$L,'Leave Management'!$C:$C,Detail!$A22,'Leave Management'!$B:$B,Detail!L$1)</f>
        <v>0</v>
      </c>
      <c r="M22" s="7">
        <f>SUMIFS('Leave Management'!$L:$L,'Leave Management'!$C:$C,Detail!$A22,'Leave Management'!$B:$B,Detail!M$1)</f>
        <v>0</v>
      </c>
      <c r="N22" s="7">
        <f>SUMIFS('Leave Management'!$L:$L,'Leave Management'!$C:$C,Detail!$A22,'Leave Management'!$B:$B,Detail!N$1)</f>
        <v>0</v>
      </c>
      <c r="O22" s="7">
        <f t="shared" si="2"/>
        <v>12</v>
      </c>
    </row>
    <row r="23" spans="1:15" x14ac:dyDescent="0.25">
      <c r="A23" s="24">
        <v>43121</v>
      </c>
      <c r="B23" s="2" t="str">
        <f t="shared" si="1"/>
        <v>Sun</v>
      </c>
      <c r="C23" s="7">
        <f>SUMIFS('Leave Management'!$L:$L,'Leave Management'!$C:$C,Detail!$A23,'Leave Management'!$B:$B,Detail!C$1)</f>
        <v>0</v>
      </c>
      <c r="D23" s="7">
        <f>SUMIFS('Leave Management'!$L:$L,'Leave Management'!$C:$C,Detail!$A23,'Leave Management'!$B:$B,Detail!D$1)</f>
        <v>0</v>
      </c>
      <c r="E23" s="7">
        <f>SUMIFS('Leave Management'!$L:$L,'Leave Management'!$C:$C,Detail!$A23,'Leave Management'!$B:$B,Detail!E$1)</f>
        <v>0</v>
      </c>
      <c r="F23" s="7">
        <f>SUMIFS('Leave Management'!$L:$L,'Leave Management'!$C:$C,Detail!$A23,'Leave Management'!$B:$B,Detail!F$1)</f>
        <v>0</v>
      </c>
      <c r="G23" s="7">
        <f>SUMIFS('Leave Management'!$L:$L,'Leave Management'!$C:$C,Detail!$A23,'Leave Management'!$B:$B,Detail!G$1)</f>
        <v>0</v>
      </c>
      <c r="H23" s="7">
        <f>SUMIFS('Leave Management'!$L:$L,'Leave Management'!$C:$C,Detail!$A23,'Leave Management'!$B:$B,Detail!H$1)</f>
        <v>0</v>
      </c>
      <c r="I23" s="7">
        <f>SUMIFS('Leave Management'!$L:$L,'Leave Management'!$C:$C,Detail!$A23,'Leave Management'!$B:$B,Detail!I$1)</f>
        <v>0</v>
      </c>
      <c r="J23" s="7">
        <f>SUMIFS('Leave Management'!$L:$L,'Leave Management'!$C:$C,Detail!$A23,'Leave Management'!$B:$B,Detail!J$1)</f>
        <v>0</v>
      </c>
      <c r="K23" s="7">
        <f>SUMIFS('Leave Management'!$L:$L,'Leave Management'!$C:$C,Detail!$A23,'Leave Management'!$B:$B,Detail!K$1)</f>
        <v>0</v>
      </c>
      <c r="L23" s="7">
        <f>SUMIFS('Leave Management'!$L:$L,'Leave Management'!$C:$C,Detail!$A23,'Leave Management'!$B:$B,Detail!L$1)</f>
        <v>0</v>
      </c>
      <c r="M23" s="7">
        <f>SUMIFS('Leave Management'!$L:$L,'Leave Management'!$C:$C,Detail!$A23,'Leave Management'!$B:$B,Detail!M$1)</f>
        <v>0</v>
      </c>
      <c r="N23" s="7">
        <f>SUMIFS('Leave Management'!$L:$L,'Leave Management'!$C:$C,Detail!$A23,'Leave Management'!$B:$B,Detail!N$1)</f>
        <v>0</v>
      </c>
      <c r="O23" s="7">
        <f t="shared" si="2"/>
        <v>12</v>
      </c>
    </row>
    <row r="24" spans="1:15" x14ac:dyDescent="0.25">
      <c r="A24" s="24">
        <v>43122</v>
      </c>
      <c r="B24" s="2" t="str">
        <f t="shared" si="1"/>
        <v>Mon</v>
      </c>
      <c r="C24" s="7">
        <f>SUMIFS('Leave Management'!$L:$L,'Leave Management'!$C:$C,Detail!$A24,'Leave Management'!$B:$B,Detail!C$1)</f>
        <v>0</v>
      </c>
      <c r="D24" s="7">
        <f>SUMIFS('Leave Management'!$L:$L,'Leave Management'!$C:$C,Detail!$A24,'Leave Management'!$B:$B,Detail!D$1)</f>
        <v>0</v>
      </c>
      <c r="E24" s="7">
        <f>SUMIFS('Leave Management'!$L:$L,'Leave Management'!$C:$C,Detail!$A24,'Leave Management'!$B:$B,Detail!E$1)</f>
        <v>1</v>
      </c>
      <c r="F24" s="7">
        <f>SUMIFS('Leave Management'!$L:$L,'Leave Management'!$C:$C,Detail!$A24,'Leave Management'!$B:$B,Detail!F$1)</f>
        <v>1</v>
      </c>
      <c r="G24" s="7">
        <f>SUMIFS('Leave Management'!$L:$L,'Leave Management'!$C:$C,Detail!$A24,'Leave Management'!$B:$B,Detail!G$1)</f>
        <v>0</v>
      </c>
      <c r="H24" s="7">
        <f>SUMIFS('Leave Management'!$L:$L,'Leave Management'!$C:$C,Detail!$A24,'Leave Management'!$B:$B,Detail!H$1)</f>
        <v>0</v>
      </c>
      <c r="I24" s="7">
        <f>SUMIFS('Leave Management'!$L:$L,'Leave Management'!$C:$C,Detail!$A24,'Leave Management'!$B:$B,Detail!I$1)</f>
        <v>0</v>
      </c>
      <c r="J24" s="7">
        <f>SUMIFS('Leave Management'!$L:$L,'Leave Management'!$C:$C,Detail!$A24,'Leave Management'!$B:$B,Detail!J$1)</f>
        <v>0</v>
      </c>
      <c r="K24" s="7">
        <f>SUMIFS('Leave Management'!$L:$L,'Leave Management'!$C:$C,Detail!$A24,'Leave Management'!$B:$B,Detail!K$1)</f>
        <v>0</v>
      </c>
      <c r="L24" s="7">
        <f>SUMIFS('Leave Management'!$L:$L,'Leave Management'!$C:$C,Detail!$A24,'Leave Management'!$B:$B,Detail!L$1)</f>
        <v>0</v>
      </c>
      <c r="M24" s="7">
        <f>SUMIFS('Leave Management'!$L:$L,'Leave Management'!$C:$C,Detail!$A24,'Leave Management'!$B:$B,Detail!M$1)</f>
        <v>0</v>
      </c>
      <c r="N24" s="7">
        <f>SUMIFS('Leave Management'!$L:$L,'Leave Management'!$C:$C,Detail!$A24,'Leave Management'!$B:$B,Detail!N$1)</f>
        <v>0</v>
      </c>
      <c r="O24" s="7">
        <f t="shared" si="2"/>
        <v>10</v>
      </c>
    </row>
    <row r="25" spans="1:15" x14ac:dyDescent="0.25">
      <c r="A25" s="24">
        <v>43123</v>
      </c>
      <c r="B25" s="2" t="str">
        <f t="shared" si="1"/>
        <v>Tue</v>
      </c>
      <c r="C25" s="7">
        <f>SUMIFS('Leave Management'!$L:$L,'Leave Management'!$C:$C,Detail!$A25,'Leave Management'!$B:$B,Detail!C$1)</f>
        <v>1</v>
      </c>
      <c r="D25" s="7">
        <f>SUMIFS('Leave Management'!$L:$L,'Leave Management'!$C:$C,Detail!$A25,'Leave Management'!$B:$B,Detail!D$1)</f>
        <v>0</v>
      </c>
      <c r="E25" s="7">
        <f>SUMIFS('Leave Management'!$L:$L,'Leave Management'!$C:$C,Detail!$A25,'Leave Management'!$B:$B,Detail!E$1)</f>
        <v>0</v>
      </c>
      <c r="F25" s="7">
        <f>SUMIFS('Leave Management'!$L:$L,'Leave Management'!$C:$C,Detail!$A25,'Leave Management'!$B:$B,Detail!F$1)</f>
        <v>0</v>
      </c>
      <c r="G25" s="7">
        <f>SUMIFS('Leave Management'!$L:$L,'Leave Management'!$C:$C,Detail!$A25,'Leave Management'!$B:$B,Detail!G$1)</f>
        <v>0</v>
      </c>
      <c r="H25" s="7">
        <f>SUMIFS('Leave Management'!$L:$L,'Leave Management'!$C:$C,Detail!$A25,'Leave Management'!$B:$B,Detail!H$1)</f>
        <v>0</v>
      </c>
      <c r="I25" s="7">
        <f>SUMIFS('Leave Management'!$L:$L,'Leave Management'!$C:$C,Detail!$A25,'Leave Management'!$B:$B,Detail!I$1)</f>
        <v>0</v>
      </c>
      <c r="J25" s="7">
        <f>SUMIFS('Leave Management'!$L:$L,'Leave Management'!$C:$C,Detail!$A25,'Leave Management'!$B:$B,Detail!J$1)</f>
        <v>0</v>
      </c>
      <c r="K25" s="7">
        <f>SUMIFS('Leave Management'!$L:$L,'Leave Management'!$C:$C,Detail!$A25,'Leave Management'!$B:$B,Detail!K$1)</f>
        <v>0</v>
      </c>
      <c r="L25" s="7">
        <f>SUMIFS('Leave Management'!$L:$L,'Leave Management'!$C:$C,Detail!$A25,'Leave Management'!$B:$B,Detail!L$1)</f>
        <v>0</v>
      </c>
      <c r="M25" s="7">
        <f>SUMIFS('Leave Management'!$L:$L,'Leave Management'!$C:$C,Detail!$A25,'Leave Management'!$B:$B,Detail!M$1)</f>
        <v>0</v>
      </c>
      <c r="N25" s="7">
        <f>SUMIFS('Leave Management'!$L:$L,'Leave Management'!$C:$C,Detail!$A25,'Leave Management'!$B:$B,Detail!N$1)</f>
        <v>0</v>
      </c>
      <c r="O25" s="7">
        <f t="shared" si="2"/>
        <v>11</v>
      </c>
    </row>
    <row r="26" spans="1:15" x14ac:dyDescent="0.25">
      <c r="A26" s="24">
        <v>43124</v>
      </c>
      <c r="B26" s="2" t="str">
        <f t="shared" si="1"/>
        <v>Wed</v>
      </c>
      <c r="C26" s="7">
        <f>SUMIFS('Leave Management'!$L:$L,'Leave Management'!$C:$C,Detail!$A26,'Leave Management'!$B:$B,Detail!C$1)</f>
        <v>0</v>
      </c>
      <c r="D26" s="7">
        <f>SUMIFS('Leave Management'!$L:$L,'Leave Management'!$C:$C,Detail!$A26,'Leave Management'!$B:$B,Detail!D$1)</f>
        <v>0</v>
      </c>
      <c r="E26" s="7">
        <f>SUMIFS('Leave Management'!$L:$L,'Leave Management'!$C:$C,Detail!$A26,'Leave Management'!$B:$B,Detail!E$1)</f>
        <v>0</v>
      </c>
      <c r="F26" s="7">
        <f>SUMIFS('Leave Management'!$L:$L,'Leave Management'!$C:$C,Detail!$A26,'Leave Management'!$B:$B,Detail!F$1)</f>
        <v>0</v>
      </c>
      <c r="G26" s="7">
        <f>SUMIFS('Leave Management'!$L:$L,'Leave Management'!$C:$C,Detail!$A26,'Leave Management'!$B:$B,Detail!G$1)</f>
        <v>0</v>
      </c>
      <c r="H26" s="7">
        <f>SUMIFS('Leave Management'!$L:$L,'Leave Management'!$C:$C,Detail!$A26,'Leave Management'!$B:$B,Detail!H$1)</f>
        <v>0</v>
      </c>
      <c r="I26" s="7">
        <f>SUMIFS('Leave Management'!$L:$L,'Leave Management'!$C:$C,Detail!$A26,'Leave Management'!$B:$B,Detail!I$1)</f>
        <v>0</v>
      </c>
      <c r="J26" s="7">
        <f>SUMIFS('Leave Management'!$L:$L,'Leave Management'!$C:$C,Detail!$A26,'Leave Management'!$B:$B,Detail!J$1)</f>
        <v>0</v>
      </c>
      <c r="K26" s="7">
        <f>SUMIFS('Leave Management'!$L:$L,'Leave Management'!$C:$C,Detail!$A26,'Leave Management'!$B:$B,Detail!K$1)</f>
        <v>0</v>
      </c>
      <c r="L26" s="7">
        <f>SUMIFS('Leave Management'!$L:$L,'Leave Management'!$C:$C,Detail!$A26,'Leave Management'!$B:$B,Detail!L$1)</f>
        <v>0</v>
      </c>
      <c r="M26" s="7">
        <f>SUMIFS('Leave Management'!$L:$L,'Leave Management'!$C:$C,Detail!$A26,'Leave Management'!$B:$B,Detail!M$1)</f>
        <v>0</v>
      </c>
      <c r="N26" s="7">
        <f>SUMIFS('Leave Management'!$L:$L,'Leave Management'!$C:$C,Detail!$A26,'Leave Management'!$B:$B,Detail!N$1)</f>
        <v>0</v>
      </c>
      <c r="O26" s="7">
        <f t="shared" si="2"/>
        <v>12</v>
      </c>
    </row>
    <row r="27" spans="1:15" x14ac:dyDescent="0.25">
      <c r="A27" s="24">
        <v>43125</v>
      </c>
      <c r="B27" s="2" t="str">
        <f t="shared" si="1"/>
        <v>Thu</v>
      </c>
      <c r="C27" s="7">
        <f>SUMIFS('Leave Management'!$L:$L,'Leave Management'!$C:$C,Detail!$A27,'Leave Management'!$B:$B,Detail!C$1)</f>
        <v>0</v>
      </c>
      <c r="D27" s="7">
        <f>SUMIFS('Leave Management'!$L:$L,'Leave Management'!$C:$C,Detail!$A27,'Leave Management'!$B:$B,Detail!D$1)</f>
        <v>0</v>
      </c>
      <c r="E27" s="7">
        <f>SUMIFS('Leave Management'!$L:$L,'Leave Management'!$C:$C,Detail!$A27,'Leave Management'!$B:$B,Detail!E$1)</f>
        <v>1</v>
      </c>
      <c r="F27" s="7">
        <f>SUMIFS('Leave Management'!$L:$L,'Leave Management'!$C:$C,Detail!$A27,'Leave Management'!$B:$B,Detail!F$1)</f>
        <v>0</v>
      </c>
      <c r="G27" s="7">
        <f>SUMIFS('Leave Management'!$L:$L,'Leave Management'!$C:$C,Detail!$A27,'Leave Management'!$B:$B,Detail!G$1)</f>
        <v>0</v>
      </c>
      <c r="H27" s="7">
        <f>SUMIFS('Leave Management'!$L:$L,'Leave Management'!$C:$C,Detail!$A27,'Leave Management'!$B:$B,Detail!H$1)</f>
        <v>0</v>
      </c>
      <c r="I27" s="7">
        <f>SUMIFS('Leave Management'!$L:$L,'Leave Management'!$C:$C,Detail!$A27,'Leave Management'!$B:$B,Detail!I$1)</f>
        <v>0</v>
      </c>
      <c r="J27" s="7">
        <f>SUMIFS('Leave Management'!$L:$L,'Leave Management'!$C:$C,Detail!$A27,'Leave Management'!$B:$B,Detail!J$1)</f>
        <v>0</v>
      </c>
      <c r="K27" s="7">
        <f>SUMIFS('Leave Management'!$L:$L,'Leave Management'!$C:$C,Detail!$A27,'Leave Management'!$B:$B,Detail!K$1)</f>
        <v>0</v>
      </c>
      <c r="L27" s="7">
        <f>SUMIFS('Leave Management'!$L:$L,'Leave Management'!$C:$C,Detail!$A27,'Leave Management'!$B:$B,Detail!L$1)</f>
        <v>0</v>
      </c>
      <c r="M27" s="7">
        <f>SUMIFS('Leave Management'!$L:$L,'Leave Management'!$C:$C,Detail!$A27,'Leave Management'!$B:$B,Detail!M$1)</f>
        <v>0</v>
      </c>
      <c r="N27" s="7">
        <f>SUMIFS('Leave Management'!$L:$L,'Leave Management'!$C:$C,Detail!$A27,'Leave Management'!$B:$B,Detail!N$1)</f>
        <v>0</v>
      </c>
      <c r="O27" s="7">
        <f t="shared" si="2"/>
        <v>11</v>
      </c>
    </row>
    <row r="28" spans="1:15" x14ac:dyDescent="0.25">
      <c r="A28" s="24">
        <v>43126</v>
      </c>
      <c r="B28" s="2" t="str">
        <f t="shared" si="1"/>
        <v>Fri</v>
      </c>
      <c r="C28" s="7">
        <f>SUMIFS('Leave Management'!$L:$L,'Leave Management'!$C:$C,Detail!$A28,'Leave Management'!$B:$B,Detail!C$1)</f>
        <v>0</v>
      </c>
      <c r="D28" s="7">
        <f>SUMIFS('Leave Management'!$L:$L,'Leave Management'!$C:$C,Detail!$A28,'Leave Management'!$B:$B,Detail!D$1)</f>
        <v>0</v>
      </c>
      <c r="E28" s="7">
        <f>SUMIFS('Leave Management'!$L:$L,'Leave Management'!$C:$C,Detail!$A28,'Leave Management'!$B:$B,Detail!E$1)</f>
        <v>1</v>
      </c>
      <c r="F28" s="7">
        <f>SUMIFS('Leave Management'!$L:$L,'Leave Management'!$C:$C,Detail!$A28,'Leave Management'!$B:$B,Detail!F$1)</f>
        <v>1</v>
      </c>
      <c r="G28" s="7">
        <f>SUMIFS('Leave Management'!$L:$L,'Leave Management'!$C:$C,Detail!$A28,'Leave Management'!$B:$B,Detail!G$1)</f>
        <v>0</v>
      </c>
      <c r="H28" s="7">
        <f>SUMIFS('Leave Management'!$L:$L,'Leave Management'!$C:$C,Detail!$A28,'Leave Management'!$B:$B,Detail!H$1)</f>
        <v>0</v>
      </c>
      <c r="I28" s="7">
        <f>SUMIFS('Leave Management'!$L:$L,'Leave Management'!$C:$C,Detail!$A28,'Leave Management'!$B:$B,Detail!I$1)</f>
        <v>0</v>
      </c>
      <c r="J28" s="7">
        <f>SUMIFS('Leave Management'!$L:$L,'Leave Management'!$C:$C,Detail!$A28,'Leave Management'!$B:$B,Detail!J$1)</f>
        <v>0</v>
      </c>
      <c r="K28" s="7">
        <f>SUMIFS('Leave Management'!$L:$L,'Leave Management'!$C:$C,Detail!$A28,'Leave Management'!$B:$B,Detail!K$1)</f>
        <v>0</v>
      </c>
      <c r="L28" s="7">
        <f>SUMIFS('Leave Management'!$L:$L,'Leave Management'!$C:$C,Detail!$A28,'Leave Management'!$B:$B,Detail!L$1)</f>
        <v>0</v>
      </c>
      <c r="M28" s="7">
        <f>SUMIFS('Leave Management'!$L:$L,'Leave Management'!$C:$C,Detail!$A28,'Leave Management'!$B:$B,Detail!M$1)</f>
        <v>0</v>
      </c>
      <c r="N28" s="7">
        <f>SUMIFS('Leave Management'!$L:$L,'Leave Management'!$C:$C,Detail!$A28,'Leave Management'!$B:$B,Detail!N$1)</f>
        <v>0</v>
      </c>
      <c r="O28" s="7">
        <f t="shared" si="2"/>
        <v>10</v>
      </c>
    </row>
    <row r="29" spans="1:15" x14ac:dyDescent="0.25">
      <c r="A29" s="24">
        <v>43127</v>
      </c>
      <c r="B29" s="2" t="str">
        <f t="shared" si="1"/>
        <v>Sat</v>
      </c>
      <c r="C29" s="7">
        <f>SUMIFS('Leave Management'!$L:$L,'Leave Management'!$C:$C,Detail!$A29,'Leave Management'!$B:$B,Detail!C$1)</f>
        <v>0</v>
      </c>
      <c r="D29" s="7">
        <f>SUMIFS('Leave Management'!$L:$L,'Leave Management'!$C:$C,Detail!$A29,'Leave Management'!$B:$B,Detail!D$1)</f>
        <v>0</v>
      </c>
      <c r="E29" s="7">
        <f>SUMIFS('Leave Management'!$L:$L,'Leave Management'!$C:$C,Detail!$A29,'Leave Management'!$B:$B,Detail!E$1)</f>
        <v>0</v>
      </c>
      <c r="F29" s="7">
        <f>SUMIFS('Leave Management'!$L:$L,'Leave Management'!$C:$C,Detail!$A29,'Leave Management'!$B:$B,Detail!F$1)</f>
        <v>0</v>
      </c>
      <c r="G29" s="7">
        <f>SUMIFS('Leave Management'!$L:$L,'Leave Management'!$C:$C,Detail!$A29,'Leave Management'!$B:$B,Detail!G$1)</f>
        <v>0</v>
      </c>
      <c r="H29" s="7">
        <f>SUMIFS('Leave Management'!$L:$L,'Leave Management'!$C:$C,Detail!$A29,'Leave Management'!$B:$B,Detail!H$1)</f>
        <v>0</v>
      </c>
      <c r="I29" s="7">
        <f>SUMIFS('Leave Management'!$L:$L,'Leave Management'!$C:$C,Detail!$A29,'Leave Management'!$B:$B,Detail!I$1)</f>
        <v>0</v>
      </c>
      <c r="J29" s="7">
        <f>SUMIFS('Leave Management'!$L:$L,'Leave Management'!$C:$C,Detail!$A29,'Leave Management'!$B:$B,Detail!J$1)</f>
        <v>0</v>
      </c>
      <c r="K29" s="7">
        <f>SUMIFS('Leave Management'!$L:$L,'Leave Management'!$C:$C,Detail!$A29,'Leave Management'!$B:$B,Detail!K$1)</f>
        <v>0</v>
      </c>
      <c r="L29" s="7">
        <f>SUMIFS('Leave Management'!$L:$L,'Leave Management'!$C:$C,Detail!$A29,'Leave Management'!$B:$B,Detail!L$1)</f>
        <v>0</v>
      </c>
      <c r="M29" s="7">
        <f>SUMIFS('Leave Management'!$L:$L,'Leave Management'!$C:$C,Detail!$A29,'Leave Management'!$B:$B,Detail!M$1)</f>
        <v>0</v>
      </c>
      <c r="N29" s="7">
        <f>SUMIFS('Leave Management'!$L:$L,'Leave Management'!$C:$C,Detail!$A29,'Leave Management'!$B:$B,Detail!N$1)</f>
        <v>0</v>
      </c>
      <c r="O29" s="7">
        <f t="shared" si="2"/>
        <v>12</v>
      </c>
    </row>
    <row r="30" spans="1:15" x14ac:dyDescent="0.25">
      <c r="A30" s="24">
        <v>43128</v>
      </c>
      <c r="B30" s="2" t="str">
        <f t="shared" si="1"/>
        <v>Sun</v>
      </c>
      <c r="C30" s="7">
        <f>SUMIFS('Leave Management'!$L:$L,'Leave Management'!$C:$C,Detail!$A30,'Leave Management'!$B:$B,Detail!C$1)</f>
        <v>0</v>
      </c>
      <c r="D30" s="7">
        <f>SUMIFS('Leave Management'!$L:$L,'Leave Management'!$C:$C,Detail!$A30,'Leave Management'!$B:$B,Detail!D$1)</f>
        <v>0</v>
      </c>
      <c r="E30" s="7">
        <f>SUMIFS('Leave Management'!$L:$L,'Leave Management'!$C:$C,Detail!$A30,'Leave Management'!$B:$B,Detail!E$1)</f>
        <v>0</v>
      </c>
      <c r="F30" s="7">
        <f>SUMIFS('Leave Management'!$L:$L,'Leave Management'!$C:$C,Detail!$A30,'Leave Management'!$B:$B,Detail!F$1)</f>
        <v>0</v>
      </c>
      <c r="G30" s="7">
        <f>SUMIFS('Leave Management'!$L:$L,'Leave Management'!$C:$C,Detail!$A30,'Leave Management'!$B:$B,Detail!G$1)</f>
        <v>0</v>
      </c>
      <c r="H30" s="7">
        <f>SUMIFS('Leave Management'!$L:$L,'Leave Management'!$C:$C,Detail!$A30,'Leave Management'!$B:$B,Detail!H$1)</f>
        <v>0</v>
      </c>
      <c r="I30" s="7">
        <f>SUMIFS('Leave Management'!$L:$L,'Leave Management'!$C:$C,Detail!$A30,'Leave Management'!$B:$B,Detail!I$1)</f>
        <v>0</v>
      </c>
      <c r="J30" s="7">
        <f>SUMIFS('Leave Management'!$L:$L,'Leave Management'!$C:$C,Detail!$A30,'Leave Management'!$B:$B,Detail!J$1)</f>
        <v>0</v>
      </c>
      <c r="K30" s="7">
        <f>SUMIFS('Leave Management'!$L:$L,'Leave Management'!$C:$C,Detail!$A30,'Leave Management'!$B:$B,Detail!K$1)</f>
        <v>0</v>
      </c>
      <c r="L30" s="7">
        <f>SUMIFS('Leave Management'!$L:$L,'Leave Management'!$C:$C,Detail!$A30,'Leave Management'!$B:$B,Detail!L$1)</f>
        <v>0</v>
      </c>
      <c r="M30" s="7">
        <f>SUMIFS('Leave Management'!$L:$L,'Leave Management'!$C:$C,Detail!$A30,'Leave Management'!$B:$B,Detail!M$1)</f>
        <v>0</v>
      </c>
      <c r="N30" s="7">
        <f>SUMIFS('Leave Management'!$L:$L,'Leave Management'!$C:$C,Detail!$A30,'Leave Management'!$B:$B,Detail!N$1)</f>
        <v>0</v>
      </c>
      <c r="O30" s="7">
        <f t="shared" si="2"/>
        <v>12</v>
      </c>
    </row>
    <row r="31" spans="1:15" x14ac:dyDescent="0.25">
      <c r="A31" s="24">
        <v>43129</v>
      </c>
      <c r="B31" s="2" t="str">
        <f t="shared" si="1"/>
        <v>Mon</v>
      </c>
      <c r="C31" s="7">
        <f>SUMIFS('Leave Management'!$L:$L,'Leave Management'!$C:$C,Detail!$A31,'Leave Management'!$B:$B,Detail!C$1)</f>
        <v>0</v>
      </c>
      <c r="D31" s="7">
        <f>SUMIFS('Leave Management'!$L:$L,'Leave Management'!$C:$C,Detail!$A31,'Leave Management'!$B:$B,Detail!D$1)</f>
        <v>0</v>
      </c>
      <c r="E31" s="7">
        <f>SUMIFS('Leave Management'!$L:$L,'Leave Management'!$C:$C,Detail!$A31,'Leave Management'!$B:$B,Detail!E$1)</f>
        <v>1</v>
      </c>
      <c r="F31" s="7">
        <f>SUMIFS('Leave Management'!$L:$L,'Leave Management'!$C:$C,Detail!$A31,'Leave Management'!$B:$B,Detail!F$1)</f>
        <v>1</v>
      </c>
      <c r="G31" s="7">
        <f>SUMIFS('Leave Management'!$L:$L,'Leave Management'!$C:$C,Detail!$A31,'Leave Management'!$B:$B,Detail!G$1)</f>
        <v>0</v>
      </c>
      <c r="H31" s="7">
        <f>SUMIFS('Leave Management'!$L:$L,'Leave Management'!$C:$C,Detail!$A31,'Leave Management'!$B:$B,Detail!H$1)</f>
        <v>0</v>
      </c>
      <c r="I31" s="7">
        <f>SUMIFS('Leave Management'!$L:$L,'Leave Management'!$C:$C,Detail!$A31,'Leave Management'!$B:$B,Detail!I$1)</f>
        <v>0</v>
      </c>
      <c r="J31" s="7">
        <f>SUMIFS('Leave Management'!$L:$L,'Leave Management'!$C:$C,Detail!$A31,'Leave Management'!$B:$B,Detail!J$1)</f>
        <v>0</v>
      </c>
      <c r="K31" s="7">
        <f>SUMIFS('Leave Management'!$L:$L,'Leave Management'!$C:$C,Detail!$A31,'Leave Management'!$B:$B,Detail!K$1)</f>
        <v>0</v>
      </c>
      <c r="L31" s="7">
        <f>SUMIFS('Leave Management'!$L:$L,'Leave Management'!$C:$C,Detail!$A31,'Leave Management'!$B:$B,Detail!L$1)</f>
        <v>0</v>
      </c>
      <c r="M31" s="7">
        <f>SUMIFS('Leave Management'!$L:$L,'Leave Management'!$C:$C,Detail!$A31,'Leave Management'!$B:$B,Detail!M$1)</f>
        <v>0</v>
      </c>
      <c r="N31" s="7">
        <f>SUMIFS('Leave Management'!$L:$L,'Leave Management'!$C:$C,Detail!$A31,'Leave Management'!$B:$B,Detail!N$1)</f>
        <v>0</v>
      </c>
      <c r="O31" s="7">
        <f t="shared" si="2"/>
        <v>10</v>
      </c>
    </row>
    <row r="32" spans="1:15" x14ac:dyDescent="0.25">
      <c r="A32" s="24">
        <v>43130</v>
      </c>
      <c r="B32" s="2" t="str">
        <f t="shared" si="1"/>
        <v>Tue</v>
      </c>
      <c r="C32" s="7">
        <f>SUMIFS('Leave Management'!$L:$L,'Leave Management'!$C:$C,Detail!$A32,'Leave Management'!$B:$B,Detail!C$1)</f>
        <v>0</v>
      </c>
      <c r="D32" s="7">
        <f>SUMIFS('Leave Management'!$L:$L,'Leave Management'!$C:$C,Detail!$A32,'Leave Management'!$B:$B,Detail!D$1)</f>
        <v>0</v>
      </c>
      <c r="E32" s="7">
        <f>SUMIFS('Leave Management'!$L:$L,'Leave Management'!$C:$C,Detail!$A32,'Leave Management'!$B:$B,Detail!E$1)</f>
        <v>1</v>
      </c>
      <c r="F32" s="7">
        <f>SUMIFS('Leave Management'!$L:$L,'Leave Management'!$C:$C,Detail!$A32,'Leave Management'!$B:$B,Detail!F$1)</f>
        <v>1</v>
      </c>
      <c r="G32" s="7">
        <f>SUMIFS('Leave Management'!$L:$L,'Leave Management'!$C:$C,Detail!$A32,'Leave Management'!$B:$B,Detail!G$1)</f>
        <v>0</v>
      </c>
      <c r="H32" s="7">
        <f>SUMIFS('Leave Management'!$L:$L,'Leave Management'!$C:$C,Detail!$A32,'Leave Management'!$B:$B,Detail!H$1)</f>
        <v>0</v>
      </c>
      <c r="I32" s="7">
        <f>SUMIFS('Leave Management'!$L:$L,'Leave Management'!$C:$C,Detail!$A32,'Leave Management'!$B:$B,Detail!I$1)</f>
        <v>0</v>
      </c>
      <c r="J32" s="7">
        <f>SUMIFS('Leave Management'!$L:$L,'Leave Management'!$C:$C,Detail!$A32,'Leave Management'!$B:$B,Detail!J$1)</f>
        <v>0</v>
      </c>
      <c r="K32" s="7">
        <f>SUMIFS('Leave Management'!$L:$L,'Leave Management'!$C:$C,Detail!$A32,'Leave Management'!$B:$B,Detail!K$1)</f>
        <v>0</v>
      </c>
      <c r="L32" s="7">
        <f>SUMIFS('Leave Management'!$L:$L,'Leave Management'!$C:$C,Detail!$A32,'Leave Management'!$B:$B,Detail!L$1)</f>
        <v>0</v>
      </c>
      <c r="M32" s="7">
        <f>SUMIFS('Leave Management'!$L:$L,'Leave Management'!$C:$C,Detail!$A32,'Leave Management'!$B:$B,Detail!M$1)</f>
        <v>0</v>
      </c>
      <c r="N32" s="7">
        <f>SUMIFS('Leave Management'!$L:$L,'Leave Management'!$C:$C,Detail!$A32,'Leave Management'!$B:$B,Detail!N$1)</f>
        <v>0</v>
      </c>
      <c r="O32" s="7">
        <f t="shared" si="2"/>
        <v>10</v>
      </c>
    </row>
    <row r="33" spans="1:15" x14ac:dyDescent="0.25">
      <c r="A33" s="24">
        <v>43131</v>
      </c>
      <c r="B33" s="2" t="str">
        <f t="shared" si="1"/>
        <v>Wed</v>
      </c>
      <c r="C33" s="7">
        <f>SUMIFS('Leave Management'!$L:$L,'Leave Management'!$C:$C,Detail!$A33,'Leave Management'!$B:$B,Detail!C$1)</f>
        <v>0</v>
      </c>
      <c r="D33" s="7">
        <f>SUMIFS('Leave Management'!$L:$L,'Leave Management'!$C:$C,Detail!$A33,'Leave Management'!$B:$B,Detail!D$1)</f>
        <v>0</v>
      </c>
      <c r="E33" s="7">
        <f>SUMIFS('Leave Management'!$L:$L,'Leave Management'!$C:$C,Detail!$A33,'Leave Management'!$B:$B,Detail!E$1)</f>
        <v>1</v>
      </c>
      <c r="F33" s="7">
        <f>SUMIFS('Leave Management'!$L:$L,'Leave Management'!$C:$C,Detail!$A33,'Leave Management'!$B:$B,Detail!F$1)</f>
        <v>1</v>
      </c>
      <c r="G33" s="7">
        <f>SUMIFS('Leave Management'!$L:$L,'Leave Management'!$C:$C,Detail!$A33,'Leave Management'!$B:$B,Detail!G$1)</f>
        <v>0</v>
      </c>
      <c r="H33" s="7">
        <f>SUMIFS('Leave Management'!$L:$L,'Leave Management'!$C:$C,Detail!$A33,'Leave Management'!$B:$B,Detail!H$1)</f>
        <v>0</v>
      </c>
      <c r="I33" s="7">
        <f>SUMIFS('Leave Management'!$L:$L,'Leave Management'!$C:$C,Detail!$A33,'Leave Management'!$B:$B,Detail!I$1)</f>
        <v>0</v>
      </c>
      <c r="J33" s="7">
        <f>SUMIFS('Leave Management'!$L:$L,'Leave Management'!$C:$C,Detail!$A33,'Leave Management'!$B:$B,Detail!J$1)</f>
        <v>0</v>
      </c>
      <c r="K33" s="7">
        <f>SUMIFS('Leave Management'!$L:$L,'Leave Management'!$C:$C,Detail!$A33,'Leave Management'!$B:$B,Detail!K$1)</f>
        <v>0</v>
      </c>
      <c r="L33" s="7">
        <f>SUMIFS('Leave Management'!$L:$L,'Leave Management'!$C:$C,Detail!$A33,'Leave Management'!$B:$B,Detail!L$1)</f>
        <v>0</v>
      </c>
      <c r="M33" s="7">
        <f>SUMIFS('Leave Management'!$L:$L,'Leave Management'!$C:$C,Detail!$A33,'Leave Management'!$B:$B,Detail!M$1)</f>
        <v>0</v>
      </c>
      <c r="N33" s="7">
        <f>SUMIFS('Leave Management'!$L:$L,'Leave Management'!$C:$C,Detail!$A33,'Leave Management'!$B:$B,Detail!N$1)</f>
        <v>0</v>
      </c>
      <c r="O33" s="7">
        <f t="shared" si="2"/>
        <v>10</v>
      </c>
    </row>
    <row r="34" spans="1:15" x14ac:dyDescent="0.25">
      <c r="A34" s="24">
        <v>43132</v>
      </c>
      <c r="B34" s="2" t="str">
        <f t="shared" si="1"/>
        <v>Thu</v>
      </c>
      <c r="C34" s="7">
        <f>SUMIFS('Leave Management'!$L:$L,'Leave Management'!$C:$C,Detail!$A34,'Leave Management'!$B:$B,Detail!C$1)</f>
        <v>0</v>
      </c>
      <c r="D34" s="7">
        <f>SUMIFS('Leave Management'!$L:$L,'Leave Management'!$C:$C,Detail!$A34,'Leave Management'!$B:$B,Detail!D$1)</f>
        <v>0</v>
      </c>
      <c r="E34" s="7">
        <f>SUMIFS('Leave Management'!$L:$L,'Leave Management'!$C:$C,Detail!$A34,'Leave Management'!$B:$B,Detail!E$1)</f>
        <v>0</v>
      </c>
      <c r="F34" s="7">
        <f>SUMIFS('Leave Management'!$L:$L,'Leave Management'!$C:$C,Detail!$A34,'Leave Management'!$B:$B,Detail!F$1)</f>
        <v>0</v>
      </c>
      <c r="G34" s="7">
        <f>SUMIFS('Leave Management'!$L:$L,'Leave Management'!$C:$C,Detail!$A34,'Leave Management'!$B:$B,Detail!G$1)</f>
        <v>0</v>
      </c>
      <c r="H34" s="7">
        <f>SUMIFS('Leave Management'!$L:$L,'Leave Management'!$C:$C,Detail!$A34,'Leave Management'!$B:$B,Detail!H$1)</f>
        <v>0</v>
      </c>
      <c r="I34" s="7">
        <f>SUMIFS('Leave Management'!$L:$L,'Leave Management'!$C:$C,Detail!$A34,'Leave Management'!$B:$B,Detail!I$1)</f>
        <v>0</v>
      </c>
      <c r="J34" s="7">
        <f>SUMIFS('Leave Management'!$L:$L,'Leave Management'!$C:$C,Detail!$A34,'Leave Management'!$B:$B,Detail!J$1)</f>
        <v>0</v>
      </c>
      <c r="K34" s="7">
        <f>SUMIFS('Leave Management'!$L:$L,'Leave Management'!$C:$C,Detail!$A34,'Leave Management'!$B:$B,Detail!K$1)</f>
        <v>0</v>
      </c>
      <c r="L34" s="7">
        <f>SUMIFS('Leave Management'!$L:$L,'Leave Management'!$C:$C,Detail!$A34,'Leave Management'!$B:$B,Detail!L$1)</f>
        <v>0</v>
      </c>
      <c r="M34" s="7">
        <f>SUMIFS('Leave Management'!$L:$L,'Leave Management'!$C:$C,Detail!$A34,'Leave Management'!$B:$B,Detail!M$1)</f>
        <v>0</v>
      </c>
      <c r="N34" s="7">
        <f>SUMIFS('Leave Management'!$L:$L,'Leave Management'!$C:$C,Detail!$A34,'Leave Management'!$B:$B,Detail!N$1)</f>
        <v>0</v>
      </c>
      <c r="O34" s="7">
        <f t="shared" si="2"/>
        <v>12</v>
      </c>
    </row>
    <row r="35" spans="1:15" x14ac:dyDescent="0.25">
      <c r="A35" s="24">
        <v>43133</v>
      </c>
      <c r="B35" s="2" t="str">
        <f t="shared" si="1"/>
        <v>Fri</v>
      </c>
      <c r="C35" s="7">
        <f>SUMIFS('Leave Management'!$L:$L,'Leave Management'!$C:$C,Detail!$A35,'Leave Management'!$B:$B,Detail!C$1)</f>
        <v>0</v>
      </c>
      <c r="D35" s="7">
        <f>SUMIFS('Leave Management'!$L:$L,'Leave Management'!$C:$C,Detail!$A35,'Leave Management'!$B:$B,Detail!D$1)</f>
        <v>0</v>
      </c>
      <c r="E35" s="7">
        <f>SUMIFS('Leave Management'!$L:$L,'Leave Management'!$C:$C,Detail!$A35,'Leave Management'!$B:$B,Detail!E$1)</f>
        <v>0</v>
      </c>
      <c r="F35" s="7">
        <f>SUMIFS('Leave Management'!$L:$L,'Leave Management'!$C:$C,Detail!$A35,'Leave Management'!$B:$B,Detail!F$1)</f>
        <v>0</v>
      </c>
      <c r="G35" s="7">
        <f>SUMIFS('Leave Management'!$L:$L,'Leave Management'!$C:$C,Detail!$A35,'Leave Management'!$B:$B,Detail!G$1)</f>
        <v>0</v>
      </c>
      <c r="H35" s="7">
        <f>SUMIFS('Leave Management'!$L:$L,'Leave Management'!$C:$C,Detail!$A35,'Leave Management'!$B:$B,Detail!H$1)</f>
        <v>0</v>
      </c>
      <c r="I35" s="7">
        <f>SUMIFS('Leave Management'!$L:$L,'Leave Management'!$C:$C,Detail!$A35,'Leave Management'!$B:$B,Detail!I$1)</f>
        <v>0</v>
      </c>
      <c r="J35" s="7">
        <f>SUMIFS('Leave Management'!$L:$L,'Leave Management'!$C:$C,Detail!$A35,'Leave Management'!$B:$B,Detail!J$1)</f>
        <v>0</v>
      </c>
      <c r="K35" s="7">
        <f>SUMIFS('Leave Management'!$L:$L,'Leave Management'!$C:$C,Detail!$A35,'Leave Management'!$B:$B,Detail!K$1)</f>
        <v>0</v>
      </c>
      <c r="L35" s="7">
        <f>SUMIFS('Leave Management'!$L:$L,'Leave Management'!$C:$C,Detail!$A35,'Leave Management'!$B:$B,Detail!L$1)</f>
        <v>0</v>
      </c>
      <c r="M35" s="7">
        <f>SUMIFS('Leave Management'!$L:$L,'Leave Management'!$C:$C,Detail!$A35,'Leave Management'!$B:$B,Detail!M$1)</f>
        <v>0</v>
      </c>
      <c r="N35" s="7">
        <f>SUMIFS('Leave Management'!$L:$L,'Leave Management'!$C:$C,Detail!$A35,'Leave Management'!$B:$B,Detail!N$1)</f>
        <v>0</v>
      </c>
      <c r="O35" s="7">
        <f t="shared" si="2"/>
        <v>12</v>
      </c>
    </row>
    <row r="36" spans="1:15" x14ac:dyDescent="0.25">
      <c r="A36" s="24">
        <v>43134</v>
      </c>
      <c r="B36" s="2" t="str">
        <f t="shared" si="1"/>
        <v>Sat</v>
      </c>
      <c r="C36" s="7">
        <f>SUMIFS('Leave Management'!$L:$L,'Leave Management'!$C:$C,Detail!$A36,'Leave Management'!$B:$B,Detail!C$1)</f>
        <v>0</v>
      </c>
      <c r="D36" s="7">
        <f>SUMIFS('Leave Management'!$L:$L,'Leave Management'!$C:$C,Detail!$A36,'Leave Management'!$B:$B,Detail!D$1)</f>
        <v>0</v>
      </c>
      <c r="E36" s="7">
        <f>SUMIFS('Leave Management'!$L:$L,'Leave Management'!$C:$C,Detail!$A36,'Leave Management'!$B:$B,Detail!E$1)</f>
        <v>0</v>
      </c>
      <c r="F36" s="7">
        <f>SUMIFS('Leave Management'!$L:$L,'Leave Management'!$C:$C,Detail!$A36,'Leave Management'!$B:$B,Detail!F$1)</f>
        <v>0</v>
      </c>
      <c r="G36" s="7">
        <f>SUMIFS('Leave Management'!$L:$L,'Leave Management'!$C:$C,Detail!$A36,'Leave Management'!$B:$B,Detail!G$1)</f>
        <v>0</v>
      </c>
      <c r="H36" s="7">
        <f>SUMIFS('Leave Management'!$L:$L,'Leave Management'!$C:$C,Detail!$A36,'Leave Management'!$B:$B,Detail!H$1)</f>
        <v>0</v>
      </c>
      <c r="I36" s="7">
        <f>SUMIFS('Leave Management'!$L:$L,'Leave Management'!$C:$C,Detail!$A36,'Leave Management'!$B:$B,Detail!I$1)</f>
        <v>0</v>
      </c>
      <c r="J36" s="7">
        <f>SUMIFS('Leave Management'!$L:$L,'Leave Management'!$C:$C,Detail!$A36,'Leave Management'!$B:$B,Detail!J$1)</f>
        <v>0</v>
      </c>
      <c r="K36" s="7">
        <f>SUMIFS('Leave Management'!$L:$L,'Leave Management'!$C:$C,Detail!$A36,'Leave Management'!$B:$B,Detail!K$1)</f>
        <v>0</v>
      </c>
      <c r="L36" s="7">
        <f>SUMIFS('Leave Management'!$L:$L,'Leave Management'!$C:$C,Detail!$A36,'Leave Management'!$B:$B,Detail!L$1)</f>
        <v>0</v>
      </c>
      <c r="M36" s="7">
        <f>SUMIFS('Leave Management'!$L:$L,'Leave Management'!$C:$C,Detail!$A36,'Leave Management'!$B:$B,Detail!M$1)</f>
        <v>0</v>
      </c>
      <c r="N36" s="7">
        <f>SUMIFS('Leave Management'!$L:$L,'Leave Management'!$C:$C,Detail!$A36,'Leave Management'!$B:$B,Detail!N$1)</f>
        <v>0</v>
      </c>
      <c r="O36" s="7">
        <f t="shared" si="2"/>
        <v>12</v>
      </c>
    </row>
    <row r="37" spans="1:15" x14ac:dyDescent="0.25">
      <c r="A37" s="24">
        <v>43135</v>
      </c>
      <c r="B37" s="2" t="str">
        <f t="shared" si="1"/>
        <v>Sun</v>
      </c>
      <c r="C37" s="7">
        <f>SUMIFS('Leave Management'!$L:$L,'Leave Management'!$C:$C,Detail!$A37,'Leave Management'!$B:$B,Detail!C$1)</f>
        <v>0</v>
      </c>
      <c r="D37" s="7">
        <f>SUMIFS('Leave Management'!$L:$L,'Leave Management'!$C:$C,Detail!$A37,'Leave Management'!$B:$B,Detail!D$1)</f>
        <v>0</v>
      </c>
      <c r="E37" s="7">
        <f>SUMIFS('Leave Management'!$L:$L,'Leave Management'!$C:$C,Detail!$A37,'Leave Management'!$B:$B,Detail!E$1)</f>
        <v>0</v>
      </c>
      <c r="F37" s="7">
        <f>SUMIFS('Leave Management'!$L:$L,'Leave Management'!$C:$C,Detail!$A37,'Leave Management'!$B:$B,Detail!F$1)</f>
        <v>0</v>
      </c>
      <c r="G37" s="7">
        <f>SUMIFS('Leave Management'!$L:$L,'Leave Management'!$C:$C,Detail!$A37,'Leave Management'!$B:$B,Detail!G$1)</f>
        <v>0</v>
      </c>
      <c r="H37" s="7">
        <f>SUMIFS('Leave Management'!$L:$L,'Leave Management'!$C:$C,Detail!$A37,'Leave Management'!$B:$B,Detail!H$1)</f>
        <v>0</v>
      </c>
      <c r="I37" s="7">
        <f>SUMIFS('Leave Management'!$L:$L,'Leave Management'!$C:$C,Detail!$A37,'Leave Management'!$B:$B,Detail!I$1)</f>
        <v>0</v>
      </c>
      <c r="J37" s="7">
        <f>SUMIFS('Leave Management'!$L:$L,'Leave Management'!$C:$C,Detail!$A37,'Leave Management'!$B:$B,Detail!J$1)</f>
        <v>0</v>
      </c>
      <c r="K37" s="7">
        <f>SUMIFS('Leave Management'!$L:$L,'Leave Management'!$C:$C,Detail!$A37,'Leave Management'!$B:$B,Detail!K$1)</f>
        <v>0</v>
      </c>
      <c r="L37" s="7">
        <f>SUMIFS('Leave Management'!$L:$L,'Leave Management'!$C:$C,Detail!$A37,'Leave Management'!$B:$B,Detail!L$1)</f>
        <v>0</v>
      </c>
      <c r="M37" s="7">
        <f>SUMIFS('Leave Management'!$L:$L,'Leave Management'!$C:$C,Detail!$A37,'Leave Management'!$B:$B,Detail!M$1)</f>
        <v>0</v>
      </c>
      <c r="N37" s="7">
        <f>SUMIFS('Leave Management'!$L:$L,'Leave Management'!$C:$C,Detail!$A37,'Leave Management'!$B:$B,Detail!N$1)</f>
        <v>0</v>
      </c>
      <c r="O37" s="7">
        <f t="shared" si="2"/>
        <v>12</v>
      </c>
    </row>
    <row r="38" spans="1:15" x14ac:dyDescent="0.25">
      <c r="A38" s="24">
        <v>43136</v>
      </c>
      <c r="B38" s="2" t="str">
        <f t="shared" si="1"/>
        <v>Mon</v>
      </c>
      <c r="C38" s="7">
        <f>SUMIFS('Leave Management'!$L:$L,'Leave Management'!$C:$C,Detail!$A38,'Leave Management'!$B:$B,Detail!C$1)</f>
        <v>1</v>
      </c>
      <c r="D38" s="7">
        <f>SUMIFS('Leave Management'!$L:$L,'Leave Management'!$C:$C,Detail!$A38,'Leave Management'!$B:$B,Detail!D$1)</f>
        <v>0</v>
      </c>
      <c r="E38" s="7">
        <f>SUMIFS('Leave Management'!$L:$L,'Leave Management'!$C:$C,Detail!$A38,'Leave Management'!$B:$B,Detail!E$1)</f>
        <v>0</v>
      </c>
      <c r="F38" s="7">
        <f>SUMIFS('Leave Management'!$L:$L,'Leave Management'!$C:$C,Detail!$A38,'Leave Management'!$B:$B,Detail!F$1)</f>
        <v>0</v>
      </c>
      <c r="G38" s="7">
        <f>SUMIFS('Leave Management'!$L:$L,'Leave Management'!$C:$C,Detail!$A38,'Leave Management'!$B:$B,Detail!G$1)</f>
        <v>0</v>
      </c>
      <c r="H38" s="7">
        <f>SUMIFS('Leave Management'!$L:$L,'Leave Management'!$C:$C,Detail!$A38,'Leave Management'!$B:$B,Detail!H$1)</f>
        <v>0</v>
      </c>
      <c r="I38" s="7">
        <f>SUMIFS('Leave Management'!$L:$L,'Leave Management'!$C:$C,Detail!$A38,'Leave Management'!$B:$B,Detail!I$1)</f>
        <v>0</v>
      </c>
      <c r="J38" s="7">
        <f>SUMIFS('Leave Management'!$L:$L,'Leave Management'!$C:$C,Detail!$A38,'Leave Management'!$B:$B,Detail!J$1)</f>
        <v>0</v>
      </c>
      <c r="K38" s="7">
        <f>SUMIFS('Leave Management'!$L:$L,'Leave Management'!$C:$C,Detail!$A38,'Leave Management'!$B:$B,Detail!K$1)</f>
        <v>0</v>
      </c>
      <c r="L38" s="7">
        <f>SUMIFS('Leave Management'!$L:$L,'Leave Management'!$C:$C,Detail!$A38,'Leave Management'!$B:$B,Detail!L$1)</f>
        <v>0</v>
      </c>
      <c r="M38" s="7">
        <f>SUMIFS('Leave Management'!$L:$L,'Leave Management'!$C:$C,Detail!$A38,'Leave Management'!$B:$B,Detail!M$1)</f>
        <v>0</v>
      </c>
      <c r="N38" s="7">
        <f>SUMIFS('Leave Management'!$L:$L,'Leave Management'!$C:$C,Detail!$A38,'Leave Management'!$B:$B,Detail!N$1)</f>
        <v>0</v>
      </c>
      <c r="O38" s="7">
        <f t="shared" si="2"/>
        <v>11</v>
      </c>
    </row>
    <row r="39" spans="1:15" x14ac:dyDescent="0.25">
      <c r="A39" s="24">
        <v>43137</v>
      </c>
      <c r="B39" s="2" t="str">
        <f t="shared" si="1"/>
        <v>Tue</v>
      </c>
      <c r="C39" s="7">
        <f>SUMIFS('Leave Management'!$L:$L,'Leave Management'!$C:$C,Detail!$A39,'Leave Management'!$B:$B,Detail!C$1)</f>
        <v>1</v>
      </c>
      <c r="D39" s="7">
        <f>SUMIFS('Leave Management'!$L:$L,'Leave Management'!$C:$C,Detail!$A39,'Leave Management'!$B:$B,Detail!D$1)</f>
        <v>0</v>
      </c>
      <c r="E39" s="7">
        <f>SUMIFS('Leave Management'!$L:$L,'Leave Management'!$C:$C,Detail!$A39,'Leave Management'!$B:$B,Detail!E$1)</f>
        <v>0</v>
      </c>
      <c r="F39" s="7">
        <f>SUMIFS('Leave Management'!$L:$L,'Leave Management'!$C:$C,Detail!$A39,'Leave Management'!$B:$B,Detail!F$1)</f>
        <v>0</v>
      </c>
      <c r="G39" s="7">
        <f>SUMIFS('Leave Management'!$L:$L,'Leave Management'!$C:$C,Detail!$A39,'Leave Management'!$B:$B,Detail!G$1)</f>
        <v>0</v>
      </c>
      <c r="H39" s="7">
        <f>SUMIFS('Leave Management'!$L:$L,'Leave Management'!$C:$C,Detail!$A39,'Leave Management'!$B:$B,Detail!H$1)</f>
        <v>0</v>
      </c>
      <c r="I39" s="7">
        <f>SUMIFS('Leave Management'!$L:$L,'Leave Management'!$C:$C,Detail!$A39,'Leave Management'!$B:$B,Detail!I$1)</f>
        <v>0</v>
      </c>
      <c r="J39" s="7">
        <f>SUMIFS('Leave Management'!$L:$L,'Leave Management'!$C:$C,Detail!$A39,'Leave Management'!$B:$B,Detail!J$1)</f>
        <v>0</v>
      </c>
      <c r="K39" s="7">
        <f>SUMIFS('Leave Management'!$L:$L,'Leave Management'!$C:$C,Detail!$A39,'Leave Management'!$B:$B,Detail!K$1)</f>
        <v>0</v>
      </c>
      <c r="L39" s="7">
        <f>SUMIFS('Leave Management'!$L:$L,'Leave Management'!$C:$C,Detail!$A39,'Leave Management'!$B:$B,Detail!L$1)</f>
        <v>0</v>
      </c>
      <c r="M39" s="7">
        <f>SUMIFS('Leave Management'!$L:$L,'Leave Management'!$C:$C,Detail!$A39,'Leave Management'!$B:$B,Detail!M$1)</f>
        <v>0</v>
      </c>
      <c r="N39" s="7">
        <f>SUMIFS('Leave Management'!$L:$L,'Leave Management'!$C:$C,Detail!$A39,'Leave Management'!$B:$B,Detail!N$1)</f>
        <v>0</v>
      </c>
      <c r="O39" s="7">
        <f t="shared" si="2"/>
        <v>11</v>
      </c>
    </row>
    <row r="40" spans="1:15" x14ac:dyDescent="0.25">
      <c r="A40" s="24">
        <v>43138</v>
      </c>
      <c r="B40" s="2" t="str">
        <f t="shared" si="1"/>
        <v>Wed</v>
      </c>
      <c r="C40" s="7">
        <f>SUMIFS('Leave Management'!$L:$L,'Leave Management'!$C:$C,Detail!$A40,'Leave Management'!$B:$B,Detail!C$1)</f>
        <v>0</v>
      </c>
      <c r="D40" s="7">
        <f>SUMIFS('Leave Management'!$L:$L,'Leave Management'!$C:$C,Detail!$A40,'Leave Management'!$B:$B,Detail!D$1)</f>
        <v>0</v>
      </c>
      <c r="E40" s="7">
        <f>SUMIFS('Leave Management'!$L:$L,'Leave Management'!$C:$C,Detail!$A40,'Leave Management'!$B:$B,Detail!E$1)</f>
        <v>0</v>
      </c>
      <c r="F40" s="7">
        <f>SUMIFS('Leave Management'!$L:$L,'Leave Management'!$C:$C,Detail!$A40,'Leave Management'!$B:$B,Detail!F$1)</f>
        <v>0</v>
      </c>
      <c r="G40" s="7">
        <f>SUMIFS('Leave Management'!$L:$L,'Leave Management'!$C:$C,Detail!$A40,'Leave Management'!$B:$B,Detail!G$1)</f>
        <v>0</v>
      </c>
      <c r="H40" s="7">
        <f>SUMIFS('Leave Management'!$L:$L,'Leave Management'!$C:$C,Detail!$A40,'Leave Management'!$B:$B,Detail!H$1)</f>
        <v>0</v>
      </c>
      <c r="I40" s="7">
        <f>SUMIFS('Leave Management'!$L:$L,'Leave Management'!$C:$C,Detail!$A40,'Leave Management'!$B:$B,Detail!I$1)</f>
        <v>0</v>
      </c>
      <c r="J40" s="7">
        <f>SUMIFS('Leave Management'!$L:$L,'Leave Management'!$C:$C,Detail!$A40,'Leave Management'!$B:$B,Detail!J$1)</f>
        <v>0</v>
      </c>
      <c r="K40" s="7">
        <f>SUMIFS('Leave Management'!$L:$L,'Leave Management'!$C:$C,Detail!$A40,'Leave Management'!$B:$B,Detail!K$1)</f>
        <v>0</v>
      </c>
      <c r="L40" s="7">
        <f>SUMIFS('Leave Management'!$L:$L,'Leave Management'!$C:$C,Detail!$A40,'Leave Management'!$B:$B,Detail!L$1)</f>
        <v>0</v>
      </c>
      <c r="M40" s="7">
        <f>SUMIFS('Leave Management'!$L:$L,'Leave Management'!$C:$C,Detail!$A40,'Leave Management'!$B:$B,Detail!M$1)</f>
        <v>0</v>
      </c>
      <c r="N40" s="7">
        <f>SUMIFS('Leave Management'!$L:$L,'Leave Management'!$C:$C,Detail!$A40,'Leave Management'!$B:$B,Detail!N$1)</f>
        <v>0</v>
      </c>
      <c r="O40" s="7">
        <f t="shared" si="2"/>
        <v>12</v>
      </c>
    </row>
    <row r="41" spans="1:15" x14ac:dyDescent="0.25">
      <c r="A41" s="24">
        <v>43139</v>
      </c>
      <c r="B41" s="2" t="str">
        <f t="shared" si="1"/>
        <v>Thu</v>
      </c>
      <c r="C41" s="7">
        <f>SUMIFS('Leave Management'!$L:$L,'Leave Management'!$C:$C,Detail!$A41,'Leave Management'!$B:$B,Detail!C$1)</f>
        <v>0</v>
      </c>
      <c r="D41" s="7">
        <f>SUMIFS('Leave Management'!$L:$L,'Leave Management'!$C:$C,Detail!$A41,'Leave Management'!$B:$B,Detail!D$1)</f>
        <v>1</v>
      </c>
      <c r="E41" s="7">
        <f>SUMIFS('Leave Management'!$L:$L,'Leave Management'!$C:$C,Detail!$A41,'Leave Management'!$B:$B,Detail!E$1)</f>
        <v>0</v>
      </c>
      <c r="F41" s="7">
        <f>SUMIFS('Leave Management'!$L:$L,'Leave Management'!$C:$C,Detail!$A41,'Leave Management'!$B:$B,Detail!F$1)</f>
        <v>0</v>
      </c>
      <c r="G41" s="7">
        <f>SUMIFS('Leave Management'!$L:$L,'Leave Management'!$C:$C,Detail!$A41,'Leave Management'!$B:$B,Detail!G$1)</f>
        <v>0</v>
      </c>
      <c r="H41" s="7">
        <f>SUMIFS('Leave Management'!$L:$L,'Leave Management'!$C:$C,Detail!$A41,'Leave Management'!$B:$B,Detail!H$1)</f>
        <v>0</v>
      </c>
      <c r="I41" s="7">
        <f>SUMIFS('Leave Management'!$L:$L,'Leave Management'!$C:$C,Detail!$A41,'Leave Management'!$B:$B,Detail!I$1)</f>
        <v>0</v>
      </c>
      <c r="J41" s="7">
        <f>SUMIFS('Leave Management'!$L:$L,'Leave Management'!$C:$C,Detail!$A41,'Leave Management'!$B:$B,Detail!J$1)</f>
        <v>0</v>
      </c>
      <c r="K41" s="7">
        <f>SUMIFS('Leave Management'!$L:$L,'Leave Management'!$C:$C,Detail!$A41,'Leave Management'!$B:$B,Detail!K$1)</f>
        <v>0</v>
      </c>
      <c r="L41" s="7">
        <f>SUMIFS('Leave Management'!$L:$L,'Leave Management'!$C:$C,Detail!$A41,'Leave Management'!$B:$B,Detail!L$1)</f>
        <v>0</v>
      </c>
      <c r="M41" s="7">
        <f>SUMIFS('Leave Management'!$L:$L,'Leave Management'!$C:$C,Detail!$A41,'Leave Management'!$B:$B,Detail!M$1)</f>
        <v>0</v>
      </c>
      <c r="N41" s="7">
        <f>SUMIFS('Leave Management'!$L:$L,'Leave Management'!$C:$C,Detail!$A41,'Leave Management'!$B:$B,Detail!N$1)</f>
        <v>0</v>
      </c>
      <c r="O41" s="7">
        <f t="shared" si="2"/>
        <v>11</v>
      </c>
    </row>
    <row r="42" spans="1:15" x14ac:dyDescent="0.25">
      <c r="A42" s="24">
        <v>43140</v>
      </c>
      <c r="B42" s="2" t="str">
        <f t="shared" si="1"/>
        <v>Fri</v>
      </c>
      <c r="C42" s="7">
        <f>SUMIFS('Leave Management'!$L:$L,'Leave Management'!$C:$C,Detail!$A42,'Leave Management'!$B:$B,Detail!C$1)</f>
        <v>0</v>
      </c>
      <c r="D42" s="7">
        <f>SUMIFS('Leave Management'!$L:$L,'Leave Management'!$C:$C,Detail!$A42,'Leave Management'!$B:$B,Detail!D$1)</f>
        <v>0</v>
      </c>
      <c r="E42" s="7">
        <f>SUMIFS('Leave Management'!$L:$L,'Leave Management'!$C:$C,Detail!$A42,'Leave Management'!$B:$B,Detail!E$1)</f>
        <v>0</v>
      </c>
      <c r="F42" s="7">
        <f>SUMIFS('Leave Management'!$L:$L,'Leave Management'!$C:$C,Detail!$A42,'Leave Management'!$B:$B,Detail!F$1)</f>
        <v>0</v>
      </c>
      <c r="G42" s="7">
        <f>SUMIFS('Leave Management'!$L:$L,'Leave Management'!$C:$C,Detail!$A42,'Leave Management'!$B:$B,Detail!G$1)</f>
        <v>0</v>
      </c>
      <c r="H42" s="7">
        <f>SUMIFS('Leave Management'!$L:$L,'Leave Management'!$C:$C,Detail!$A42,'Leave Management'!$B:$B,Detail!H$1)</f>
        <v>0</v>
      </c>
      <c r="I42" s="7">
        <f>SUMIFS('Leave Management'!$L:$L,'Leave Management'!$C:$C,Detail!$A42,'Leave Management'!$B:$B,Detail!I$1)</f>
        <v>0</v>
      </c>
      <c r="J42" s="7">
        <f>SUMIFS('Leave Management'!$L:$L,'Leave Management'!$C:$C,Detail!$A42,'Leave Management'!$B:$B,Detail!J$1)</f>
        <v>0</v>
      </c>
      <c r="K42" s="7">
        <f>SUMIFS('Leave Management'!$L:$L,'Leave Management'!$C:$C,Detail!$A42,'Leave Management'!$B:$B,Detail!K$1)</f>
        <v>0</v>
      </c>
      <c r="L42" s="7">
        <f>SUMIFS('Leave Management'!$L:$L,'Leave Management'!$C:$C,Detail!$A42,'Leave Management'!$B:$B,Detail!L$1)</f>
        <v>0</v>
      </c>
      <c r="M42" s="7">
        <f>SUMIFS('Leave Management'!$L:$L,'Leave Management'!$C:$C,Detail!$A42,'Leave Management'!$B:$B,Detail!M$1)</f>
        <v>0</v>
      </c>
      <c r="N42" s="7">
        <f>SUMIFS('Leave Management'!$L:$L,'Leave Management'!$C:$C,Detail!$A42,'Leave Management'!$B:$B,Detail!N$1)</f>
        <v>0</v>
      </c>
      <c r="O42" s="7">
        <f t="shared" si="2"/>
        <v>12</v>
      </c>
    </row>
    <row r="43" spans="1:15" x14ac:dyDescent="0.25">
      <c r="A43" s="24">
        <v>43141</v>
      </c>
      <c r="B43" s="2" t="str">
        <f t="shared" si="1"/>
        <v>Sat</v>
      </c>
      <c r="C43" s="7">
        <f>SUMIFS('Leave Management'!$L:$L,'Leave Management'!$C:$C,Detail!$A43,'Leave Management'!$B:$B,Detail!C$1)</f>
        <v>0</v>
      </c>
      <c r="D43" s="7">
        <f>SUMIFS('Leave Management'!$L:$L,'Leave Management'!$C:$C,Detail!$A43,'Leave Management'!$B:$B,Detail!D$1)</f>
        <v>0</v>
      </c>
      <c r="E43" s="7">
        <f>SUMIFS('Leave Management'!$L:$L,'Leave Management'!$C:$C,Detail!$A43,'Leave Management'!$B:$B,Detail!E$1)</f>
        <v>0</v>
      </c>
      <c r="F43" s="7">
        <f>SUMIFS('Leave Management'!$L:$L,'Leave Management'!$C:$C,Detail!$A43,'Leave Management'!$B:$B,Detail!F$1)</f>
        <v>0</v>
      </c>
      <c r="G43" s="7">
        <f>SUMIFS('Leave Management'!$L:$L,'Leave Management'!$C:$C,Detail!$A43,'Leave Management'!$B:$B,Detail!G$1)</f>
        <v>0</v>
      </c>
      <c r="H43" s="7">
        <f>SUMIFS('Leave Management'!$L:$L,'Leave Management'!$C:$C,Detail!$A43,'Leave Management'!$B:$B,Detail!H$1)</f>
        <v>0</v>
      </c>
      <c r="I43" s="7">
        <f>SUMIFS('Leave Management'!$L:$L,'Leave Management'!$C:$C,Detail!$A43,'Leave Management'!$B:$B,Detail!I$1)</f>
        <v>0</v>
      </c>
      <c r="J43" s="7">
        <f>SUMIFS('Leave Management'!$L:$L,'Leave Management'!$C:$C,Detail!$A43,'Leave Management'!$B:$B,Detail!J$1)</f>
        <v>0</v>
      </c>
      <c r="K43" s="7">
        <f>SUMIFS('Leave Management'!$L:$L,'Leave Management'!$C:$C,Detail!$A43,'Leave Management'!$B:$B,Detail!K$1)</f>
        <v>0</v>
      </c>
      <c r="L43" s="7">
        <f>SUMIFS('Leave Management'!$L:$L,'Leave Management'!$C:$C,Detail!$A43,'Leave Management'!$B:$B,Detail!L$1)</f>
        <v>0</v>
      </c>
      <c r="M43" s="7">
        <f>SUMIFS('Leave Management'!$L:$L,'Leave Management'!$C:$C,Detail!$A43,'Leave Management'!$B:$B,Detail!M$1)</f>
        <v>0</v>
      </c>
      <c r="N43" s="7">
        <f>SUMIFS('Leave Management'!$L:$L,'Leave Management'!$C:$C,Detail!$A43,'Leave Management'!$B:$B,Detail!N$1)</f>
        <v>0</v>
      </c>
      <c r="O43" s="7">
        <f t="shared" si="2"/>
        <v>12</v>
      </c>
    </row>
    <row r="44" spans="1:15" x14ac:dyDescent="0.25">
      <c r="A44" s="24">
        <v>43142</v>
      </c>
      <c r="B44" s="2" t="str">
        <f t="shared" si="1"/>
        <v>Sun</v>
      </c>
      <c r="C44" s="7">
        <f>SUMIFS('Leave Management'!$L:$L,'Leave Management'!$C:$C,Detail!$A44,'Leave Management'!$B:$B,Detail!C$1)</f>
        <v>0</v>
      </c>
      <c r="D44" s="7">
        <f>SUMIFS('Leave Management'!$L:$L,'Leave Management'!$C:$C,Detail!$A44,'Leave Management'!$B:$B,Detail!D$1)</f>
        <v>0</v>
      </c>
      <c r="E44" s="7">
        <f>SUMIFS('Leave Management'!$L:$L,'Leave Management'!$C:$C,Detail!$A44,'Leave Management'!$B:$B,Detail!E$1)</f>
        <v>0</v>
      </c>
      <c r="F44" s="7">
        <f>SUMIFS('Leave Management'!$L:$L,'Leave Management'!$C:$C,Detail!$A44,'Leave Management'!$B:$B,Detail!F$1)</f>
        <v>0</v>
      </c>
      <c r="G44" s="7">
        <f>SUMIFS('Leave Management'!$L:$L,'Leave Management'!$C:$C,Detail!$A44,'Leave Management'!$B:$B,Detail!G$1)</f>
        <v>0</v>
      </c>
      <c r="H44" s="7">
        <f>SUMIFS('Leave Management'!$L:$L,'Leave Management'!$C:$C,Detail!$A44,'Leave Management'!$B:$B,Detail!H$1)</f>
        <v>0</v>
      </c>
      <c r="I44" s="7">
        <f>SUMIFS('Leave Management'!$L:$L,'Leave Management'!$C:$C,Detail!$A44,'Leave Management'!$B:$B,Detail!I$1)</f>
        <v>0</v>
      </c>
      <c r="J44" s="7">
        <f>SUMIFS('Leave Management'!$L:$L,'Leave Management'!$C:$C,Detail!$A44,'Leave Management'!$B:$B,Detail!J$1)</f>
        <v>0</v>
      </c>
      <c r="K44" s="7">
        <f>SUMIFS('Leave Management'!$L:$L,'Leave Management'!$C:$C,Detail!$A44,'Leave Management'!$B:$B,Detail!K$1)</f>
        <v>0</v>
      </c>
      <c r="L44" s="7">
        <f>SUMIFS('Leave Management'!$L:$L,'Leave Management'!$C:$C,Detail!$A44,'Leave Management'!$B:$B,Detail!L$1)</f>
        <v>0</v>
      </c>
      <c r="M44" s="7">
        <f>SUMIFS('Leave Management'!$L:$L,'Leave Management'!$C:$C,Detail!$A44,'Leave Management'!$B:$B,Detail!M$1)</f>
        <v>0</v>
      </c>
      <c r="N44" s="7">
        <f>SUMIFS('Leave Management'!$L:$L,'Leave Management'!$C:$C,Detail!$A44,'Leave Management'!$B:$B,Detail!N$1)</f>
        <v>0</v>
      </c>
      <c r="O44" s="7">
        <f t="shared" si="2"/>
        <v>12</v>
      </c>
    </row>
    <row r="45" spans="1:15" x14ac:dyDescent="0.25">
      <c r="A45" s="24">
        <v>43143</v>
      </c>
      <c r="B45" s="2" t="str">
        <f t="shared" si="1"/>
        <v>Mon</v>
      </c>
      <c r="C45" s="7">
        <f>SUMIFS('Leave Management'!$L:$L,'Leave Management'!$C:$C,Detail!$A45,'Leave Management'!$B:$B,Detail!C$1)</f>
        <v>0</v>
      </c>
      <c r="D45" s="7">
        <f>SUMIFS('Leave Management'!$L:$L,'Leave Management'!$C:$C,Detail!$A45,'Leave Management'!$B:$B,Detail!D$1)</f>
        <v>1</v>
      </c>
      <c r="E45" s="7">
        <f>SUMIFS('Leave Management'!$L:$L,'Leave Management'!$C:$C,Detail!$A45,'Leave Management'!$B:$B,Detail!E$1)</f>
        <v>0</v>
      </c>
      <c r="F45" s="7">
        <f>SUMIFS('Leave Management'!$L:$L,'Leave Management'!$C:$C,Detail!$A45,'Leave Management'!$B:$B,Detail!F$1)</f>
        <v>0</v>
      </c>
      <c r="G45" s="7">
        <f>SUMIFS('Leave Management'!$L:$L,'Leave Management'!$C:$C,Detail!$A45,'Leave Management'!$B:$B,Detail!G$1)</f>
        <v>0</v>
      </c>
      <c r="H45" s="7">
        <f>SUMIFS('Leave Management'!$L:$L,'Leave Management'!$C:$C,Detail!$A45,'Leave Management'!$B:$B,Detail!H$1)</f>
        <v>0</v>
      </c>
      <c r="I45" s="7">
        <f>SUMIFS('Leave Management'!$L:$L,'Leave Management'!$C:$C,Detail!$A45,'Leave Management'!$B:$B,Detail!I$1)</f>
        <v>0</v>
      </c>
      <c r="J45" s="7">
        <f>SUMIFS('Leave Management'!$L:$L,'Leave Management'!$C:$C,Detail!$A45,'Leave Management'!$B:$B,Detail!J$1)</f>
        <v>0</v>
      </c>
      <c r="K45" s="7">
        <f>SUMIFS('Leave Management'!$L:$L,'Leave Management'!$C:$C,Detail!$A45,'Leave Management'!$B:$B,Detail!K$1)</f>
        <v>0</v>
      </c>
      <c r="L45" s="7">
        <f>SUMIFS('Leave Management'!$L:$L,'Leave Management'!$C:$C,Detail!$A45,'Leave Management'!$B:$B,Detail!L$1)</f>
        <v>0</v>
      </c>
      <c r="M45" s="7">
        <f>SUMIFS('Leave Management'!$L:$L,'Leave Management'!$C:$C,Detail!$A45,'Leave Management'!$B:$B,Detail!M$1)</f>
        <v>0</v>
      </c>
      <c r="N45" s="7">
        <f>SUMIFS('Leave Management'!$L:$L,'Leave Management'!$C:$C,Detail!$A45,'Leave Management'!$B:$B,Detail!N$1)</f>
        <v>0</v>
      </c>
      <c r="O45" s="7">
        <f t="shared" si="2"/>
        <v>11</v>
      </c>
    </row>
    <row r="46" spans="1:15" x14ac:dyDescent="0.25">
      <c r="A46" s="24">
        <v>43144</v>
      </c>
      <c r="B46" s="2" t="str">
        <f t="shared" si="1"/>
        <v>Tue</v>
      </c>
      <c r="C46" s="7">
        <f>SUMIFS('Leave Management'!$L:$L,'Leave Management'!$C:$C,Detail!$A46,'Leave Management'!$B:$B,Detail!C$1)</f>
        <v>0</v>
      </c>
      <c r="D46" s="7">
        <f>SUMIFS('Leave Management'!$L:$L,'Leave Management'!$C:$C,Detail!$A46,'Leave Management'!$B:$B,Detail!D$1)</f>
        <v>1</v>
      </c>
      <c r="E46" s="7">
        <f>SUMIFS('Leave Management'!$L:$L,'Leave Management'!$C:$C,Detail!$A46,'Leave Management'!$B:$B,Detail!E$1)</f>
        <v>0</v>
      </c>
      <c r="F46" s="7">
        <f>SUMIFS('Leave Management'!$L:$L,'Leave Management'!$C:$C,Detail!$A46,'Leave Management'!$B:$B,Detail!F$1)</f>
        <v>0</v>
      </c>
      <c r="G46" s="7">
        <f>SUMIFS('Leave Management'!$L:$L,'Leave Management'!$C:$C,Detail!$A46,'Leave Management'!$B:$B,Detail!G$1)</f>
        <v>0</v>
      </c>
      <c r="H46" s="7">
        <f>SUMIFS('Leave Management'!$L:$L,'Leave Management'!$C:$C,Detail!$A46,'Leave Management'!$B:$B,Detail!H$1)</f>
        <v>0</v>
      </c>
      <c r="I46" s="7">
        <f>SUMIFS('Leave Management'!$L:$L,'Leave Management'!$C:$C,Detail!$A46,'Leave Management'!$B:$B,Detail!I$1)</f>
        <v>0</v>
      </c>
      <c r="J46" s="7">
        <f>SUMIFS('Leave Management'!$L:$L,'Leave Management'!$C:$C,Detail!$A46,'Leave Management'!$B:$B,Detail!J$1)</f>
        <v>0</v>
      </c>
      <c r="K46" s="7">
        <f>SUMIFS('Leave Management'!$L:$L,'Leave Management'!$C:$C,Detail!$A46,'Leave Management'!$B:$B,Detail!K$1)</f>
        <v>0</v>
      </c>
      <c r="L46" s="7">
        <f>SUMIFS('Leave Management'!$L:$L,'Leave Management'!$C:$C,Detail!$A46,'Leave Management'!$B:$B,Detail!L$1)</f>
        <v>0</v>
      </c>
      <c r="M46" s="7">
        <f>SUMIFS('Leave Management'!$L:$L,'Leave Management'!$C:$C,Detail!$A46,'Leave Management'!$B:$B,Detail!M$1)</f>
        <v>0</v>
      </c>
      <c r="N46" s="7">
        <f>SUMIFS('Leave Management'!$L:$L,'Leave Management'!$C:$C,Detail!$A46,'Leave Management'!$B:$B,Detail!N$1)</f>
        <v>0</v>
      </c>
      <c r="O46" s="7">
        <f t="shared" si="2"/>
        <v>11</v>
      </c>
    </row>
    <row r="47" spans="1:15" x14ac:dyDescent="0.25">
      <c r="A47" s="24">
        <v>43145</v>
      </c>
      <c r="B47" s="2" t="str">
        <f t="shared" si="1"/>
        <v>Wed</v>
      </c>
      <c r="C47" s="7">
        <f>SUMIFS('Leave Management'!$L:$L,'Leave Management'!$C:$C,Detail!$A47,'Leave Management'!$B:$B,Detail!C$1)</f>
        <v>0</v>
      </c>
      <c r="D47" s="7">
        <f>SUMIFS('Leave Management'!$L:$L,'Leave Management'!$C:$C,Detail!$A47,'Leave Management'!$B:$B,Detail!D$1)</f>
        <v>0</v>
      </c>
      <c r="E47" s="7">
        <f>SUMIFS('Leave Management'!$L:$L,'Leave Management'!$C:$C,Detail!$A47,'Leave Management'!$B:$B,Detail!E$1)</f>
        <v>0</v>
      </c>
      <c r="F47" s="7">
        <f>SUMIFS('Leave Management'!$L:$L,'Leave Management'!$C:$C,Detail!$A47,'Leave Management'!$B:$B,Detail!F$1)</f>
        <v>0</v>
      </c>
      <c r="G47" s="7">
        <f>SUMIFS('Leave Management'!$L:$L,'Leave Management'!$C:$C,Detail!$A47,'Leave Management'!$B:$B,Detail!G$1)</f>
        <v>0</v>
      </c>
      <c r="H47" s="7">
        <f>SUMIFS('Leave Management'!$L:$L,'Leave Management'!$C:$C,Detail!$A47,'Leave Management'!$B:$B,Detail!H$1)</f>
        <v>0</v>
      </c>
      <c r="I47" s="7">
        <f>SUMIFS('Leave Management'!$L:$L,'Leave Management'!$C:$C,Detail!$A47,'Leave Management'!$B:$B,Detail!I$1)</f>
        <v>0</v>
      </c>
      <c r="J47" s="7">
        <f>SUMIFS('Leave Management'!$L:$L,'Leave Management'!$C:$C,Detail!$A47,'Leave Management'!$B:$B,Detail!J$1)</f>
        <v>0</v>
      </c>
      <c r="K47" s="7">
        <f>SUMIFS('Leave Management'!$L:$L,'Leave Management'!$C:$C,Detail!$A47,'Leave Management'!$B:$B,Detail!K$1)</f>
        <v>0</v>
      </c>
      <c r="L47" s="7">
        <f>SUMIFS('Leave Management'!$L:$L,'Leave Management'!$C:$C,Detail!$A47,'Leave Management'!$B:$B,Detail!L$1)</f>
        <v>0</v>
      </c>
      <c r="M47" s="7">
        <f>SUMIFS('Leave Management'!$L:$L,'Leave Management'!$C:$C,Detail!$A47,'Leave Management'!$B:$B,Detail!M$1)</f>
        <v>0</v>
      </c>
      <c r="N47" s="7">
        <f>SUMIFS('Leave Management'!$L:$L,'Leave Management'!$C:$C,Detail!$A47,'Leave Management'!$B:$B,Detail!N$1)</f>
        <v>0</v>
      </c>
      <c r="O47" s="7">
        <f t="shared" si="2"/>
        <v>12</v>
      </c>
    </row>
    <row r="48" spans="1:15" x14ac:dyDescent="0.25">
      <c r="A48" s="24">
        <v>43146</v>
      </c>
      <c r="B48" s="2" t="str">
        <f t="shared" si="1"/>
        <v>Thu</v>
      </c>
      <c r="C48" s="7">
        <f>SUMIFS('Leave Management'!$L:$L,'Leave Management'!$C:$C,Detail!$A48,'Leave Management'!$B:$B,Detail!C$1)</f>
        <v>0</v>
      </c>
      <c r="D48" s="7">
        <f>SUMIFS('Leave Management'!$L:$L,'Leave Management'!$C:$C,Detail!$A48,'Leave Management'!$B:$B,Detail!D$1)</f>
        <v>0</v>
      </c>
      <c r="E48" s="7">
        <f>SUMIFS('Leave Management'!$L:$L,'Leave Management'!$C:$C,Detail!$A48,'Leave Management'!$B:$B,Detail!E$1)</f>
        <v>0</v>
      </c>
      <c r="F48" s="7">
        <f>SUMIFS('Leave Management'!$L:$L,'Leave Management'!$C:$C,Detail!$A48,'Leave Management'!$B:$B,Detail!F$1)</f>
        <v>0</v>
      </c>
      <c r="G48" s="7">
        <f>SUMIFS('Leave Management'!$L:$L,'Leave Management'!$C:$C,Detail!$A48,'Leave Management'!$B:$B,Detail!G$1)</f>
        <v>0</v>
      </c>
      <c r="H48" s="7">
        <f>SUMIFS('Leave Management'!$L:$L,'Leave Management'!$C:$C,Detail!$A48,'Leave Management'!$B:$B,Detail!H$1)</f>
        <v>0</v>
      </c>
      <c r="I48" s="7">
        <f>SUMIFS('Leave Management'!$L:$L,'Leave Management'!$C:$C,Detail!$A48,'Leave Management'!$B:$B,Detail!I$1)</f>
        <v>0</v>
      </c>
      <c r="J48" s="7">
        <f>SUMIFS('Leave Management'!$L:$L,'Leave Management'!$C:$C,Detail!$A48,'Leave Management'!$B:$B,Detail!J$1)</f>
        <v>0</v>
      </c>
      <c r="K48" s="7">
        <f>SUMIFS('Leave Management'!$L:$L,'Leave Management'!$C:$C,Detail!$A48,'Leave Management'!$B:$B,Detail!K$1)</f>
        <v>0</v>
      </c>
      <c r="L48" s="7">
        <f>SUMIFS('Leave Management'!$L:$L,'Leave Management'!$C:$C,Detail!$A48,'Leave Management'!$B:$B,Detail!L$1)</f>
        <v>0</v>
      </c>
      <c r="M48" s="7">
        <f>SUMIFS('Leave Management'!$L:$L,'Leave Management'!$C:$C,Detail!$A48,'Leave Management'!$B:$B,Detail!M$1)</f>
        <v>0</v>
      </c>
      <c r="N48" s="7">
        <f>SUMIFS('Leave Management'!$L:$L,'Leave Management'!$C:$C,Detail!$A48,'Leave Management'!$B:$B,Detail!N$1)</f>
        <v>0</v>
      </c>
      <c r="O48" s="7">
        <f t="shared" si="2"/>
        <v>12</v>
      </c>
    </row>
    <row r="49" spans="1:15" x14ac:dyDescent="0.25">
      <c r="A49" s="24">
        <v>43147</v>
      </c>
      <c r="B49" s="2" t="str">
        <f t="shared" si="1"/>
        <v>Fri</v>
      </c>
      <c r="C49" s="7">
        <f>SUMIFS('Leave Management'!$L:$L,'Leave Management'!$C:$C,Detail!$A49,'Leave Management'!$B:$B,Detail!C$1)</f>
        <v>0</v>
      </c>
      <c r="D49" s="7">
        <f>SUMIFS('Leave Management'!$L:$L,'Leave Management'!$C:$C,Detail!$A49,'Leave Management'!$B:$B,Detail!D$1)</f>
        <v>0</v>
      </c>
      <c r="E49" s="7">
        <f>SUMIFS('Leave Management'!$L:$L,'Leave Management'!$C:$C,Detail!$A49,'Leave Management'!$B:$B,Detail!E$1)</f>
        <v>0</v>
      </c>
      <c r="F49" s="7">
        <f>SUMIFS('Leave Management'!$L:$L,'Leave Management'!$C:$C,Detail!$A49,'Leave Management'!$B:$B,Detail!F$1)</f>
        <v>0</v>
      </c>
      <c r="G49" s="7">
        <f>SUMIFS('Leave Management'!$L:$L,'Leave Management'!$C:$C,Detail!$A49,'Leave Management'!$B:$B,Detail!G$1)</f>
        <v>0</v>
      </c>
      <c r="H49" s="7">
        <f>SUMIFS('Leave Management'!$L:$L,'Leave Management'!$C:$C,Detail!$A49,'Leave Management'!$B:$B,Detail!H$1)</f>
        <v>0</v>
      </c>
      <c r="I49" s="7">
        <f>SUMIFS('Leave Management'!$L:$L,'Leave Management'!$C:$C,Detail!$A49,'Leave Management'!$B:$B,Detail!I$1)</f>
        <v>0</v>
      </c>
      <c r="J49" s="7">
        <f>SUMIFS('Leave Management'!$L:$L,'Leave Management'!$C:$C,Detail!$A49,'Leave Management'!$B:$B,Detail!J$1)</f>
        <v>0</v>
      </c>
      <c r="K49" s="7">
        <f>SUMIFS('Leave Management'!$L:$L,'Leave Management'!$C:$C,Detail!$A49,'Leave Management'!$B:$B,Detail!K$1)</f>
        <v>0</v>
      </c>
      <c r="L49" s="7">
        <f>SUMIFS('Leave Management'!$L:$L,'Leave Management'!$C:$C,Detail!$A49,'Leave Management'!$B:$B,Detail!L$1)</f>
        <v>0</v>
      </c>
      <c r="M49" s="7">
        <f>SUMIFS('Leave Management'!$L:$L,'Leave Management'!$C:$C,Detail!$A49,'Leave Management'!$B:$B,Detail!M$1)</f>
        <v>0</v>
      </c>
      <c r="N49" s="7">
        <f>SUMIFS('Leave Management'!$L:$L,'Leave Management'!$C:$C,Detail!$A49,'Leave Management'!$B:$B,Detail!N$1)</f>
        <v>0</v>
      </c>
      <c r="O49" s="7">
        <f t="shared" si="2"/>
        <v>12</v>
      </c>
    </row>
    <row r="50" spans="1:15" x14ac:dyDescent="0.25">
      <c r="A50" s="24">
        <v>43148</v>
      </c>
      <c r="B50" s="2" t="str">
        <f t="shared" si="1"/>
        <v>Sat</v>
      </c>
      <c r="C50" s="7">
        <f>SUMIFS('Leave Management'!$L:$L,'Leave Management'!$C:$C,Detail!$A50,'Leave Management'!$B:$B,Detail!C$1)</f>
        <v>0</v>
      </c>
      <c r="D50" s="7">
        <f>SUMIFS('Leave Management'!$L:$L,'Leave Management'!$C:$C,Detail!$A50,'Leave Management'!$B:$B,Detail!D$1)</f>
        <v>0</v>
      </c>
      <c r="E50" s="7">
        <f>SUMIFS('Leave Management'!$L:$L,'Leave Management'!$C:$C,Detail!$A50,'Leave Management'!$B:$B,Detail!E$1)</f>
        <v>0</v>
      </c>
      <c r="F50" s="7">
        <f>SUMIFS('Leave Management'!$L:$L,'Leave Management'!$C:$C,Detail!$A50,'Leave Management'!$B:$B,Detail!F$1)</f>
        <v>0</v>
      </c>
      <c r="G50" s="7">
        <f>SUMIFS('Leave Management'!$L:$L,'Leave Management'!$C:$C,Detail!$A50,'Leave Management'!$B:$B,Detail!G$1)</f>
        <v>0</v>
      </c>
      <c r="H50" s="7">
        <f>SUMIFS('Leave Management'!$L:$L,'Leave Management'!$C:$C,Detail!$A50,'Leave Management'!$B:$B,Detail!H$1)</f>
        <v>0</v>
      </c>
      <c r="I50" s="7">
        <f>SUMIFS('Leave Management'!$L:$L,'Leave Management'!$C:$C,Detail!$A50,'Leave Management'!$B:$B,Detail!I$1)</f>
        <v>0</v>
      </c>
      <c r="J50" s="7">
        <f>SUMIFS('Leave Management'!$L:$L,'Leave Management'!$C:$C,Detail!$A50,'Leave Management'!$B:$B,Detail!J$1)</f>
        <v>0</v>
      </c>
      <c r="K50" s="7">
        <f>SUMIFS('Leave Management'!$L:$L,'Leave Management'!$C:$C,Detail!$A50,'Leave Management'!$B:$B,Detail!K$1)</f>
        <v>0</v>
      </c>
      <c r="L50" s="7">
        <f>SUMIFS('Leave Management'!$L:$L,'Leave Management'!$C:$C,Detail!$A50,'Leave Management'!$B:$B,Detail!L$1)</f>
        <v>0</v>
      </c>
      <c r="M50" s="7">
        <f>SUMIFS('Leave Management'!$L:$L,'Leave Management'!$C:$C,Detail!$A50,'Leave Management'!$B:$B,Detail!M$1)</f>
        <v>0</v>
      </c>
      <c r="N50" s="7">
        <f>SUMIFS('Leave Management'!$L:$L,'Leave Management'!$C:$C,Detail!$A50,'Leave Management'!$B:$B,Detail!N$1)</f>
        <v>0</v>
      </c>
      <c r="O50" s="7">
        <f t="shared" si="2"/>
        <v>12</v>
      </c>
    </row>
    <row r="51" spans="1:15" x14ac:dyDescent="0.25">
      <c r="A51" s="24">
        <v>43149</v>
      </c>
      <c r="B51" s="2" t="str">
        <f t="shared" si="1"/>
        <v>Sun</v>
      </c>
      <c r="C51" s="7">
        <f>SUMIFS('Leave Management'!$L:$L,'Leave Management'!$C:$C,Detail!$A51,'Leave Management'!$B:$B,Detail!C$1)</f>
        <v>0</v>
      </c>
      <c r="D51" s="7">
        <f>SUMIFS('Leave Management'!$L:$L,'Leave Management'!$C:$C,Detail!$A51,'Leave Management'!$B:$B,Detail!D$1)</f>
        <v>0</v>
      </c>
      <c r="E51" s="7">
        <f>SUMIFS('Leave Management'!$L:$L,'Leave Management'!$C:$C,Detail!$A51,'Leave Management'!$B:$B,Detail!E$1)</f>
        <v>0</v>
      </c>
      <c r="F51" s="7">
        <f>SUMIFS('Leave Management'!$L:$L,'Leave Management'!$C:$C,Detail!$A51,'Leave Management'!$B:$B,Detail!F$1)</f>
        <v>0</v>
      </c>
      <c r="G51" s="7">
        <f>SUMIFS('Leave Management'!$L:$L,'Leave Management'!$C:$C,Detail!$A51,'Leave Management'!$B:$B,Detail!G$1)</f>
        <v>0</v>
      </c>
      <c r="H51" s="7">
        <f>SUMIFS('Leave Management'!$L:$L,'Leave Management'!$C:$C,Detail!$A51,'Leave Management'!$B:$B,Detail!H$1)</f>
        <v>0</v>
      </c>
      <c r="I51" s="7">
        <f>SUMIFS('Leave Management'!$L:$L,'Leave Management'!$C:$C,Detail!$A51,'Leave Management'!$B:$B,Detail!I$1)</f>
        <v>0</v>
      </c>
      <c r="J51" s="7">
        <f>SUMIFS('Leave Management'!$L:$L,'Leave Management'!$C:$C,Detail!$A51,'Leave Management'!$B:$B,Detail!J$1)</f>
        <v>0</v>
      </c>
      <c r="K51" s="7">
        <f>SUMIFS('Leave Management'!$L:$L,'Leave Management'!$C:$C,Detail!$A51,'Leave Management'!$B:$B,Detail!K$1)</f>
        <v>0</v>
      </c>
      <c r="L51" s="7">
        <f>SUMIFS('Leave Management'!$L:$L,'Leave Management'!$C:$C,Detail!$A51,'Leave Management'!$B:$B,Detail!L$1)</f>
        <v>0</v>
      </c>
      <c r="M51" s="7">
        <f>SUMIFS('Leave Management'!$L:$L,'Leave Management'!$C:$C,Detail!$A51,'Leave Management'!$B:$B,Detail!M$1)</f>
        <v>0</v>
      </c>
      <c r="N51" s="7">
        <f>SUMIFS('Leave Management'!$L:$L,'Leave Management'!$C:$C,Detail!$A51,'Leave Management'!$B:$B,Detail!N$1)</f>
        <v>0</v>
      </c>
      <c r="O51" s="7">
        <f t="shared" si="2"/>
        <v>12</v>
      </c>
    </row>
    <row r="52" spans="1:15" x14ac:dyDescent="0.25">
      <c r="A52" s="24">
        <v>43150</v>
      </c>
      <c r="B52" s="2" t="str">
        <f t="shared" si="1"/>
        <v>Mon</v>
      </c>
      <c r="C52" s="7">
        <f>SUMIFS('Leave Management'!$L:$L,'Leave Management'!$C:$C,Detail!$A52,'Leave Management'!$B:$B,Detail!C$1)</f>
        <v>0</v>
      </c>
      <c r="D52" s="7">
        <f>SUMIFS('Leave Management'!$L:$L,'Leave Management'!$C:$C,Detail!$A52,'Leave Management'!$B:$B,Detail!D$1)</f>
        <v>0</v>
      </c>
      <c r="E52" s="7">
        <f>SUMIFS('Leave Management'!$L:$L,'Leave Management'!$C:$C,Detail!$A52,'Leave Management'!$B:$B,Detail!E$1)</f>
        <v>0</v>
      </c>
      <c r="F52" s="7">
        <f>SUMIFS('Leave Management'!$L:$L,'Leave Management'!$C:$C,Detail!$A52,'Leave Management'!$B:$B,Detail!F$1)</f>
        <v>0</v>
      </c>
      <c r="G52" s="7">
        <f>SUMIFS('Leave Management'!$L:$L,'Leave Management'!$C:$C,Detail!$A52,'Leave Management'!$B:$B,Detail!G$1)</f>
        <v>0</v>
      </c>
      <c r="H52" s="7">
        <f>SUMIFS('Leave Management'!$L:$L,'Leave Management'!$C:$C,Detail!$A52,'Leave Management'!$B:$B,Detail!H$1)</f>
        <v>0</v>
      </c>
      <c r="I52" s="7">
        <f>SUMIFS('Leave Management'!$L:$L,'Leave Management'!$C:$C,Detail!$A52,'Leave Management'!$B:$B,Detail!I$1)</f>
        <v>0</v>
      </c>
      <c r="J52" s="7">
        <f>SUMIFS('Leave Management'!$L:$L,'Leave Management'!$C:$C,Detail!$A52,'Leave Management'!$B:$B,Detail!J$1)</f>
        <v>0</v>
      </c>
      <c r="K52" s="7">
        <f>SUMIFS('Leave Management'!$L:$L,'Leave Management'!$C:$C,Detail!$A52,'Leave Management'!$B:$B,Detail!K$1)</f>
        <v>0</v>
      </c>
      <c r="L52" s="7">
        <f>SUMIFS('Leave Management'!$L:$L,'Leave Management'!$C:$C,Detail!$A52,'Leave Management'!$B:$B,Detail!L$1)</f>
        <v>0</v>
      </c>
      <c r="M52" s="7">
        <f>SUMIFS('Leave Management'!$L:$L,'Leave Management'!$C:$C,Detail!$A52,'Leave Management'!$B:$B,Detail!M$1)</f>
        <v>0</v>
      </c>
      <c r="N52" s="7">
        <f>SUMIFS('Leave Management'!$L:$L,'Leave Management'!$C:$C,Detail!$A52,'Leave Management'!$B:$B,Detail!N$1)</f>
        <v>0</v>
      </c>
      <c r="O52" s="7">
        <f t="shared" si="2"/>
        <v>12</v>
      </c>
    </row>
    <row r="53" spans="1:15" x14ac:dyDescent="0.25">
      <c r="A53" s="24">
        <v>43151</v>
      </c>
      <c r="B53" s="2" t="str">
        <f t="shared" si="1"/>
        <v>Tue</v>
      </c>
      <c r="C53" s="7">
        <f>SUMIFS('Leave Management'!$L:$L,'Leave Management'!$C:$C,Detail!$A53,'Leave Management'!$B:$B,Detail!C$1)</f>
        <v>0</v>
      </c>
      <c r="D53" s="7">
        <f>SUMIFS('Leave Management'!$L:$L,'Leave Management'!$C:$C,Detail!$A53,'Leave Management'!$B:$B,Detail!D$1)</f>
        <v>0</v>
      </c>
      <c r="E53" s="7">
        <f>SUMIFS('Leave Management'!$L:$L,'Leave Management'!$C:$C,Detail!$A53,'Leave Management'!$B:$B,Detail!E$1)</f>
        <v>0</v>
      </c>
      <c r="F53" s="7">
        <f>SUMIFS('Leave Management'!$L:$L,'Leave Management'!$C:$C,Detail!$A53,'Leave Management'!$B:$B,Detail!F$1)</f>
        <v>0</v>
      </c>
      <c r="G53" s="7">
        <f>SUMIFS('Leave Management'!$L:$L,'Leave Management'!$C:$C,Detail!$A53,'Leave Management'!$B:$B,Detail!G$1)</f>
        <v>0</v>
      </c>
      <c r="H53" s="7">
        <f>SUMIFS('Leave Management'!$L:$L,'Leave Management'!$C:$C,Detail!$A53,'Leave Management'!$B:$B,Detail!H$1)</f>
        <v>0</v>
      </c>
      <c r="I53" s="7">
        <f>SUMIFS('Leave Management'!$L:$L,'Leave Management'!$C:$C,Detail!$A53,'Leave Management'!$B:$B,Detail!I$1)</f>
        <v>0</v>
      </c>
      <c r="J53" s="7">
        <f>SUMIFS('Leave Management'!$L:$L,'Leave Management'!$C:$C,Detail!$A53,'Leave Management'!$B:$B,Detail!J$1)</f>
        <v>0</v>
      </c>
      <c r="K53" s="7">
        <f>SUMIFS('Leave Management'!$L:$L,'Leave Management'!$C:$C,Detail!$A53,'Leave Management'!$B:$B,Detail!K$1)</f>
        <v>0</v>
      </c>
      <c r="L53" s="7">
        <f>SUMIFS('Leave Management'!$L:$L,'Leave Management'!$C:$C,Detail!$A53,'Leave Management'!$B:$B,Detail!L$1)</f>
        <v>0</v>
      </c>
      <c r="M53" s="7">
        <f>SUMIFS('Leave Management'!$L:$L,'Leave Management'!$C:$C,Detail!$A53,'Leave Management'!$B:$B,Detail!M$1)</f>
        <v>0</v>
      </c>
      <c r="N53" s="7">
        <f>SUMIFS('Leave Management'!$L:$L,'Leave Management'!$C:$C,Detail!$A53,'Leave Management'!$B:$B,Detail!N$1)</f>
        <v>0</v>
      </c>
      <c r="O53" s="7">
        <f t="shared" si="2"/>
        <v>12</v>
      </c>
    </row>
    <row r="54" spans="1:15" x14ac:dyDescent="0.25">
      <c r="A54" s="24">
        <v>43152</v>
      </c>
      <c r="B54" s="2" t="str">
        <f t="shared" si="1"/>
        <v>Wed</v>
      </c>
      <c r="C54" s="7">
        <f>SUMIFS('Leave Management'!$L:$L,'Leave Management'!$C:$C,Detail!$A54,'Leave Management'!$B:$B,Detail!C$1)</f>
        <v>0</v>
      </c>
      <c r="D54" s="7">
        <f>SUMIFS('Leave Management'!$L:$L,'Leave Management'!$C:$C,Detail!$A54,'Leave Management'!$B:$B,Detail!D$1)</f>
        <v>0</v>
      </c>
      <c r="E54" s="7">
        <f>SUMIFS('Leave Management'!$L:$L,'Leave Management'!$C:$C,Detail!$A54,'Leave Management'!$B:$B,Detail!E$1)</f>
        <v>0</v>
      </c>
      <c r="F54" s="7">
        <f>SUMIFS('Leave Management'!$L:$L,'Leave Management'!$C:$C,Detail!$A54,'Leave Management'!$B:$B,Detail!F$1)</f>
        <v>0</v>
      </c>
      <c r="G54" s="7">
        <f>SUMIFS('Leave Management'!$L:$L,'Leave Management'!$C:$C,Detail!$A54,'Leave Management'!$B:$B,Detail!G$1)</f>
        <v>0</v>
      </c>
      <c r="H54" s="7">
        <f>SUMIFS('Leave Management'!$L:$L,'Leave Management'!$C:$C,Detail!$A54,'Leave Management'!$B:$B,Detail!H$1)</f>
        <v>0</v>
      </c>
      <c r="I54" s="7">
        <f>SUMIFS('Leave Management'!$L:$L,'Leave Management'!$C:$C,Detail!$A54,'Leave Management'!$B:$B,Detail!I$1)</f>
        <v>0</v>
      </c>
      <c r="J54" s="7">
        <f>SUMIFS('Leave Management'!$L:$L,'Leave Management'!$C:$C,Detail!$A54,'Leave Management'!$B:$B,Detail!J$1)</f>
        <v>0</v>
      </c>
      <c r="K54" s="7">
        <f>SUMIFS('Leave Management'!$L:$L,'Leave Management'!$C:$C,Detail!$A54,'Leave Management'!$B:$B,Detail!K$1)</f>
        <v>0</v>
      </c>
      <c r="L54" s="7">
        <f>SUMIFS('Leave Management'!$L:$L,'Leave Management'!$C:$C,Detail!$A54,'Leave Management'!$B:$B,Detail!L$1)</f>
        <v>0</v>
      </c>
      <c r="M54" s="7">
        <f>SUMIFS('Leave Management'!$L:$L,'Leave Management'!$C:$C,Detail!$A54,'Leave Management'!$B:$B,Detail!M$1)</f>
        <v>0</v>
      </c>
      <c r="N54" s="7">
        <f>SUMIFS('Leave Management'!$L:$L,'Leave Management'!$C:$C,Detail!$A54,'Leave Management'!$B:$B,Detail!N$1)</f>
        <v>0</v>
      </c>
      <c r="O54" s="7">
        <f t="shared" si="2"/>
        <v>12</v>
      </c>
    </row>
    <row r="55" spans="1:15" x14ac:dyDescent="0.25">
      <c r="A55" s="24">
        <v>43153</v>
      </c>
      <c r="B55" s="2" t="str">
        <f t="shared" si="1"/>
        <v>Thu</v>
      </c>
      <c r="C55" s="7">
        <f>SUMIFS('Leave Management'!$L:$L,'Leave Management'!$C:$C,Detail!$A55,'Leave Management'!$B:$B,Detail!C$1)</f>
        <v>0</v>
      </c>
      <c r="D55" s="7">
        <f>SUMIFS('Leave Management'!$L:$L,'Leave Management'!$C:$C,Detail!$A55,'Leave Management'!$B:$B,Detail!D$1)</f>
        <v>0</v>
      </c>
      <c r="E55" s="7">
        <f>SUMIFS('Leave Management'!$L:$L,'Leave Management'!$C:$C,Detail!$A55,'Leave Management'!$B:$B,Detail!E$1)</f>
        <v>0</v>
      </c>
      <c r="F55" s="7">
        <f>SUMIFS('Leave Management'!$L:$L,'Leave Management'!$C:$C,Detail!$A55,'Leave Management'!$B:$B,Detail!F$1)</f>
        <v>0</v>
      </c>
      <c r="G55" s="7">
        <f>SUMIFS('Leave Management'!$L:$L,'Leave Management'!$C:$C,Detail!$A55,'Leave Management'!$B:$B,Detail!G$1)</f>
        <v>0</v>
      </c>
      <c r="H55" s="7">
        <f>SUMIFS('Leave Management'!$L:$L,'Leave Management'!$C:$C,Detail!$A55,'Leave Management'!$B:$B,Detail!H$1)</f>
        <v>0</v>
      </c>
      <c r="I55" s="7">
        <f>SUMIFS('Leave Management'!$L:$L,'Leave Management'!$C:$C,Detail!$A55,'Leave Management'!$B:$B,Detail!I$1)</f>
        <v>0</v>
      </c>
      <c r="J55" s="7">
        <f>SUMIFS('Leave Management'!$L:$L,'Leave Management'!$C:$C,Detail!$A55,'Leave Management'!$B:$B,Detail!J$1)</f>
        <v>0</v>
      </c>
      <c r="K55" s="7">
        <f>SUMIFS('Leave Management'!$L:$L,'Leave Management'!$C:$C,Detail!$A55,'Leave Management'!$B:$B,Detail!K$1)</f>
        <v>0</v>
      </c>
      <c r="L55" s="7">
        <f>SUMIFS('Leave Management'!$L:$L,'Leave Management'!$C:$C,Detail!$A55,'Leave Management'!$B:$B,Detail!L$1)</f>
        <v>0</v>
      </c>
      <c r="M55" s="7">
        <f>SUMIFS('Leave Management'!$L:$L,'Leave Management'!$C:$C,Detail!$A55,'Leave Management'!$B:$B,Detail!M$1)</f>
        <v>0</v>
      </c>
      <c r="N55" s="7">
        <f>SUMIFS('Leave Management'!$L:$L,'Leave Management'!$C:$C,Detail!$A55,'Leave Management'!$B:$B,Detail!N$1)</f>
        <v>0</v>
      </c>
      <c r="O55" s="7">
        <f t="shared" si="2"/>
        <v>12</v>
      </c>
    </row>
    <row r="56" spans="1:15" x14ac:dyDescent="0.25">
      <c r="A56" s="24">
        <v>43154</v>
      </c>
      <c r="B56" s="2" t="str">
        <f t="shared" si="1"/>
        <v>Fri</v>
      </c>
      <c r="C56" s="7">
        <f>SUMIFS('Leave Management'!$L:$L,'Leave Management'!$C:$C,Detail!$A56,'Leave Management'!$B:$B,Detail!C$1)</f>
        <v>0</v>
      </c>
      <c r="D56" s="7">
        <f>SUMIFS('Leave Management'!$L:$L,'Leave Management'!$C:$C,Detail!$A56,'Leave Management'!$B:$B,Detail!D$1)</f>
        <v>0</v>
      </c>
      <c r="E56" s="7">
        <f>SUMIFS('Leave Management'!$L:$L,'Leave Management'!$C:$C,Detail!$A56,'Leave Management'!$B:$B,Detail!E$1)</f>
        <v>0</v>
      </c>
      <c r="F56" s="7">
        <f>SUMIFS('Leave Management'!$L:$L,'Leave Management'!$C:$C,Detail!$A56,'Leave Management'!$B:$B,Detail!F$1)</f>
        <v>0</v>
      </c>
      <c r="G56" s="7">
        <f>SUMIFS('Leave Management'!$L:$L,'Leave Management'!$C:$C,Detail!$A56,'Leave Management'!$B:$B,Detail!G$1)</f>
        <v>0</v>
      </c>
      <c r="H56" s="7">
        <f>SUMIFS('Leave Management'!$L:$L,'Leave Management'!$C:$C,Detail!$A56,'Leave Management'!$B:$B,Detail!H$1)</f>
        <v>0</v>
      </c>
      <c r="I56" s="7">
        <f>SUMIFS('Leave Management'!$L:$L,'Leave Management'!$C:$C,Detail!$A56,'Leave Management'!$B:$B,Detail!I$1)</f>
        <v>0</v>
      </c>
      <c r="J56" s="7">
        <f>SUMIFS('Leave Management'!$L:$L,'Leave Management'!$C:$C,Detail!$A56,'Leave Management'!$B:$B,Detail!J$1)</f>
        <v>0</v>
      </c>
      <c r="K56" s="7">
        <f>SUMIFS('Leave Management'!$L:$L,'Leave Management'!$C:$C,Detail!$A56,'Leave Management'!$B:$B,Detail!K$1)</f>
        <v>0</v>
      </c>
      <c r="L56" s="7">
        <f>SUMIFS('Leave Management'!$L:$L,'Leave Management'!$C:$C,Detail!$A56,'Leave Management'!$B:$B,Detail!L$1)</f>
        <v>0</v>
      </c>
      <c r="M56" s="7">
        <f>SUMIFS('Leave Management'!$L:$L,'Leave Management'!$C:$C,Detail!$A56,'Leave Management'!$B:$B,Detail!M$1)</f>
        <v>0</v>
      </c>
      <c r="N56" s="7">
        <f>SUMIFS('Leave Management'!$L:$L,'Leave Management'!$C:$C,Detail!$A56,'Leave Management'!$B:$B,Detail!N$1)</f>
        <v>0</v>
      </c>
      <c r="O56" s="7">
        <f t="shared" si="2"/>
        <v>12</v>
      </c>
    </row>
    <row r="57" spans="1:15" x14ac:dyDescent="0.25">
      <c r="A57" s="24">
        <v>43155</v>
      </c>
      <c r="B57" s="2" t="str">
        <f t="shared" si="1"/>
        <v>Sat</v>
      </c>
      <c r="C57" s="7">
        <f>SUMIFS('Leave Management'!$L:$L,'Leave Management'!$C:$C,Detail!$A57,'Leave Management'!$B:$B,Detail!C$1)</f>
        <v>0</v>
      </c>
      <c r="D57" s="7">
        <f>SUMIFS('Leave Management'!$L:$L,'Leave Management'!$C:$C,Detail!$A57,'Leave Management'!$B:$B,Detail!D$1)</f>
        <v>0</v>
      </c>
      <c r="E57" s="7">
        <f>SUMIFS('Leave Management'!$L:$L,'Leave Management'!$C:$C,Detail!$A57,'Leave Management'!$B:$B,Detail!E$1)</f>
        <v>0</v>
      </c>
      <c r="F57" s="7">
        <f>SUMIFS('Leave Management'!$L:$L,'Leave Management'!$C:$C,Detail!$A57,'Leave Management'!$B:$B,Detail!F$1)</f>
        <v>0</v>
      </c>
      <c r="G57" s="7">
        <f>SUMIFS('Leave Management'!$L:$L,'Leave Management'!$C:$C,Detail!$A57,'Leave Management'!$B:$B,Detail!G$1)</f>
        <v>0</v>
      </c>
      <c r="H57" s="7">
        <f>SUMIFS('Leave Management'!$L:$L,'Leave Management'!$C:$C,Detail!$A57,'Leave Management'!$B:$B,Detail!H$1)</f>
        <v>0</v>
      </c>
      <c r="I57" s="7">
        <f>SUMIFS('Leave Management'!$L:$L,'Leave Management'!$C:$C,Detail!$A57,'Leave Management'!$B:$B,Detail!I$1)</f>
        <v>0</v>
      </c>
      <c r="J57" s="7">
        <f>SUMIFS('Leave Management'!$L:$L,'Leave Management'!$C:$C,Detail!$A57,'Leave Management'!$B:$B,Detail!J$1)</f>
        <v>0</v>
      </c>
      <c r="K57" s="7">
        <f>SUMIFS('Leave Management'!$L:$L,'Leave Management'!$C:$C,Detail!$A57,'Leave Management'!$B:$B,Detail!K$1)</f>
        <v>0</v>
      </c>
      <c r="L57" s="7">
        <f>SUMIFS('Leave Management'!$L:$L,'Leave Management'!$C:$C,Detail!$A57,'Leave Management'!$B:$B,Detail!L$1)</f>
        <v>0</v>
      </c>
      <c r="M57" s="7">
        <f>SUMIFS('Leave Management'!$L:$L,'Leave Management'!$C:$C,Detail!$A57,'Leave Management'!$B:$B,Detail!M$1)</f>
        <v>0</v>
      </c>
      <c r="N57" s="7">
        <f>SUMIFS('Leave Management'!$L:$L,'Leave Management'!$C:$C,Detail!$A57,'Leave Management'!$B:$B,Detail!N$1)</f>
        <v>0</v>
      </c>
      <c r="O57" s="7">
        <f t="shared" si="2"/>
        <v>12</v>
      </c>
    </row>
    <row r="58" spans="1:15" x14ac:dyDescent="0.25">
      <c r="A58" s="24">
        <v>43156</v>
      </c>
      <c r="B58" s="2" t="str">
        <f t="shared" si="1"/>
        <v>Sun</v>
      </c>
      <c r="C58" s="7">
        <f>SUMIFS('Leave Management'!$L:$L,'Leave Management'!$C:$C,Detail!$A58,'Leave Management'!$B:$B,Detail!C$1)</f>
        <v>0</v>
      </c>
      <c r="D58" s="7">
        <f>SUMIFS('Leave Management'!$L:$L,'Leave Management'!$C:$C,Detail!$A58,'Leave Management'!$B:$B,Detail!D$1)</f>
        <v>0</v>
      </c>
      <c r="E58" s="7">
        <f>SUMIFS('Leave Management'!$L:$L,'Leave Management'!$C:$C,Detail!$A58,'Leave Management'!$B:$B,Detail!E$1)</f>
        <v>0</v>
      </c>
      <c r="F58" s="7">
        <f>SUMIFS('Leave Management'!$L:$L,'Leave Management'!$C:$C,Detail!$A58,'Leave Management'!$B:$B,Detail!F$1)</f>
        <v>0</v>
      </c>
      <c r="G58" s="7">
        <f>SUMIFS('Leave Management'!$L:$L,'Leave Management'!$C:$C,Detail!$A58,'Leave Management'!$B:$B,Detail!G$1)</f>
        <v>0</v>
      </c>
      <c r="H58" s="7">
        <f>SUMIFS('Leave Management'!$L:$L,'Leave Management'!$C:$C,Detail!$A58,'Leave Management'!$B:$B,Detail!H$1)</f>
        <v>0</v>
      </c>
      <c r="I58" s="7">
        <f>SUMIFS('Leave Management'!$L:$L,'Leave Management'!$C:$C,Detail!$A58,'Leave Management'!$B:$B,Detail!I$1)</f>
        <v>0</v>
      </c>
      <c r="J58" s="7">
        <f>SUMIFS('Leave Management'!$L:$L,'Leave Management'!$C:$C,Detail!$A58,'Leave Management'!$B:$B,Detail!J$1)</f>
        <v>0</v>
      </c>
      <c r="K58" s="7">
        <f>SUMIFS('Leave Management'!$L:$L,'Leave Management'!$C:$C,Detail!$A58,'Leave Management'!$B:$B,Detail!K$1)</f>
        <v>0</v>
      </c>
      <c r="L58" s="7">
        <f>SUMIFS('Leave Management'!$L:$L,'Leave Management'!$C:$C,Detail!$A58,'Leave Management'!$B:$B,Detail!L$1)</f>
        <v>0</v>
      </c>
      <c r="M58" s="7">
        <f>SUMIFS('Leave Management'!$L:$L,'Leave Management'!$C:$C,Detail!$A58,'Leave Management'!$B:$B,Detail!M$1)</f>
        <v>0</v>
      </c>
      <c r="N58" s="7">
        <f>SUMIFS('Leave Management'!$L:$L,'Leave Management'!$C:$C,Detail!$A58,'Leave Management'!$B:$B,Detail!N$1)</f>
        <v>0</v>
      </c>
      <c r="O58" s="7">
        <f t="shared" si="2"/>
        <v>12</v>
      </c>
    </row>
    <row r="59" spans="1:15" x14ac:dyDescent="0.25">
      <c r="A59" s="24">
        <v>43157</v>
      </c>
      <c r="B59" s="2" t="str">
        <f t="shared" si="1"/>
        <v>Mon</v>
      </c>
      <c r="C59" s="7">
        <f>SUMIFS('Leave Management'!$L:$L,'Leave Management'!$C:$C,Detail!$A59,'Leave Management'!$B:$B,Detail!C$1)</f>
        <v>0</v>
      </c>
      <c r="D59" s="7">
        <f>SUMIFS('Leave Management'!$L:$L,'Leave Management'!$C:$C,Detail!$A59,'Leave Management'!$B:$B,Detail!D$1)</f>
        <v>0</v>
      </c>
      <c r="E59" s="7">
        <f>SUMIFS('Leave Management'!$L:$L,'Leave Management'!$C:$C,Detail!$A59,'Leave Management'!$B:$B,Detail!E$1)</f>
        <v>0</v>
      </c>
      <c r="F59" s="7">
        <f>SUMIFS('Leave Management'!$L:$L,'Leave Management'!$C:$C,Detail!$A59,'Leave Management'!$B:$B,Detail!F$1)</f>
        <v>0</v>
      </c>
      <c r="G59" s="7">
        <f>SUMIFS('Leave Management'!$L:$L,'Leave Management'!$C:$C,Detail!$A59,'Leave Management'!$B:$B,Detail!G$1)</f>
        <v>0</v>
      </c>
      <c r="H59" s="7">
        <f>SUMIFS('Leave Management'!$L:$L,'Leave Management'!$C:$C,Detail!$A59,'Leave Management'!$B:$B,Detail!H$1)</f>
        <v>0</v>
      </c>
      <c r="I59" s="7">
        <f>SUMIFS('Leave Management'!$L:$L,'Leave Management'!$C:$C,Detail!$A59,'Leave Management'!$B:$B,Detail!I$1)</f>
        <v>0</v>
      </c>
      <c r="J59" s="7">
        <f>SUMIFS('Leave Management'!$L:$L,'Leave Management'!$C:$C,Detail!$A59,'Leave Management'!$B:$B,Detail!J$1)</f>
        <v>0</v>
      </c>
      <c r="K59" s="7">
        <f>SUMIFS('Leave Management'!$L:$L,'Leave Management'!$C:$C,Detail!$A59,'Leave Management'!$B:$B,Detail!K$1)</f>
        <v>0</v>
      </c>
      <c r="L59" s="7">
        <f>SUMIFS('Leave Management'!$L:$L,'Leave Management'!$C:$C,Detail!$A59,'Leave Management'!$B:$B,Detail!L$1)</f>
        <v>0</v>
      </c>
      <c r="M59" s="7">
        <f>SUMIFS('Leave Management'!$L:$L,'Leave Management'!$C:$C,Detail!$A59,'Leave Management'!$B:$B,Detail!M$1)</f>
        <v>0</v>
      </c>
      <c r="N59" s="7">
        <f>SUMIFS('Leave Management'!$L:$L,'Leave Management'!$C:$C,Detail!$A59,'Leave Management'!$B:$B,Detail!N$1)</f>
        <v>0</v>
      </c>
      <c r="O59" s="7">
        <f t="shared" si="2"/>
        <v>12</v>
      </c>
    </row>
    <row r="60" spans="1:15" x14ac:dyDescent="0.25">
      <c r="A60" s="24">
        <v>43158</v>
      </c>
      <c r="B60" s="2" t="str">
        <f t="shared" si="1"/>
        <v>Tue</v>
      </c>
      <c r="C60" s="7">
        <f>SUMIFS('Leave Management'!$L:$L,'Leave Management'!$C:$C,Detail!$A60,'Leave Management'!$B:$B,Detail!C$1)</f>
        <v>0</v>
      </c>
      <c r="D60" s="7">
        <f>SUMIFS('Leave Management'!$L:$L,'Leave Management'!$C:$C,Detail!$A60,'Leave Management'!$B:$B,Detail!D$1)</f>
        <v>0</v>
      </c>
      <c r="E60" s="7">
        <f>SUMIFS('Leave Management'!$L:$L,'Leave Management'!$C:$C,Detail!$A60,'Leave Management'!$B:$B,Detail!E$1)</f>
        <v>0</v>
      </c>
      <c r="F60" s="7">
        <f>SUMIFS('Leave Management'!$L:$L,'Leave Management'!$C:$C,Detail!$A60,'Leave Management'!$B:$B,Detail!F$1)</f>
        <v>0</v>
      </c>
      <c r="G60" s="7">
        <f>SUMIFS('Leave Management'!$L:$L,'Leave Management'!$C:$C,Detail!$A60,'Leave Management'!$B:$B,Detail!G$1)</f>
        <v>0</v>
      </c>
      <c r="H60" s="7">
        <f>SUMIFS('Leave Management'!$L:$L,'Leave Management'!$C:$C,Detail!$A60,'Leave Management'!$B:$B,Detail!H$1)</f>
        <v>0</v>
      </c>
      <c r="I60" s="7">
        <f>SUMIFS('Leave Management'!$L:$L,'Leave Management'!$C:$C,Detail!$A60,'Leave Management'!$B:$B,Detail!I$1)</f>
        <v>0</v>
      </c>
      <c r="J60" s="7">
        <f>SUMIFS('Leave Management'!$L:$L,'Leave Management'!$C:$C,Detail!$A60,'Leave Management'!$B:$B,Detail!J$1)</f>
        <v>0</v>
      </c>
      <c r="K60" s="7">
        <f>SUMIFS('Leave Management'!$L:$L,'Leave Management'!$C:$C,Detail!$A60,'Leave Management'!$B:$B,Detail!K$1)</f>
        <v>0</v>
      </c>
      <c r="L60" s="7">
        <f>SUMIFS('Leave Management'!$L:$L,'Leave Management'!$C:$C,Detail!$A60,'Leave Management'!$B:$B,Detail!L$1)</f>
        <v>0</v>
      </c>
      <c r="M60" s="7">
        <f>SUMIFS('Leave Management'!$L:$L,'Leave Management'!$C:$C,Detail!$A60,'Leave Management'!$B:$B,Detail!M$1)</f>
        <v>0</v>
      </c>
      <c r="N60" s="7">
        <f>SUMIFS('Leave Management'!$L:$L,'Leave Management'!$C:$C,Detail!$A60,'Leave Management'!$B:$B,Detail!N$1)</f>
        <v>0</v>
      </c>
      <c r="O60" s="7">
        <f t="shared" si="2"/>
        <v>12</v>
      </c>
    </row>
    <row r="61" spans="1:15" x14ac:dyDescent="0.25">
      <c r="A61" s="24">
        <v>43159</v>
      </c>
      <c r="B61" s="2" t="str">
        <f t="shared" si="1"/>
        <v>Wed</v>
      </c>
      <c r="C61" s="7">
        <f>SUMIFS('Leave Management'!$L:$L,'Leave Management'!$C:$C,Detail!$A61,'Leave Management'!$B:$B,Detail!C$1)</f>
        <v>0</v>
      </c>
      <c r="D61" s="7">
        <f>SUMIFS('Leave Management'!$L:$L,'Leave Management'!$C:$C,Detail!$A61,'Leave Management'!$B:$B,Detail!D$1)</f>
        <v>0</v>
      </c>
      <c r="E61" s="7">
        <f>SUMIFS('Leave Management'!$L:$L,'Leave Management'!$C:$C,Detail!$A61,'Leave Management'!$B:$B,Detail!E$1)</f>
        <v>0</v>
      </c>
      <c r="F61" s="7">
        <f>SUMIFS('Leave Management'!$L:$L,'Leave Management'!$C:$C,Detail!$A61,'Leave Management'!$B:$B,Detail!F$1)</f>
        <v>0</v>
      </c>
      <c r="G61" s="7">
        <f>SUMIFS('Leave Management'!$L:$L,'Leave Management'!$C:$C,Detail!$A61,'Leave Management'!$B:$B,Detail!G$1)</f>
        <v>0</v>
      </c>
      <c r="H61" s="7">
        <f>SUMIFS('Leave Management'!$L:$L,'Leave Management'!$C:$C,Detail!$A61,'Leave Management'!$B:$B,Detail!H$1)</f>
        <v>0</v>
      </c>
      <c r="I61" s="7">
        <f>SUMIFS('Leave Management'!$L:$L,'Leave Management'!$C:$C,Detail!$A61,'Leave Management'!$B:$B,Detail!I$1)</f>
        <v>0</v>
      </c>
      <c r="J61" s="7">
        <f>SUMIFS('Leave Management'!$L:$L,'Leave Management'!$C:$C,Detail!$A61,'Leave Management'!$B:$B,Detail!J$1)</f>
        <v>0</v>
      </c>
      <c r="K61" s="7">
        <f>SUMIFS('Leave Management'!$L:$L,'Leave Management'!$C:$C,Detail!$A61,'Leave Management'!$B:$B,Detail!K$1)</f>
        <v>0</v>
      </c>
      <c r="L61" s="7">
        <f>SUMIFS('Leave Management'!$L:$L,'Leave Management'!$C:$C,Detail!$A61,'Leave Management'!$B:$B,Detail!L$1)</f>
        <v>0</v>
      </c>
      <c r="M61" s="7">
        <f>SUMIFS('Leave Management'!$L:$L,'Leave Management'!$C:$C,Detail!$A61,'Leave Management'!$B:$B,Detail!M$1)</f>
        <v>0</v>
      </c>
      <c r="N61" s="7">
        <f>SUMIFS('Leave Management'!$L:$L,'Leave Management'!$C:$C,Detail!$A61,'Leave Management'!$B:$B,Detail!N$1)</f>
        <v>0</v>
      </c>
      <c r="O61" s="7">
        <f t="shared" si="2"/>
        <v>12</v>
      </c>
    </row>
    <row r="62" spans="1:15" x14ac:dyDescent="0.25">
      <c r="A62" s="24">
        <v>43160</v>
      </c>
      <c r="B62" s="2" t="str">
        <f t="shared" si="1"/>
        <v>Thu</v>
      </c>
      <c r="C62" s="7">
        <f>SUMIFS('Leave Management'!$L:$L,'Leave Management'!$C:$C,Detail!$A62,'Leave Management'!$B:$B,Detail!C$1)</f>
        <v>0</v>
      </c>
      <c r="D62" s="7">
        <f>SUMIFS('Leave Management'!$L:$L,'Leave Management'!$C:$C,Detail!$A62,'Leave Management'!$B:$B,Detail!D$1)</f>
        <v>0</v>
      </c>
      <c r="E62" s="7">
        <f>SUMIFS('Leave Management'!$L:$L,'Leave Management'!$C:$C,Detail!$A62,'Leave Management'!$B:$B,Detail!E$1)</f>
        <v>0</v>
      </c>
      <c r="F62" s="7">
        <f>SUMIFS('Leave Management'!$L:$L,'Leave Management'!$C:$C,Detail!$A62,'Leave Management'!$B:$B,Detail!F$1)</f>
        <v>0</v>
      </c>
      <c r="G62" s="7">
        <f>SUMIFS('Leave Management'!$L:$L,'Leave Management'!$C:$C,Detail!$A62,'Leave Management'!$B:$B,Detail!G$1)</f>
        <v>0</v>
      </c>
      <c r="H62" s="7">
        <f>SUMIFS('Leave Management'!$L:$L,'Leave Management'!$C:$C,Detail!$A62,'Leave Management'!$B:$B,Detail!H$1)</f>
        <v>0</v>
      </c>
      <c r="I62" s="7">
        <f>SUMIFS('Leave Management'!$L:$L,'Leave Management'!$C:$C,Detail!$A62,'Leave Management'!$B:$B,Detail!I$1)</f>
        <v>0</v>
      </c>
      <c r="J62" s="7">
        <f>SUMIFS('Leave Management'!$L:$L,'Leave Management'!$C:$C,Detail!$A62,'Leave Management'!$B:$B,Detail!J$1)</f>
        <v>0</v>
      </c>
      <c r="K62" s="7">
        <f>SUMIFS('Leave Management'!$L:$L,'Leave Management'!$C:$C,Detail!$A62,'Leave Management'!$B:$B,Detail!K$1)</f>
        <v>0</v>
      </c>
      <c r="L62" s="7">
        <f>SUMIFS('Leave Management'!$L:$L,'Leave Management'!$C:$C,Detail!$A62,'Leave Management'!$B:$B,Detail!L$1)</f>
        <v>0</v>
      </c>
      <c r="M62" s="7">
        <f>SUMIFS('Leave Management'!$L:$L,'Leave Management'!$C:$C,Detail!$A62,'Leave Management'!$B:$B,Detail!M$1)</f>
        <v>0</v>
      </c>
      <c r="N62" s="7">
        <f>SUMIFS('Leave Management'!$L:$L,'Leave Management'!$C:$C,Detail!$A62,'Leave Management'!$B:$B,Detail!N$1)</f>
        <v>0</v>
      </c>
      <c r="O62" s="7">
        <f t="shared" si="2"/>
        <v>12</v>
      </c>
    </row>
    <row r="63" spans="1:15" x14ac:dyDescent="0.25">
      <c r="A63" s="24">
        <v>43161</v>
      </c>
      <c r="B63" s="2" t="str">
        <f t="shared" si="1"/>
        <v>Fri</v>
      </c>
      <c r="C63" s="7">
        <f>SUMIFS('Leave Management'!$L:$L,'Leave Management'!$C:$C,Detail!$A63,'Leave Management'!$B:$B,Detail!C$1)</f>
        <v>0</v>
      </c>
      <c r="D63" s="7">
        <f>SUMIFS('Leave Management'!$L:$L,'Leave Management'!$C:$C,Detail!$A63,'Leave Management'!$B:$B,Detail!D$1)</f>
        <v>0</v>
      </c>
      <c r="E63" s="7">
        <f>SUMIFS('Leave Management'!$L:$L,'Leave Management'!$C:$C,Detail!$A63,'Leave Management'!$B:$B,Detail!E$1)</f>
        <v>0</v>
      </c>
      <c r="F63" s="7">
        <f>SUMIFS('Leave Management'!$L:$L,'Leave Management'!$C:$C,Detail!$A63,'Leave Management'!$B:$B,Detail!F$1)</f>
        <v>0</v>
      </c>
      <c r="G63" s="7">
        <f>SUMIFS('Leave Management'!$L:$L,'Leave Management'!$C:$C,Detail!$A63,'Leave Management'!$B:$B,Detail!G$1)</f>
        <v>0</v>
      </c>
      <c r="H63" s="7">
        <f>SUMIFS('Leave Management'!$L:$L,'Leave Management'!$C:$C,Detail!$A63,'Leave Management'!$B:$B,Detail!H$1)</f>
        <v>0</v>
      </c>
      <c r="I63" s="7">
        <f>SUMIFS('Leave Management'!$L:$L,'Leave Management'!$C:$C,Detail!$A63,'Leave Management'!$B:$B,Detail!I$1)</f>
        <v>0</v>
      </c>
      <c r="J63" s="7">
        <f>SUMIFS('Leave Management'!$L:$L,'Leave Management'!$C:$C,Detail!$A63,'Leave Management'!$B:$B,Detail!J$1)</f>
        <v>0</v>
      </c>
      <c r="K63" s="7">
        <f>SUMIFS('Leave Management'!$L:$L,'Leave Management'!$C:$C,Detail!$A63,'Leave Management'!$B:$B,Detail!K$1)</f>
        <v>0</v>
      </c>
      <c r="L63" s="7">
        <f>SUMIFS('Leave Management'!$L:$L,'Leave Management'!$C:$C,Detail!$A63,'Leave Management'!$B:$B,Detail!L$1)</f>
        <v>0</v>
      </c>
      <c r="M63" s="7">
        <f>SUMIFS('Leave Management'!$L:$L,'Leave Management'!$C:$C,Detail!$A63,'Leave Management'!$B:$B,Detail!M$1)</f>
        <v>0</v>
      </c>
      <c r="N63" s="7">
        <f>SUMIFS('Leave Management'!$L:$L,'Leave Management'!$C:$C,Detail!$A63,'Leave Management'!$B:$B,Detail!N$1)</f>
        <v>0</v>
      </c>
      <c r="O63" s="7">
        <f t="shared" si="2"/>
        <v>12</v>
      </c>
    </row>
    <row r="64" spans="1:15" x14ac:dyDescent="0.25">
      <c r="A64" s="24">
        <v>43162</v>
      </c>
      <c r="B64" s="2" t="str">
        <f t="shared" si="1"/>
        <v>Sat</v>
      </c>
      <c r="C64" s="7">
        <f>SUMIFS('Leave Management'!$L:$L,'Leave Management'!$C:$C,Detail!$A64,'Leave Management'!$B:$B,Detail!C$1)</f>
        <v>0</v>
      </c>
      <c r="D64" s="7">
        <f>SUMIFS('Leave Management'!$L:$L,'Leave Management'!$C:$C,Detail!$A64,'Leave Management'!$B:$B,Detail!D$1)</f>
        <v>0</v>
      </c>
      <c r="E64" s="7">
        <f>SUMIFS('Leave Management'!$L:$L,'Leave Management'!$C:$C,Detail!$A64,'Leave Management'!$B:$B,Detail!E$1)</f>
        <v>0</v>
      </c>
      <c r="F64" s="7">
        <f>SUMIFS('Leave Management'!$L:$L,'Leave Management'!$C:$C,Detail!$A64,'Leave Management'!$B:$B,Detail!F$1)</f>
        <v>0</v>
      </c>
      <c r="G64" s="7">
        <f>SUMIFS('Leave Management'!$L:$L,'Leave Management'!$C:$C,Detail!$A64,'Leave Management'!$B:$B,Detail!G$1)</f>
        <v>0</v>
      </c>
      <c r="H64" s="7">
        <f>SUMIFS('Leave Management'!$L:$L,'Leave Management'!$C:$C,Detail!$A64,'Leave Management'!$B:$B,Detail!H$1)</f>
        <v>0</v>
      </c>
      <c r="I64" s="7">
        <f>SUMIFS('Leave Management'!$L:$L,'Leave Management'!$C:$C,Detail!$A64,'Leave Management'!$B:$B,Detail!I$1)</f>
        <v>0</v>
      </c>
      <c r="J64" s="7">
        <f>SUMIFS('Leave Management'!$L:$L,'Leave Management'!$C:$C,Detail!$A64,'Leave Management'!$B:$B,Detail!J$1)</f>
        <v>0</v>
      </c>
      <c r="K64" s="7">
        <f>SUMIFS('Leave Management'!$L:$L,'Leave Management'!$C:$C,Detail!$A64,'Leave Management'!$B:$B,Detail!K$1)</f>
        <v>0</v>
      </c>
      <c r="L64" s="7">
        <f>SUMIFS('Leave Management'!$L:$L,'Leave Management'!$C:$C,Detail!$A64,'Leave Management'!$B:$B,Detail!L$1)</f>
        <v>0</v>
      </c>
      <c r="M64" s="7">
        <f>SUMIFS('Leave Management'!$L:$L,'Leave Management'!$C:$C,Detail!$A64,'Leave Management'!$B:$B,Detail!M$1)</f>
        <v>0</v>
      </c>
      <c r="N64" s="7">
        <f>SUMIFS('Leave Management'!$L:$L,'Leave Management'!$C:$C,Detail!$A64,'Leave Management'!$B:$B,Detail!N$1)</f>
        <v>0</v>
      </c>
      <c r="O64" s="7">
        <f t="shared" si="2"/>
        <v>12</v>
      </c>
    </row>
    <row r="65" spans="1:15" x14ac:dyDescent="0.25">
      <c r="A65" s="24">
        <v>43163</v>
      </c>
      <c r="B65" s="2" t="str">
        <f t="shared" si="1"/>
        <v>Sun</v>
      </c>
      <c r="C65" s="7">
        <f>SUMIFS('Leave Management'!$L:$L,'Leave Management'!$C:$C,Detail!$A65,'Leave Management'!$B:$B,Detail!C$1)</f>
        <v>0</v>
      </c>
      <c r="D65" s="7">
        <f>SUMIFS('Leave Management'!$L:$L,'Leave Management'!$C:$C,Detail!$A65,'Leave Management'!$B:$B,Detail!D$1)</f>
        <v>0</v>
      </c>
      <c r="E65" s="7">
        <f>SUMIFS('Leave Management'!$L:$L,'Leave Management'!$C:$C,Detail!$A65,'Leave Management'!$B:$B,Detail!E$1)</f>
        <v>0</v>
      </c>
      <c r="F65" s="7">
        <f>SUMIFS('Leave Management'!$L:$L,'Leave Management'!$C:$C,Detail!$A65,'Leave Management'!$B:$B,Detail!F$1)</f>
        <v>0</v>
      </c>
      <c r="G65" s="7">
        <f>SUMIFS('Leave Management'!$L:$L,'Leave Management'!$C:$C,Detail!$A65,'Leave Management'!$B:$B,Detail!G$1)</f>
        <v>0</v>
      </c>
      <c r="H65" s="7">
        <f>SUMIFS('Leave Management'!$L:$L,'Leave Management'!$C:$C,Detail!$A65,'Leave Management'!$B:$B,Detail!H$1)</f>
        <v>0</v>
      </c>
      <c r="I65" s="7">
        <f>SUMIFS('Leave Management'!$L:$L,'Leave Management'!$C:$C,Detail!$A65,'Leave Management'!$B:$B,Detail!I$1)</f>
        <v>0</v>
      </c>
      <c r="J65" s="7">
        <f>SUMIFS('Leave Management'!$L:$L,'Leave Management'!$C:$C,Detail!$A65,'Leave Management'!$B:$B,Detail!J$1)</f>
        <v>0</v>
      </c>
      <c r="K65" s="7">
        <f>SUMIFS('Leave Management'!$L:$L,'Leave Management'!$C:$C,Detail!$A65,'Leave Management'!$B:$B,Detail!K$1)</f>
        <v>0</v>
      </c>
      <c r="L65" s="7">
        <f>SUMIFS('Leave Management'!$L:$L,'Leave Management'!$C:$C,Detail!$A65,'Leave Management'!$B:$B,Detail!L$1)</f>
        <v>0</v>
      </c>
      <c r="M65" s="7">
        <f>SUMIFS('Leave Management'!$L:$L,'Leave Management'!$C:$C,Detail!$A65,'Leave Management'!$B:$B,Detail!M$1)</f>
        <v>0</v>
      </c>
      <c r="N65" s="7">
        <f>SUMIFS('Leave Management'!$L:$L,'Leave Management'!$C:$C,Detail!$A65,'Leave Management'!$B:$B,Detail!N$1)</f>
        <v>0</v>
      </c>
      <c r="O65" s="7">
        <f t="shared" si="2"/>
        <v>12</v>
      </c>
    </row>
    <row r="66" spans="1:15" x14ac:dyDescent="0.25">
      <c r="A66" s="24">
        <v>43164</v>
      </c>
      <c r="B66" s="2" t="str">
        <f t="shared" si="1"/>
        <v>Mon</v>
      </c>
      <c r="C66" s="7">
        <f>SUMIFS('Leave Management'!$L:$L,'Leave Management'!$C:$C,Detail!$A66,'Leave Management'!$B:$B,Detail!C$1)</f>
        <v>0</v>
      </c>
      <c r="D66" s="7">
        <f>SUMIFS('Leave Management'!$L:$L,'Leave Management'!$C:$C,Detail!$A66,'Leave Management'!$B:$B,Detail!D$1)</f>
        <v>1</v>
      </c>
      <c r="E66" s="7">
        <f>SUMIFS('Leave Management'!$L:$L,'Leave Management'!$C:$C,Detail!$A66,'Leave Management'!$B:$B,Detail!E$1)</f>
        <v>0</v>
      </c>
      <c r="F66" s="7">
        <f>SUMIFS('Leave Management'!$L:$L,'Leave Management'!$C:$C,Detail!$A66,'Leave Management'!$B:$B,Detail!F$1)</f>
        <v>0</v>
      </c>
      <c r="G66" s="7">
        <f>SUMIFS('Leave Management'!$L:$L,'Leave Management'!$C:$C,Detail!$A66,'Leave Management'!$B:$B,Detail!G$1)</f>
        <v>0</v>
      </c>
      <c r="H66" s="7">
        <f>SUMIFS('Leave Management'!$L:$L,'Leave Management'!$C:$C,Detail!$A66,'Leave Management'!$B:$B,Detail!H$1)</f>
        <v>0</v>
      </c>
      <c r="I66" s="7">
        <f>SUMIFS('Leave Management'!$L:$L,'Leave Management'!$C:$C,Detail!$A66,'Leave Management'!$B:$B,Detail!I$1)</f>
        <v>0</v>
      </c>
      <c r="J66" s="7">
        <f>SUMIFS('Leave Management'!$L:$L,'Leave Management'!$C:$C,Detail!$A66,'Leave Management'!$B:$B,Detail!J$1)</f>
        <v>0</v>
      </c>
      <c r="K66" s="7">
        <f>SUMIFS('Leave Management'!$L:$L,'Leave Management'!$C:$C,Detail!$A66,'Leave Management'!$B:$B,Detail!K$1)</f>
        <v>0</v>
      </c>
      <c r="L66" s="7">
        <f>SUMIFS('Leave Management'!$L:$L,'Leave Management'!$C:$C,Detail!$A66,'Leave Management'!$B:$B,Detail!L$1)</f>
        <v>0</v>
      </c>
      <c r="M66" s="7">
        <f>SUMIFS('Leave Management'!$L:$L,'Leave Management'!$C:$C,Detail!$A66,'Leave Management'!$B:$B,Detail!M$1)</f>
        <v>0</v>
      </c>
      <c r="N66" s="7">
        <f>SUMIFS('Leave Management'!$L:$L,'Leave Management'!$C:$C,Detail!$A66,'Leave Management'!$B:$B,Detail!N$1)</f>
        <v>0</v>
      </c>
      <c r="O66" s="7">
        <f t="shared" si="2"/>
        <v>11</v>
      </c>
    </row>
    <row r="67" spans="1:15" x14ac:dyDescent="0.25">
      <c r="A67" s="24">
        <v>43165</v>
      </c>
      <c r="B67" s="2" t="str">
        <f t="shared" si="1"/>
        <v>Tue</v>
      </c>
      <c r="C67" s="7">
        <f>SUMIFS('Leave Management'!$L:$L,'Leave Management'!$C:$C,Detail!$A67,'Leave Management'!$B:$B,Detail!C$1)</f>
        <v>0</v>
      </c>
      <c r="D67" s="7">
        <f>SUMIFS('Leave Management'!$L:$L,'Leave Management'!$C:$C,Detail!$A67,'Leave Management'!$B:$B,Detail!D$1)</f>
        <v>0</v>
      </c>
      <c r="E67" s="7">
        <f>SUMIFS('Leave Management'!$L:$L,'Leave Management'!$C:$C,Detail!$A67,'Leave Management'!$B:$B,Detail!E$1)</f>
        <v>0</v>
      </c>
      <c r="F67" s="7">
        <f>SUMIFS('Leave Management'!$L:$L,'Leave Management'!$C:$C,Detail!$A67,'Leave Management'!$B:$B,Detail!F$1)</f>
        <v>0</v>
      </c>
      <c r="G67" s="7">
        <f>SUMIFS('Leave Management'!$L:$L,'Leave Management'!$C:$C,Detail!$A67,'Leave Management'!$B:$B,Detail!G$1)</f>
        <v>0</v>
      </c>
      <c r="H67" s="7">
        <f>SUMIFS('Leave Management'!$L:$L,'Leave Management'!$C:$C,Detail!$A67,'Leave Management'!$B:$B,Detail!H$1)</f>
        <v>0</v>
      </c>
      <c r="I67" s="7">
        <f>SUMIFS('Leave Management'!$L:$L,'Leave Management'!$C:$C,Detail!$A67,'Leave Management'!$B:$B,Detail!I$1)</f>
        <v>0</v>
      </c>
      <c r="J67" s="7">
        <f>SUMIFS('Leave Management'!$L:$L,'Leave Management'!$C:$C,Detail!$A67,'Leave Management'!$B:$B,Detail!J$1)</f>
        <v>0</v>
      </c>
      <c r="K67" s="7">
        <f>SUMIFS('Leave Management'!$L:$L,'Leave Management'!$C:$C,Detail!$A67,'Leave Management'!$B:$B,Detail!K$1)</f>
        <v>0</v>
      </c>
      <c r="L67" s="7">
        <f>SUMIFS('Leave Management'!$L:$L,'Leave Management'!$C:$C,Detail!$A67,'Leave Management'!$B:$B,Detail!L$1)</f>
        <v>0</v>
      </c>
      <c r="M67" s="7">
        <f>SUMIFS('Leave Management'!$L:$L,'Leave Management'!$C:$C,Detail!$A67,'Leave Management'!$B:$B,Detail!M$1)</f>
        <v>0</v>
      </c>
      <c r="N67" s="7">
        <f>SUMIFS('Leave Management'!$L:$L,'Leave Management'!$C:$C,Detail!$A67,'Leave Management'!$B:$B,Detail!N$1)</f>
        <v>0</v>
      </c>
      <c r="O67" s="7">
        <f t="shared" si="2"/>
        <v>12</v>
      </c>
    </row>
    <row r="68" spans="1:15" x14ac:dyDescent="0.25">
      <c r="A68" s="24">
        <v>43166</v>
      </c>
      <c r="B68" s="2" t="str">
        <f t="shared" ref="B68:B131" si="3">CHOOSE(WEEKDAY(A68),"Sun","Mon","Tue","Wed","Thu","Fri","Sat")</f>
        <v>Wed</v>
      </c>
      <c r="C68" s="7">
        <f>SUMIFS('Leave Management'!$L:$L,'Leave Management'!$C:$C,Detail!$A68,'Leave Management'!$B:$B,Detail!C$1)</f>
        <v>0</v>
      </c>
      <c r="D68" s="7">
        <f>SUMIFS('Leave Management'!$L:$L,'Leave Management'!$C:$C,Detail!$A68,'Leave Management'!$B:$B,Detail!D$1)</f>
        <v>0</v>
      </c>
      <c r="E68" s="7">
        <f>SUMIFS('Leave Management'!$L:$L,'Leave Management'!$C:$C,Detail!$A68,'Leave Management'!$B:$B,Detail!E$1)</f>
        <v>1</v>
      </c>
      <c r="F68" s="7">
        <f>SUMIFS('Leave Management'!$L:$L,'Leave Management'!$C:$C,Detail!$A68,'Leave Management'!$B:$B,Detail!F$1)</f>
        <v>0</v>
      </c>
      <c r="G68" s="7">
        <f>SUMIFS('Leave Management'!$L:$L,'Leave Management'!$C:$C,Detail!$A68,'Leave Management'!$B:$B,Detail!G$1)</f>
        <v>0</v>
      </c>
      <c r="H68" s="7">
        <f>SUMIFS('Leave Management'!$L:$L,'Leave Management'!$C:$C,Detail!$A68,'Leave Management'!$B:$B,Detail!H$1)</f>
        <v>0</v>
      </c>
      <c r="I68" s="7">
        <f>SUMIFS('Leave Management'!$L:$L,'Leave Management'!$C:$C,Detail!$A68,'Leave Management'!$B:$B,Detail!I$1)</f>
        <v>0</v>
      </c>
      <c r="J68" s="7">
        <f>SUMIFS('Leave Management'!$L:$L,'Leave Management'!$C:$C,Detail!$A68,'Leave Management'!$B:$B,Detail!J$1)</f>
        <v>0</v>
      </c>
      <c r="K68" s="7">
        <f>SUMIFS('Leave Management'!$L:$L,'Leave Management'!$C:$C,Detail!$A68,'Leave Management'!$B:$B,Detail!K$1)</f>
        <v>0</v>
      </c>
      <c r="L68" s="7">
        <f>SUMIFS('Leave Management'!$L:$L,'Leave Management'!$C:$C,Detail!$A68,'Leave Management'!$B:$B,Detail!L$1)</f>
        <v>0</v>
      </c>
      <c r="M68" s="7">
        <f>SUMIFS('Leave Management'!$L:$L,'Leave Management'!$C:$C,Detail!$A68,'Leave Management'!$B:$B,Detail!M$1)</f>
        <v>0</v>
      </c>
      <c r="N68" s="7">
        <f>SUMIFS('Leave Management'!$L:$L,'Leave Management'!$C:$C,Detail!$A68,'Leave Management'!$B:$B,Detail!N$1)</f>
        <v>0</v>
      </c>
      <c r="O68" s="7">
        <f t="shared" ref="O68:O131" si="4">COUNTA($C$1:$N$1)-SUM($C68:$N68)</f>
        <v>11</v>
      </c>
    </row>
    <row r="69" spans="1:15" x14ac:dyDescent="0.25">
      <c r="A69" s="24">
        <v>43167</v>
      </c>
      <c r="B69" s="2" t="str">
        <f t="shared" si="3"/>
        <v>Thu</v>
      </c>
      <c r="C69" s="7">
        <f>SUMIFS('Leave Management'!$L:$L,'Leave Management'!$C:$C,Detail!$A69,'Leave Management'!$B:$B,Detail!C$1)</f>
        <v>1</v>
      </c>
      <c r="D69" s="7">
        <f>SUMIFS('Leave Management'!$L:$L,'Leave Management'!$C:$C,Detail!$A69,'Leave Management'!$B:$B,Detail!D$1)</f>
        <v>0</v>
      </c>
      <c r="E69" s="7">
        <f>SUMIFS('Leave Management'!$L:$L,'Leave Management'!$C:$C,Detail!$A69,'Leave Management'!$B:$B,Detail!E$1)</f>
        <v>0</v>
      </c>
      <c r="F69" s="7">
        <f>SUMIFS('Leave Management'!$L:$L,'Leave Management'!$C:$C,Detail!$A69,'Leave Management'!$B:$B,Detail!F$1)</f>
        <v>0</v>
      </c>
      <c r="G69" s="7">
        <f>SUMIFS('Leave Management'!$L:$L,'Leave Management'!$C:$C,Detail!$A69,'Leave Management'!$B:$B,Detail!G$1)</f>
        <v>0</v>
      </c>
      <c r="H69" s="7">
        <f>SUMIFS('Leave Management'!$L:$L,'Leave Management'!$C:$C,Detail!$A69,'Leave Management'!$B:$B,Detail!H$1)</f>
        <v>0</v>
      </c>
      <c r="I69" s="7">
        <f>SUMIFS('Leave Management'!$L:$L,'Leave Management'!$C:$C,Detail!$A69,'Leave Management'!$B:$B,Detail!I$1)</f>
        <v>0</v>
      </c>
      <c r="J69" s="7">
        <f>SUMIFS('Leave Management'!$L:$L,'Leave Management'!$C:$C,Detail!$A69,'Leave Management'!$B:$B,Detail!J$1)</f>
        <v>0</v>
      </c>
      <c r="K69" s="7">
        <f>SUMIFS('Leave Management'!$L:$L,'Leave Management'!$C:$C,Detail!$A69,'Leave Management'!$B:$B,Detail!K$1)</f>
        <v>0</v>
      </c>
      <c r="L69" s="7">
        <f>SUMIFS('Leave Management'!$L:$L,'Leave Management'!$C:$C,Detail!$A69,'Leave Management'!$B:$B,Detail!L$1)</f>
        <v>0</v>
      </c>
      <c r="M69" s="7">
        <f>SUMIFS('Leave Management'!$L:$L,'Leave Management'!$C:$C,Detail!$A69,'Leave Management'!$B:$B,Detail!M$1)</f>
        <v>0</v>
      </c>
      <c r="N69" s="7">
        <f>SUMIFS('Leave Management'!$L:$L,'Leave Management'!$C:$C,Detail!$A69,'Leave Management'!$B:$B,Detail!N$1)</f>
        <v>0</v>
      </c>
      <c r="O69" s="7">
        <f t="shared" si="4"/>
        <v>11</v>
      </c>
    </row>
    <row r="70" spans="1:15" x14ac:dyDescent="0.25">
      <c r="A70" s="24">
        <v>43168</v>
      </c>
      <c r="B70" s="2" t="str">
        <f t="shared" si="3"/>
        <v>Fri</v>
      </c>
      <c r="C70" s="7">
        <f>SUMIFS('Leave Management'!$L:$L,'Leave Management'!$C:$C,Detail!$A70,'Leave Management'!$B:$B,Detail!C$1)</f>
        <v>1</v>
      </c>
      <c r="D70" s="7">
        <f>SUMIFS('Leave Management'!$L:$L,'Leave Management'!$C:$C,Detail!$A70,'Leave Management'!$B:$B,Detail!D$1)</f>
        <v>0</v>
      </c>
      <c r="E70" s="7">
        <f>SUMIFS('Leave Management'!$L:$L,'Leave Management'!$C:$C,Detail!$A70,'Leave Management'!$B:$B,Detail!E$1)</f>
        <v>0</v>
      </c>
      <c r="F70" s="7">
        <f>SUMIFS('Leave Management'!$L:$L,'Leave Management'!$C:$C,Detail!$A70,'Leave Management'!$B:$B,Detail!F$1)</f>
        <v>0</v>
      </c>
      <c r="G70" s="7">
        <f>SUMIFS('Leave Management'!$L:$L,'Leave Management'!$C:$C,Detail!$A70,'Leave Management'!$B:$B,Detail!G$1)</f>
        <v>0</v>
      </c>
      <c r="H70" s="7">
        <f>SUMIFS('Leave Management'!$L:$L,'Leave Management'!$C:$C,Detail!$A70,'Leave Management'!$B:$B,Detail!H$1)</f>
        <v>0</v>
      </c>
      <c r="I70" s="7">
        <f>SUMIFS('Leave Management'!$L:$L,'Leave Management'!$C:$C,Detail!$A70,'Leave Management'!$B:$B,Detail!I$1)</f>
        <v>0</v>
      </c>
      <c r="J70" s="7">
        <f>SUMIFS('Leave Management'!$L:$L,'Leave Management'!$C:$C,Detail!$A70,'Leave Management'!$B:$B,Detail!J$1)</f>
        <v>0</v>
      </c>
      <c r="K70" s="7">
        <f>SUMIFS('Leave Management'!$L:$L,'Leave Management'!$C:$C,Detail!$A70,'Leave Management'!$B:$B,Detail!K$1)</f>
        <v>0</v>
      </c>
      <c r="L70" s="7">
        <f>SUMIFS('Leave Management'!$L:$L,'Leave Management'!$C:$C,Detail!$A70,'Leave Management'!$B:$B,Detail!L$1)</f>
        <v>0</v>
      </c>
      <c r="M70" s="7">
        <f>SUMIFS('Leave Management'!$L:$L,'Leave Management'!$C:$C,Detail!$A70,'Leave Management'!$B:$B,Detail!M$1)</f>
        <v>0</v>
      </c>
      <c r="N70" s="7">
        <f>SUMIFS('Leave Management'!$L:$L,'Leave Management'!$C:$C,Detail!$A70,'Leave Management'!$B:$B,Detail!N$1)</f>
        <v>0</v>
      </c>
      <c r="O70" s="7">
        <f t="shared" si="4"/>
        <v>11</v>
      </c>
    </row>
    <row r="71" spans="1:15" x14ac:dyDescent="0.25">
      <c r="A71" s="24">
        <v>43169</v>
      </c>
      <c r="B71" s="2" t="str">
        <f t="shared" si="3"/>
        <v>Sat</v>
      </c>
      <c r="C71" s="7">
        <f>SUMIFS('Leave Management'!$L:$L,'Leave Management'!$C:$C,Detail!$A71,'Leave Management'!$B:$B,Detail!C$1)</f>
        <v>0</v>
      </c>
      <c r="D71" s="7">
        <f>SUMIFS('Leave Management'!$L:$L,'Leave Management'!$C:$C,Detail!$A71,'Leave Management'!$B:$B,Detail!D$1)</f>
        <v>0</v>
      </c>
      <c r="E71" s="7">
        <f>SUMIFS('Leave Management'!$L:$L,'Leave Management'!$C:$C,Detail!$A71,'Leave Management'!$B:$B,Detail!E$1)</f>
        <v>0</v>
      </c>
      <c r="F71" s="7">
        <f>SUMIFS('Leave Management'!$L:$L,'Leave Management'!$C:$C,Detail!$A71,'Leave Management'!$B:$B,Detail!F$1)</f>
        <v>0</v>
      </c>
      <c r="G71" s="7">
        <f>SUMIFS('Leave Management'!$L:$L,'Leave Management'!$C:$C,Detail!$A71,'Leave Management'!$B:$B,Detail!G$1)</f>
        <v>0</v>
      </c>
      <c r="H71" s="7">
        <f>SUMIFS('Leave Management'!$L:$L,'Leave Management'!$C:$C,Detail!$A71,'Leave Management'!$B:$B,Detail!H$1)</f>
        <v>0</v>
      </c>
      <c r="I71" s="7">
        <f>SUMIFS('Leave Management'!$L:$L,'Leave Management'!$C:$C,Detail!$A71,'Leave Management'!$B:$B,Detail!I$1)</f>
        <v>0</v>
      </c>
      <c r="J71" s="7">
        <f>SUMIFS('Leave Management'!$L:$L,'Leave Management'!$C:$C,Detail!$A71,'Leave Management'!$B:$B,Detail!J$1)</f>
        <v>0</v>
      </c>
      <c r="K71" s="7">
        <f>SUMIFS('Leave Management'!$L:$L,'Leave Management'!$C:$C,Detail!$A71,'Leave Management'!$B:$B,Detail!K$1)</f>
        <v>0</v>
      </c>
      <c r="L71" s="7">
        <f>SUMIFS('Leave Management'!$L:$L,'Leave Management'!$C:$C,Detail!$A71,'Leave Management'!$B:$B,Detail!L$1)</f>
        <v>0</v>
      </c>
      <c r="M71" s="7">
        <f>SUMIFS('Leave Management'!$L:$L,'Leave Management'!$C:$C,Detail!$A71,'Leave Management'!$B:$B,Detail!M$1)</f>
        <v>0</v>
      </c>
      <c r="N71" s="7">
        <f>SUMIFS('Leave Management'!$L:$L,'Leave Management'!$C:$C,Detail!$A71,'Leave Management'!$B:$B,Detail!N$1)</f>
        <v>0</v>
      </c>
      <c r="O71" s="7">
        <f t="shared" si="4"/>
        <v>12</v>
      </c>
    </row>
    <row r="72" spans="1:15" x14ac:dyDescent="0.25">
      <c r="A72" s="24">
        <v>43170</v>
      </c>
      <c r="B72" s="2" t="str">
        <f t="shared" si="3"/>
        <v>Sun</v>
      </c>
      <c r="C72" s="7">
        <f>SUMIFS('Leave Management'!$L:$L,'Leave Management'!$C:$C,Detail!$A72,'Leave Management'!$B:$B,Detail!C$1)</f>
        <v>0</v>
      </c>
      <c r="D72" s="7">
        <f>SUMIFS('Leave Management'!$L:$L,'Leave Management'!$C:$C,Detail!$A72,'Leave Management'!$B:$B,Detail!D$1)</f>
        <v>0</v>
      </c>
      <c r="E72" s="7">
        <f>SUMIFS('Leave Management'!$L:$L,'Leave Management'!$C:$C,Detail!$A72,'Leave Management'!$B:$B,Detail!E$1)</f>
        <v>0</v>
      </c>
      <c r="F72" s="7">
        <f>SUMIFS('Leave Management'!$L:$L,'Leave Management'!$C:$C,Detail!$A72,'Leave Management'!$B:$B,Detail!F$1)</f>
        <v>0</v>
      </c>
      <c r="G72" s="7">
        <f>SUMIFS('Leave Management'!$L:$L,'Leave Management'!$C:$C,Detail!$A72,'Leave Management'!$B:$B,Detail!G$1)</f>
        <v>0</v>
      </c>
      <c r="H72" s="7">
        <f>SUMIFS('Leave Management'!$L:$L,'Leave Management'!$C:$C,Detail!$A72,'Leave Management'!$B:$B,Detail!H$1)</f>
        <v>0</v>
      </c>
      <c r="I72" s="7">
        <f>SUMIFS('Leave Management'!$L:$L,'Leave Management'!$C:$C,Detail!$A72,'Leave Management'!$B:$B,Detail!I$1)</f>
        <v>0</v>
      </c>
      <c r="J72" s="7">
        <f>SUMIFS('Leave Management'!$L:$L,'Leave Management'!$C:$C,Detail!$A72,'Leave Management'!$B:$B,Detail!J$1)</f>
        <v>0</v>
      </c>
      <c r="K72" s="7">
        <f>SUMIFS('Leave Management'!$L:$L,'Leave Management'!$C:$C,Detail!$A72,'Leave Management'!$B:$B,Detail!K$1)</f>
        <v>0</v>
      </c>
      <c r="L72" s="7">
        <f>SUMIFS('Leave Management'!$L:$L,'Leave Management'!$C:$C,Detail!$A72,'Leave Management'!$B:$B,Detail!L$1)</f>
        <v>0</v>
      </c>
      <c r="M72" s="7">
        <f>SUMIFS('Leave Management'!$L:$L,'Leave Management'!$C:$C,Detail!$A72,'Leave Management'!$B:$B,Detail!M$1)</f>
        <v>0</v>
      </c>
      <c r="N72" s="7">
        <f>SUMIFS('Leave Management'!$L:$L,'Leave Management'!$C:$C,Detail!$A72,'Leave Management'!$B:$B,Detail!N$1)</f>
        <v>0</v>
      </c>
      <c r="O72" s="7">
        <f t="shared" si="4"/>
        <v>12</v>
      </c>
    </row>
    <row r="73" spans="1:15" x14ac:dyDescent="0.25">
      <c r="A73" s="24">
        <v>43171</v>
      </c>
      <c r="B73" s="2" t="str">
        <f t="shared" si="3"/>
        <v>Mon</v>
      </c>
      <c r="C73" s="7">
        <f>SUMIFS('Leave Management'!$L:$L,'Leave Management'!$C:$C,Detail!$A73,'Leave Management'!$B:$B,Detail!C$1)</f>
        <v>1</v>
      </c>
      <c r="D73" s="7">
        <f>SUMIFS('Leave Management'!$L:$L,'Leave Management'!$C:$C,Detail!$A73,'Leave Management'!$B:$B,Detail!D$1)</f>
        <v>0</v>
      </c>
      <c r="E73" s="7">
        <f>SUMIFS('Leave Management'!$L:$L,'Leave Management'!$C:$C,Detail!$A73,'Leave Management'!$B:$B,Detail!E$1)</f>
        <v>0</v>
      </c>
      <c r="F73" s="7">
        <f>SUMIFS('Leave Management'!$L:$L,'Leave Management'!$C:$C,Detail!$A73,'Leave Management'!$B:$B,Detail!F$1)</f>
        <v>0</v>
      </c>
      <c r="G73" s="7">
        <f>SUMIFS('Leave Management'!$L:$L,'Leave Management'!$C:$C,Detail!$A73,'Leave Management'!$B:$B,Detail!G$1)</f>
        <v>0</v>
      </c>
      <c r="H73" s="7">
        <f>SUMIFS('Leave Management'!$L:$L,'Leave Management'!$C:$C,Detail!$A73,'Leave Management'!$B:$B,Detail!H$1)</f>
        <v>0</v>
      </c>
      <c r="I73" s="7">
        <f>SUMIFS('Leave Management'!$L:$L,'Leave Management'!$C:$C,Detail!$A73,'Leave Management'!$B:$B,Detail!I$1)</f>
        <v>0</v>
      </c>
      <c r="J73" s="7">
        <f>SUMIFS('Leave Management'!$L:$L,'Leave Management'!$C:$C,Detail!$A73,'Leave Management'!$B:$B,Detail!J$1)</f>
        <v>0</v>
      </c>
      <c r="K73" s="7">
        <f>SUMIFS('Leave Management'!$L:$L,'Leave Management'!$C:$C,Detail!$A73,'Leave Management'!$B:$B,Detail!K$1)</f>
        <v>0</v>
      </c>
      <c r="L73" s="7">
        <f>SUMIFS('Leave Management'!$L:$L,'Leave Management'!$C:$C,Detail!$A73,'Leave Management'!$B:$B,Detail!L$1)</f>
        <v>0</v>
      </c>
      <c r="M73" s="7">
        <f>SUMIFS('Leave Management'!$L:$L,'Leave Management'!$C:$C,Detail!$A73,'Leave Management'!$B:$B,Detail!M$1)</f>
        <v>0</v>
      </c>
      <c r="N73" s="7">
        <f>SUMIFS('Leave Management'!$L:$L,'Leave Management'!$C:$C,Detail!$A73,'Leave Management'!$B:$B,Detail!N$1)</f>
        <v>0</v>
      </c>
      <c r="O73" s="7">
        <f t="shared" si="4"/>
        <v>11</v>
      </c>
    </row>
    <row r="74" spans="1:15" x14ac:dyDescent="0.25">
      <c r="A74" s="24">
        <v>43172</v>
      </c>
      <c r="B74" s="2" t="str">
        <f t="shared" si="3"/>
        <v>Tue</v>
      </c>
      <c r="C74" s="7">
        <f>SUMIFS('Leave Management'!$L:$L,'Leave Management'!$C:$C,Detail!$A74,'Leave Management'!$B:$B,Detail!C$1)</f>
        <v>1</v>
      </c>
      <c r="D74" s="7">
        <f>SUMIFS('Leave Management'!$L:$L,'Leave Management'!$C:$C,Detail!$A74,'Leave Management'!$B:$B,Detail!D$1)</f>
        <v>0</v>
      </c>
      <c r="E74" s="7">
        <f>SUMIFS('Leave Management'!$L:$L,'Leave Management'!$C:$C,Detail!$A74,'Leave Management'!$B:$B,Detail!E$1)</f>
        <v>0</v>
      </c>
      <c r="F74" s="7">
        <f>SUMIFS('Leave Management'!$L:$L,'Leave Management'!$C:$C,Detail!$A74,'Leave Management'!$B:$B,Detail!F$1)</f>
        <v>0</v>
      </c>
      <c r="G74" s="7">
        <f>SUMIFS('Leave Management'!$L:$L,'Leave Management'!$C:$C,Detail!$A74,'Leave Management'!$B:$B,Detail!G$1)</f>
        <v>0</v>
      </c>
      <c r="H74" s="7">
        <f>SUMIFS('Leave Management'!$L:$L,'Leave Management'!$C:$C,Detail!$A74,'Leave Management'!$B:$B,Detail!H$1)</f>
        <v>0</v>
      </c>
      <c r="I74" s="7">
        <f>SUMIFS('Leave Management'!$L:$L,'Leave Management'!$C:$C,Detail!$A74,'Leave Management'!$B:$B,Detail!I$1)</f>
        <v>0</v>
      </c>
      <c r="J74" s="7">
        <f>SUMIFS('Leave Management'!$L:$L,'Leave Management'!$C:$C,Detail!$A74,'Leave Management'!$B:$B,Detail!J$1)</f>
        <v>0</v>
      </c>
      <c r="K74" s="7">
        <f>SUMIFS('Leave Management'!$L:$L,'Leave Management'!$C:$C,Detail!$A74,'Leave Management'!$B:$B,Detail!K$1)</f>
        <v>0</v>
      </c>
      <c r="L74" s="7">
        <f>SUMIFS('Leave Management'!$L:$L,'Leave Management'!$C:$C,Detail!$A74,'Leave Management'!$B:$B,Detail!L$1)</f>
        <v>0</v>
      </c>
      <c r="M74" s="7">
        <f>SUMIFS('Leave Management'!$L:$L,'Leave Management'!$C:$C,Detail!$A74,'Leave Management'!$B:$B,Detail!M$1)</f>
        <v>0</v>
      </c>
      <c r="N74" s="7">
        <f>SUMIFS('Leave Management'!$L:$L,'Leave Management'!$C:$C,Detail!$A74,'Leave Management'!$B:$B,Detail!N$1)</f>
        <v>0</v>
      </c>
      <c r="O74" s="7">
        <f t="shared" si="4"/>
        <v>11</v>
      </c>
    </row>
    <row r="75" spans="1:15" x14ac:dyDescent="0.25">
      <c r="A75" s="24">
        <v>43173</v>
      </c>
      <c r="B75" s="2" t="str">
        <f t="shared" si="3"/>
        <v>Wed</v>
      </c>
      <c r="C75" s="7">
        <f>SUMIFS('Leave Management'!$L:$L,'Leave Management'!$C:$C,Detail!$A75,'Leave Management'!$B:$B,Detail!C$1)</f>
        <v>1</v>
      </c>
      <c r="D75" s="7">
        <f>SUMIFS('Leave Management'!$L:$L,'Leave Management'!$C:$C,Detail!$A75,'Leave Management'!$B:$B,Detail!D$1)</f>
        <v>0</v>
      </c>
      <c r="E75" s="7">
        <f>SUMIFS('Leave Management'!$L:$L,'Leave Management'!$C:$C,Detail!$A75,'Leave Management'!$B:$B,Detail!E$1)</f>
        <v>0</v>
      </c>
      <c r="F75" s="7">
        <f>SUMIFS('Leave Management'!$L:$L,'Leave Management'!$C:$C,Detail!$A75,'Leave Management'!$B:$B,Detail!F$1)</f>
        <v>0</v>
      </c>
      <c r="G75" s="7">
        <f>SUMIFS('Leave Management'!$L:$L,'Leave Management'!$C:$C,Detail!$A75,'Leave Management'!$B:$B,Detail!G$1)</f>
        <v>0</v>
      </c>
      <c r="H75" s="7">
        <f>SUMIFS('Leave Management'!$L:$L,'Leave Management'!$C:$C,Detail!$A75,'Leave Management'!$B:$B,Detail!H$1)</f>
        <v>0</v>
      </c>
      <c r="I75" s="7">
        <f>SUMIFS('Leave Management'!$L:$L,'Leave Management'!$C:$C,Detail!$A75,'Leave Management'!$B:$B,Detail!I$1)</f>
        <v>0</v>
      </c>
      <c r="J75" s="7">
        <f>SUMIFS('Leave Management'!$L:$L,'Leave Management'!$C:$C,Detail!$A75,'Leave Management'!$B:$B,Detail!J$1)</f>
        <v>0</v>
      </c>
      <c r="K75" s="7">
        <f>SUMIFS('Leave Management'!$L:$L,'Leave Management'!$C:$C,Detail!$A75,'Leave Management'!$B:$B,Detail!K$1)</f>
        <v>0</v>
      </c>
      <c r="L75" s="7">
        <f>SUMIFS('Leave Management'!$L:$L,'Leave Management'!$C:$C,Detail!$A75,'Leave Management'!$B:$B,Detail!L$1)</f>
        <v>0</v>
      </c>
      <c r="M75" s="7">
        <f>SUMIFS('Leave Management'!$L:$L,'Leave Management'!$C:$C,Detail!$A75,'Leave Management'!$B:$B,Detail!M$1)</f>
        <v>0</v>
      </c>
      <c r="N75" s="7">
        <f>SUMIFS('Leave Management'!$L:$L,'Leave Management'!$C:$C,Detail!$A75,'Leave Management'!$B:$B,Detail!N$1)</f>
        <v>0</v>
      </c>
      <c r="O75" s="7">
        <f t="shared" si="4"/>
        <v>11</v>
      </c>
    </row>
    <row r="76" spans="1:15" x14ac:dyDescent="0.25">
      <c r="A76" s="24">
        <v>43174</v>
      </c>
      <c r="B76" s="2" t="str">
        <f t="shared" si="3"/>
        <v>Thu</v>
      </c>
      <c r="C76" s="7">
        <f>SUMIFS('Leave Management'!$L:$L,'Leave Management'!$C:$C,Detail!$A76,'Leave Management'!$B:$B,Detail!C$1)</f>
        <v>1</v>
      </c>
      <c r="D76" s="7">
        <f>SUMIFS('Leave Management'!$L:$L,'Leave Management'!$C:$C,Detail!$A76,'Leave Management'!$B:$B,Detail!D$1)</f>
        <v>0</v>
      </c>
      <c r="E76" s="7">
        <f>SUMIFS('Leave Management'!$L:$L,'Leave Management'!$C:$C,Detail!$A76,'Leave Management'!$B:$B,Detail!E$1)</f>
        <v>0</v>
      </c>
      <c r="F76" s="7">
        <f>SUMIFS('Leave Management'!$L:$L,'Leave Management'!$C:$C,Detail!$A76,'Leave Management'!$B:$B,Detail!F$1)</f>
        <v>0</v>
      </c>
      <c r="G76" s="7">
        <f>SUMIFS('Leave Management'!$L:$L,'Leave Management'!$C:$C,Detail!$A76,'Leave Management'!$B:$B,Detail!G$1)</f>
        <v>0</v>
      </c>
      <c r="H76" s="7">
        <f>SUMIFS('Leave Management'!$L:$L,'Leave Management'!$C:$C,Detail!$A76,'Leave Management'!$B:$B,Detail!H$1)</f>
        <v>0</v>
      </c>
      <c r="I76" s="7">
        <f>SUMIFS('Leave Management'!$L:$L,'Leave Management'!$C:$C,Detail!$A76,'Leave Management'!$B:$B,Detail!I$1)</f>
        <v>0</v>
      </c>
      <c r="J76" s="7">
        <f>SUMIFS('Leave Management'!$L:$L,'Leave Management'!$C:$C,Detail!$A76,'Leave Management'!$B:$B,Detail!J$1)</f>
        <v>0</v>
      </c>
      <c r="K76" s="7">
        <f>SUMIFS('Leave Management'!$L:$L,'Leave Management'!$C:$C,Detail!$A76,'Leave Management'!$B:$B,Detail!K$1)</f>
        <v>0</v>
      </c>
      <c r="L76" s="7">
        <f>SUMIFS('Leave Management'!$L:$L,'Leave Management'!$C:$C,Detail!$A76,'Leave Management'!$B:$B,Detail!L$1)</f>
        <v>0</v>
      </c>
      <c r="M76" s="7">
        <f>SUMIFS('Leave Management'!$L:$L,'Leave Management'!$C:$C,Detail!$A76,'Leave Management'!$B:$B,Detail!M$1)</f>
        <v>0</v>
      </c>
      <c r="N76" s="7">
        <f>SUMIFS('Leave Management'!$L:$L,'Leave Management'!$C:$C,Detail!$A76,'Leave Management'!$B:$B,Detail!N$1)</f>
        <v>0</v>
      </c>
      <c r="O76" s="7">
        <f t="shared" si="4"/>
        <v>11</v>
      </c>
    </row>
    <row r="77" spans="1:15" x14ac:dyDescent="0.25">
      <c r="A77" s="24">
        <v>43175</v>
      </c>
      <c r="B77" s="2" t="str">
        <f t="shared" si="3"/>
        <v>Fri</v>
      </c>
      <c r="C77" s="7">
        <f>SUMIFS('Leave Management'!$L:$L,'Leave Management'!$C:$C,Detail!$A77,'Leave Management'!$B:$B,Detail!C$1)</f>
        <v>0</v>
      </c>
      <c r="D77" s="7">
        <f>SUMIFS('Leave Management'!$L:$L,'Leave Management'!$C:$C,Detail!$A77,'Leave Management'!$B:$B,Detail!D$1)</f>
        <v>0</v>
      </c>
      <c r="E77" s="7">
        <f>SUMIFS('Leave Management'!$L:$L,'Leave Management'!$C:$C,Detail!$A77,'Leave Management'!$B:$B,Detail!E$1)</f>
        <v>0</v>
      </c>
      <c r="F77" s="7">
        <f>SUMIFS('Leave Management'!$L:$L,'Leave Management'!$C:$C,Detail!$A77,'Leave Management'!$B:$B,Detail!F$1)</f>
        <v>0</v>
      </c>
      <c r="G77" s="7">
        <f>SUMIFS('Leave Management'!$L:$L,'Leave Management'!$C:$C,Detail!$A77,'Leave Management'!$B:$B,Detail!G$1)</f>
        <v>0</v>
      </c>
      <c r="H77" s="7">
        <f>SUMIFS('Leave Management'!$L:$L,'Leave Management'!$C:$C,Detail!$A77,'Leave Management'!$B:$B,Detail!H$1)</f>
        <v>0</v>
      </c>
      <c r="I77" s="7">
        <f>SUMIFS('Leave Management'!$L:$L,'Leave Management'!$C:$C,Detail!$A77,'Leave Management'!$B:$B,Detail!I$1)</f>
        <v>0</v>
      </c>
      <c r="J77" s="7">
        <f>SUMIFS('Leave Management'!$L:$L,'Leave Management'!$C:$C,Detail!$A77,'Leave Management'!$B:$B,Detail!J$1)</f>
        <v>0</v>
      </c>
      <c r="K77" s="7">
        <f>SUMIFS('Leave Management'!$L:$L,'Leave Management'!$C:$C,Detail!$A77,'Leave Management'!$B:$B,Detail!K$1)</f>
        <v>0</v>
      </c>
      <c r="L77" s="7">
        <f>SUMIFS('Leave Management'!$L:$L,'Leave Management'!$C:$C,Detail!$A77,'Leave Management'!$B:$B,Detail!L$1)</f>
        <v>0</v>
      </c>
      <c r="M77" s="7">
        <f>SUMIFS('Leave Management'!$L:$L,'Leave Management'!$C:$C,Detail!$A77,'Leave Management'!$B:$B,Detail!M$1)</f>
        <v>0</v>
      </c>
      <c r="N77" s="7">
        <f>SUMIFS('Leave Management'!$L:$L,'Leave Management'!$C:$C,Detail!$A77,'Leave Management'!$B:$B,Detail!N$1)</f>
        <v>0</v>
      </c>
      <c r="O77" s="7">
        <f t="shared" si="4"/>
        <v>12</v>
      </c>
    </row>
    <row r="78" spans="1:15" x14ac:dyDescent="0.25">
      <c r="A78" s="24">
        <v>43176</v>
      </c>
      <c r="B78" s="2" t="str">
        <f t="shared" si="3"/>
        <v>Sat</v>
      </c>
      <c r="C78" s="7">
        <f>SUMIFS('Leave Management'!$L:$L,'Leave Management'!$C:$C,Detail!$A78,'Leave Management'!$B:$B,Detail!C$1)</f>
        <v>0</v>
      </c>
      <c r="D78" s="7">
        <f>SUMIFS('Leave Management'!$L:$L,'Leave Management'!$C:$C,Detail!$A78,'Leave Management'!$B:$B,Detail!D$1)</f>
        <v>0</v>
      </c>
      <c r="E78" s="7">
        <f>SUMIFS('Leave Management'!$L:$L,'Leave Management'!$C:$C,Detail!$A78,'Leave Management'!$B:$B,Detail!E$1)</f>
        <v>0</v>
      </c>
      <c r="F78" s="7">
        <f>SUMIFS('Leave Management'!$L:$L,'Leave Management'!$C:$C,Detail!$A78,'Leave Management'!$B:$B,Detail!F$1)</f>
        <v>0</v>
      </c>
      <c r="G78" s="7">
        <f>SUMIFS('Leave Management'!$L:$L,'Leave Management'!$C:$C,Detail!$A78,'Leave Management'!$B:$B,Detail!G$1)</f>
        <v>0</v>
      </c>
      <c r="H78" s="7">
        <f>SUMIFS('Leave Management'!$L:$L,'Leave Management'!$C:$C,Detail!$A78,'Leave Management'!$B:$B,Detail!H$1)</f>
        <v>0</v>
      </c>
      <c r="I78" s="7">
        <f>SUMIFS('Leave Management'!$L:$L,'Leave Management'!$C:$C,Detail!$A78,'Leave Management'!$B:$B,Detail!I$1)</f>
        <v>0</v>
      </c>
      <c r="J78" s="7">
        <f>SUMIFS('Leave Management'!$L:$L,'Leave Management'!$C:$C,Detail!$A78,'Leave Management'!$B:$B,Detail!J$1)</f>
        <v>0</v>
      </c>
      <c r="K78" s="7">
        <f>SUMIFS('Leave Management'!$L:$L,'Leave Management'!$C:$C,Detail!$A78,'Leave Management'!$B:$B,Detail!K$1)</f>
        <v>0</v>
      </c>
      <c r="L78" s="7">
        <f>SUMIFS('Leave Management'!$L:$L,'Leave Management'!$C:$C,Detail!$A78,'Leave Management'!$B:$B,Detail!L$1)</f>
        <v>0</v>
      </c>
      <c r="M78" s="7">
        <f>SUMIFS('Leave Management'!$L:$L,'Leave Management'!$C:$C,Detail!$A78,'Leave Management'!$B:$B,Detail!M$1)</f>
        <v>0</v>
      </c>
      <c r="N78" s="7">
        <f>SUMIFS('Leave Management'!$L:$L,'Leave Management'!$C:$C,Detail!$A78,'Leave Management'!$B:$B,Detail!N$1)</f>
        <v>0</v>
      </c>
      <c r="O78" s="7">
        <f t="shared" si="4"/>
        <v>12</v>
      </c>
    </row>
    <row r="79" spans="1:15" x14ac:dyDescent="0.25">
      <c r="A79" s="24">
        <v>43177</v>
      </c>
      <c r="B79" s="2" t="str">
        <f t="shared" si="3"/>
        <v>Sun</v>
      </c>
      <c r="C79" s="7">
        <f>SUMIFS('Leave Management'!$L:$L,'Leave Management'!$C:$C,Detail!$A79,'Leave Management'!$B:$B,Detail!C$1)</f>
        <v>0</v>
      </c>
      <c r="D79" s="7">
        <f>SUMIFS('Leave Management'!$L:$L,'Leave Management'!$C:$C,Detail!$A79,'Leave Management'!$B:$B,Detail!D$1)</f>
        <v>0</v>
      </c>
      <c r="E79" s="7">
        <f>SUMIFS('Leave Management'!$L:$L,'Leave Management'!$C:$C,Detail!$A79,'Leave Management'!$B:$B,Detail!E$1)</f>
        <v>0</v>
      </c>
      <c r="F79" s="7">
        <f>SUMIFS('Leave Management'!$L:$L,'Leave Management'!$C:$C,Detail!$A79,'Leave Management'!$B:$B,Detail!F$1)</f>
        <v>0</v>
      </c>
      <c r="G79" s="7">
        <f>SUMIFS('Leave Management'!$L:$L,'Leave Management'!$C:$C,Detail!$A79,'Leave Management'!$B:$B,Detail!G$1)</f>
        <v>0</v>
      </c>
      <c r="H79" s="7">
        <f>SUMIFS('Leave Management'!$L:$L,'Leave Management'!$C:$C,Detail!$A79,'Leave Management'!$B:$B,Detail!H$1)</f>
        <v>0</v>
      </c>
      <c r="I79" s="7">
        <f>SUMIFS('Leave Management'!$L:$L,'Leave Management'!$C:$C,Detail!$A79,'Leave Management'!$B:$B,Detail!I$1)</f>
        <v>0</v>
      </c>
      <c r="J79" s="7">
        <f>SUMIFS('Leave Management'!$L:$L,'Leave Management'!$C:$C,Detail!$A79,'Leave Management'!$B:$B,Detail!J$1)</f>
        <v>0</v>
      </c>
      <c r="K79" s="7">
        <f>SUMIFS('Leave Management'!$L:$L,'Leave Management'!$C:$C,Detail!$A79,'Leave Management'!$B:$B,Detail!K$1)</f>
        <v>0</v>
      </c>
      <c r="L79" s="7">
        <f>SUMIFS('Leave Management'!$L:$L,'Leave Management'!$C:$C,Detail!$A79,'Leave Management'!$B:$B,Detail!L$1)</f>
        <v>0</v>
      </c>
      <c r="M79" s="7">
        <f>SUMIFS('Leave Management'!$L:$L,'Leave Management'!$C:$C,Detail!$A79,'Leave Management'!$B:$B,Detail!M$1)</f>
        <v>0</v>
      </c>
      <c r="N79" s="7">
        <f>SUMIFS('Leave Management'!$L:$L,'Leave Management'!$C:$C,Detail!$A79,'Leave Management'!$B:$B,Detail!N$1)</f>
        <v>0</v>
      </c>
      <c r="O79" s="7">
        <f t="shared" si="4"/>
        <v>12</v>
      </c>
    </row>
    <row r="80" spans="1:15" x14ac:dyDescent="0.25">
      <c r="A80" s="24">
        <v>43178</v>
      </c>
      <c r="B80" s="2" t="str">
        <f t="shared" si="3"/>
        <v>Mon</v>
      </c>
      <c r="C80" s="7">
        <f>SUMIFS('Leave Management'!$L:$L,'Leave Management'!$C:$C,Detail!$A80,'Leave Management'!$B:$B,Detail!C$1)</f>
        <v>0</v>
      </c>
      <c r="D80" s="7">
        <f>SUMIFS('Leave Management'!$L:$L,'Leave Management'!$C:$C,Detail!$A80,'Leave Management'!$B:$B,Detail!D$1)</f>
        <v>0</v>
      </c>
      <c r="E80" s="7">
        <f>SUMIFS('Leave Management'!$L:$L,'Leave Management'!$C:$C,Detail!$A80,'Leave Management'!$B:$B,Detail!E$1)</f>
        <v>0</v>
      </c>
      <c r="F80" s="7">
        <f>SUMIFS('Leave Management'!$L:$L,'Leave Management'!$C:$C,Detail!$A80,'Leave Management'!$B:$B,Detail!F$1)</f>
        <v>0</v>
      </c>
      <c r="G80" s="7">
        <f>SUMIFS('Leave Management'!$L:$L,'Leave Management'!$C:$C,Detail!$A80,'Leave Management'!$B:$B,Detail!G$1)</f>
        <v>0</v>
      </c>
      <c r="H80" s="7">
        <f>SUMIFS('Leave Management'!$L:$L,'Leave Management'!$C:$C,Detail!$A80,'Leave Management'!$B:$B,Detail!H$1)</f>
        <v>0</v>
      </c>
      <c r="I80" s="7">
        <f>SUMIFS('Leave Management'!$L:$L,'Leave Management'!$C:$C,Detail!$A80,'Leave Management'!$B:$B,Detail!I$1)</f>
        <v>0</v>
      </c>
      <c r="J80" s="7">
        <f>SUMIFS('Leave Management'!$L:$L,'Leave Management'!$C:$C,Detail!$A80,'Leave Management'!$B:$B,Detail!J$1)</f>
        <v>0</v>
      </c>
      <c r="K80" s="7">
        <f>SUMIFS('Leave Management'!$L:$L,'Leave Management'!$C:$C,Detail!$A80,'Leave Management'!$B:$B,Detail!K$1)</f>
        <v>0</v>
      </c>
      <c r="L80" s="7">
        <f>SUMIFS('Leave Management'!$L:$L,'Leave Management'!$C:$C,Detail!$A80,'Leave Management'!$B:$B,Detail!L$1)</f>
        <v>0</v>
      </c>
      <c r="M80" s="7">
        <f>SUMIFS('Leave Management'!$L:$L,'Leave Management'!$C:$C,Detail!$A80,'Leave Management'!$B:$B,Detail!M$1)</f>
        <v>0</v>
      </c>
      <c r="N80" s="7">
        <f>SUMIFS('Leave Management'!$L:$L,'Leave Management'!$C:$C,Detail!$A80,'Leave Management'!$B:$B,Detail!N$1)</f>
        <v>0</v>
      </c>
      <c r="O80" s="7">
        <f t="shared" si="4"/>
        <v>12</v>
      </c>
    </row>
    <row r="81" spans="1:15" x14ac:dyDescent="0.25">
      <c r="A81" s="24">
        <v>43179</v>
      </c>
      <c r="B81" s="2" t="str">
        <f t="shared" si="3"/>
        <v>Tue</v>
      </c>
      <c r="C81" s="7">
        <f>SUMIFS('Leave Management'!$L:$L,'Leave Management'!$C:$C,Detail!$A81,'Leave Management'!$B:$B,Detail!C$1)</f>
        <v>0</v>
      </c>
      <c r="D81" s="7">
        <f>SUMIFS('Leave Management'!$L:$L,'Leave Management'!$C:$C,Detail!$A81,'Leave Management'!$B:$B,Detail!D$1)</f>
        <v>0</v>
      </c>
      <c r="E81" s="7">
        <f>SUMIFS('Leave Management'!$L:$L,'Leave Management'!$C:$C,Detail!$A81,'Leave Management'!$B:$B,Detail!E$1)</f>
        <v>0</v>
      </c>
      <c r="F81" s="7">
        <f>SUMIFS('Leave Management'!$L:$L,'Leave Management'!$C:$C,Detail!$A81,'Leave Management'!$B:$B,Detail!F$1)</f>
        <v>0</v>
      </c>
      <c r="G81" s="7">
        <f>SUMIFS('Leave Management'!$L:$L,'Leave Management'!$C:$C,Detail!$A81,'Leave Management'!$B:$B,Detail!G$1)</f>
        <v>0</v>
      </c>
      <c r="H81" s="7">
        <f>SUMIFS('Leave Management'!$L:$L,'Leave Management'!$C:$C,Detail!$A81,'Leave Management'!$B:$B,Detail!H$1)</f>
        <v>0</v>
      </c>
      <c r="I81" s="7">
        <f>SUMIFS('Leave Management'!$L:$L,'Leave Management'!$C:$C,Detail!$A81,'Leave Management'!$B:$B,Detail!I$1)</f>
        <v>0</v>
      </c>
      <c r="J81" s="7">
        <f>SUMIFS('Leave Management'!$L:$L,'Leave Management'!$C:$C,Detail!$A81,'Leave Management'!$B:$B,Detail!J$1)</f>
        <v>0</v>
      </c>
      <c r="K81" s="7">
        <f>SUMIFS('Leave Management'!$L:$L,'Leave Management'!$C:$C,Detail!$A81,'Leave Management'!$B:$B,Detail!K$1)</f>
        <v>0</v>
      </c>
      <c r="L81" s="7">
        <f>SUMIFS('Leave Management'!$L:$L,'Leave Management'!$C:$C,Detail!$A81,'Leave Management'!$B:$B,Detail!L$1)</f>
        <v>0</v>
      </c>
      <c r="M81" s="7">
        <f>SUMIFS('Leave Management'!$L:$L,'Leave Management'!$C:$C,Detail!$A81,'Leave Management'!$B:$B,Detail!M$1)</f>
        <v>0</v>
      </c>
      <c r="N81" s="7">
        <f>SUMIFS('Leave Management'!$L:$L,'Leave Management'!$C:$C,Detail!$A81,'Leave Management'!$B:$B,Detail!N$1)</f>
        <v>0</v>
      </c>
      <c r="O81" s="7">
        <f t="shared" si="4"/>
        <v>12</v>
      </c>
    </row>
    <row r="82" spans="1:15" x14ac:dyDescent="0.25">
      <c r="A82" s="24">
        <v>43180</v>
      </c>
      <c r="B82" s="2" t="str">
        <f t="shared" si="3"/>
        <v>Wed</v>
      </c>
      <c r="C82" s="7">
        <f>SUMIFS('Leave Management'!$L:$L,'Leave Management'!$C:$C,Detail!$A82,'Leave Management'!$B:$B,Detail!C$1)</f>
        <v>0</v>
      </c>
      <c r="D82" s="7">
        <f>SUMIFS('Leave Management'!$L:$L,'Leave Management'!$C:$C,Detail!$A82,'Leave Management'!$B:$B,Detail!D$1)</f>
        <v>0</v>
      </c>
      <c r="E82" s="7">
        <f>SUMIFS('Leave Management'!$L:$L,'Leave Management'!$C:$C,Detail!$A82,'Leave Management'!$B:$B,Detail!E$1)</f>
        <v>0</v>
      </c>
      <c r="F82" s="7">
        <f>SUMIFS('Leave Management'!$L:$L,'Leave Management'!$C:$C,Detail!$A82,'Leave Management'!$B:$B,Detail!F$1)</f>
        <v>0</v>
      </c>
      <c r="G82" s="7">
        <f>SUMIFS('Leave Management'!$L:$L,'Leave Management'!$C:$C,Detail!$A82,'Leave Management'!$B:$B,Detail!G$1)</f>
        <v>0</v>
      </c>
      <c r="H82" s="7">
        <f>SUMIFS('Leave Management'!$L:$L,'Leave Management'!$C:$C,Detail!$A82,'Leave Management'!$B:$B,Detail!H$1)</f>
        <v>0</v>
      </c>
      <c r="I82" s="7">
        <f>SUMIFS('Leave Management'!$L:$L,'Leave Management'!$C:$C,Detail!$A82,'Leave Management'!$B:$B,Detail!I$1)</f>
        <v>0</v>
      </c>
      <c r="J82" s="7">
        <f>SUMIFS('Leave Management'!$L:$L,'Leave Management'!$C:$C,Detail!$A82,'Leave Management'!$B:$B,Detail!J$1)</f>
        <v>0</v>
      </c>
      <c r="K82" s="7">
        <f>SUMIFS('Leave Management'!$L:$L,'Leave Management'!$C:$C,Detail!$A82,'Leave Management'!$B:$B,Detail!K$1)</f>
        <v>0</v>
      </c>
      <c r="L82" s="7">
        <f>SUMIFS('Leave Management'!$L:$L,'Leave Management'!$C:$C,Detail!$A82,'Leave Management'!$B:$B,Detail!L$1)</f>
        <v>0</v>
      </c>
      <c r="M82" s="7">
        <f>SUMIFS('Leave Management'!$L:$L,'Leave Management'!$C:$C,Detail!$A82,'Leave Management'!$B:$B,Detail!M$1)</f>
        <v>0</v>
      </c>
      <c r="N82" s="7">
        <f>SUMIFS('Leave Management'!$L:$L,'Leave Management'!$C:$C,Detail!$A82,'Leave Management'!$B:$B,Detail!N$1)</f>
        <v>0</v>
      </c>
      <c r="O82" s="7">
        <f t="shared" si="4"/>
        <v>12</v>
      </c>
    </row>
    <row r="83" spans="1:15" x14ac:dyDescent="0.25">
      <c r="A83" s="24">
        <v>43181</v>
      </c>
      <c r="B83" s="2" t="str">
        <f t="shared" si="3"/>
        <v>Thu</v>
      </c>
      <c r="C83" s="7">
        <f>SUMIFS('Leave Management'!$L:$L,'Leave Management'!$C:$C,Detail!$A83,'Leave Management'!$B:$B,Detail!C$1)</f>
        <v>0</v>
      </c>
      <c r="D83" s="7">
        <f>SUMIFS('Leave Management'!$L:$L,'Leave Management'!$C:$C,Detail!$A83,'Leave Management'!$B:$B,Detail!D$1)</f>
        <v>0</v>
      </c>
      <c r="E83" s="7">
        <f>SUMIFS('Leave Management'!$L:$L,'Leave Management'!$C:$C,Detail!$A83,'Leave Management'!$B:$B,Detail!E$1)</f>
        <v>0</v>
      </c>
      <c r="F83" s="7">
        <f>SUMIFS('Leave Management'!$L:$L,'Leave Management'!$C:$C,Detail!$A83,'Leave Management'!$B:$B,Detail!F$1)</f>
        <v>0</v>
      </c>
      <c r="G83" s="7">
        <f>SUMIFS('Leave Management'!$L:$L,'Leave Management'!$C:$C,Detail!$A83,'Leave Management'!$B:$B,Detail!G$1)</f>
        <v>0</v>
      </c>
      <c r="H83" s="7">
        <f>SUMIFS('Leave Management'!$L:$L,'Leave Management'!$C:$C,Detail!$A83,'Leave Management'!$B:$B,Detail!H$1)</f>
        <v>0</v>
      </c>
      <c r="I83" s="7">
        <f>SUMIFS('Leave Management'!$L:$L,'Leave Management'!$C:$C,Detail!$A83,'Leave Management'!$B:$B,Detail!I$1)</f>
        <v>0</v>
      </c>
      <c r="J83" s="7">
        <f>SUMIFS('Leave Management'!$L:$L,'Leave Management'!$C:$C,Detail!$A83,'Leave Management'!$B:$B,Detail!J$1)</f>
        <v>0</v>
      </c>
      <c r="K83" s="7">
        <f>SUMIFS('Leave Management'!$L:$L,'Leave Management'!$C:$C,Detail!$A83,'Leave Management'!$B:$B,Detail!K$1)</f>
        <v>0</v>
      </c>
      <c r="L83" s="7">
        <f>SUMIFS('Leave Management'!$L:$L,'Leave Management'!$C:$C,Detail!$A83,'Leave Management'!$B:$B,Detail!L$1)</f>
        <v>0</v>
      </c>
      <c r="M83" s="7">
        <f>SUMIFS('Leave Management'!$L:$L,'Leave Management'!$C:$C,Detail!$A83,'Leave Management'!$B:$B,Detail!M$1)</f>
        <v>0</v>
      </c>
      <c r="N83" s="7">
        <f>SUMIFS('Leave Management'!$L:$L,'Leave Management'!$C:$C,Detail!$A83,'Leave Management'!$B:$B,Detail!N$1)</f>
        <v>0</v>
      </c>
      <c r="O83" s="7">
        <f t="shared" si="4"/>
        <v>12</v>
      </c>
    </row>
    <row r="84" spans="1:15" x14ac:dyDescent="0.25">
      <c r="A84" s="24">
        <v>43182</v>
      </c>
      <c r="B84" s="2" t="str">
        <f t="shared" si="3"/>
        <v>Fri</v>
      </c>
      <c r="C84" s="7">
        <f>SUMIFS('Leave Management'!$L:$L,'Leave Management'!$C:$C,Detail!$A84,'Leave Management'!$B:$B,Detail!C$1)</f>
        <v>0</v>
      </c>
      <c r="D84" s="7">
        <f>SUMIFS('Leave Management'!$L:$L,'Leave Management'!$C:$C,Detail!$A84,'Leave Management'!$B:$B,Detail!D$1)</f>
        <v>0</v>
      </c>
      <c r="E84" s="7">
        <f>SUMIFS('Leave Management'!$L:$L,'Leave Management'!$C:$C,Detail!$A84,'Leave Management'!$B:$B,Detail!E$1)</f>
        <v>0</v>
      </c>
      <c r="F84" s="7">
        <f>SUMIFS('Leave Management'!$L:$L,'Leave Management'!$C:$C,Detail!$A84,'Leave Management'!$B:$B,Detail!F$1)</f>
        <v>0</v>
      </c>
      <c r="G84" s="7">
        <f>SUMIFS('Leave Management'!$L:$L,'Leave Management'!$C:$C,Detail!$A84,'Leave Management'!$B:$B,Detail!G$1)</f>
        <v>0</v>
      </c>
      <c r="H84" s="7">
        <f>SUMIFS('Leave Management'!$L:$L,'Leave Management'!$C:$C,Detail!$A84,'Leave Management'!$B:$B,Detail!H$1)</f>
        <v>0</v>
      </c>
      <c r="I84" s="7">
        <f>SUMIFS('Leave Management'!$L:$L,'Leave Management'!$C:$C,Detail!$A84,'Leave Management'!$B:$B,Detail!I$1)</f>
        <v>0</v>
      </c>
      <c r="J84" s="7">
        <f>SUMIFS('Leave Management'!$L:$L,'Leave Management'!$C:$C,Detail!$A84,'Leave Management'!$B:$B,Detail!J$1)</f>
        <v>0</v>
      </c>
      <c r="K84" s="7">
        <f>SUMIFS('Leave Management'!$L:$L,'Leave Management'!$C:$C,Detail!$A84,'Leave Management'!$B:$B,Detail!K$1)</f>
        <v>0</v>
      </c>
      <c r="L84" s="7">
        <f>SUMIFS('Leave Management'!$L:$L,'Leave Management'!$C:$C,Detail!$A84,'Leave Management'!$B:$B,Detail!L$1)</f>
        <v>0</v>
      </c>
      <c r="M84" s="7">
        <f>SUMIFS('Leave Management'!$L:$L,'Leave Management'!$C:$C,Detail!$A84,'Leave Management'!$B:$B,Detail!M$1)</f>
        <v>0</v>
      </c>
      <c r="N84" s="7">
        <f>SUMIFS('Leave Management'!$L:$L,'Leave Management'!$C:$C,Detail!$A84,'Leave Management'!$B:$B,Detail!N$1)</f>
        <v>0</v>
      </c>
      <c r="O84" s="7">
        <f t="shared" si="4"/>
        <v>12</v>
      </c>
    </row>
    <row r="85" spans="1:15" x14ac:dyDescent="0.25">
      <c r="A85" s="24">
        <v>43183</v>
      </c>
      <c r="B85" s="2" t="str">
        <f t="shared" si="3"/>
        <v>Sat</v>
      </c>
      <c r="C85" s="7">
        <f>SUMIFS('Leave Management'!$L:$L,'Leave Management'!$C:$C,Detail!$A85,'Leave Management'!$B:$B,Detail!C$1)</f>
        <v>0</v>
      </c>
      <c r="D85" s="7">
        <f>SUMIFS('Leave Management'!$L:$L,'Leave Management'!$C:$C,Detail!$A85,'Leave Management'!$B:$B,Detail!D$1)</f>
        <v>0</v>
      </c>
      <c r="E85" s="7">
        <f>SUMIFS('Leave Management'!$L:$L,'Leave Management'!$C:$C,Detail!$A85,'Leave Management'!$B:$B,Detail!E$1)</f>
        <v>0</v>
      </c>
      <c r="F85" s="7">
        <f>SUMIFS('Leave Management'!$L:$L,'Leave Management'!$C:$C,Detail!$A85,'Leave Management'!$B:$B,Detail!F$1)</f>
        <v>0</v>
      </c>
      <c r="G85" s="7">
        <f>SUMIFS('Leave Management'!$L:$L,'Leave Management'!$C:$C,Detail!$A85,'Leave Management'!$B:$B,Detail!G$1)</f>
        <v>0</v>
      </c>
      <c r="H85" s="7">
        <f>SUMIFS('Leave Management'!$L:$L,'Leave Management'!$C:$C,Detail!$A85,'Leave Management'!$B:$B,Detail!H$1)</f>
        <v>0</v>
      </c>
      <c r="I85" s="7">
        <f>SUMIFS('Leave Management'!$L:$L,'Leave Management'!$C:$C,Detail!$A85,'Leave Management'!$B:$B,Detail!I$1)</f>
        <v>0</v>
      </c>
      <c r="J85" s="7">
        <f>SUMIFS('Leave Management'!$L:$L,'Leave Management'!$C:$C,Detail!$A85,'Leave Management'!$B:$B,Detail!J$1)</f>
        <v>0</v>
      </c>
      <c r="K85" s="7">
        <f>SUMIFS('Leave Management'!$L:$L,'Leave Management'!$C:$C,Detail!$A85,'Leave Management'!$B:$B,Detail!K$1)</f>
        <v>0</v>
      </c>
      <c r="L85" s="7">
        <f>SUMIFS('Leave Management'!$L:$L,'Leave Management'!$C:$C,Detail!$A85,'Leave Management'!$B:$B,Detail!L$1)</f>
        <v>0</v>
      </c>
      <c r="M85" s="7">
        <f>SUMIFS('Leave Management'!$L:$L,'Leave Management'!$C:$C,Detail!$A85,'Leave Management'!$B:$B,Detail!M$1)</f>
        <v>0</v>
      </c>
      <c r="N85" s="7">
        <f>SUMIFS('Leave Management'!$L:$L,'Leave Management'!$C:$C,Detail!$A85,'Leave Management'!$B:$B,Detail!N$1)</f>
        <v>0</v>
      </c>
      <c r="O85" s="7">
        <f t="shared" si="4"/>
        <v>12</v>
      </c>
    </row>
    <row r="86" spans="1:15" x14ac:dyDescent="0.25">
      <c r="A86" s="24">
        <v>43184</v>
      </c>
      <c r="B86" s="2" t="str">
        <f t="shared" si="3"/>
        <v>Sun</v>
      </c>
      <c r="C86" s="7">
        <f>SUMIFS('Leave Management'!$L:$L,'Leave Management'!$C:$C,Detail!$A86,'Leave Management'!$B:$B,Detail!C$1)</f>
        <v>0</v>
      </c>
      <c r="D86" s="7">
        <f>SUMIFS('Leave Management'!$L:$L,'Leave Management'!$C:$C,Detail!$A86,'Leave Management'!$B:$B,Detail!D$1)</f>
        <v>0</v>
      </c>
      <c r="E86" s="7">
        <f>SUMIFS('Leave Management'!$L:$L,'Leave Management'!$C:$C,Detail!$A86,'Leave Management'!$B:$B,Detail!E$1)</f>
        <v>0</v>
      </c>
      <c r="F86" s="7">
        <f>SUMIFS('Leave Management'!$L:$L,'Leave Management'!$C:$C,Detail!$A86,'Leave Management'!$B:$B,Detail!F$1)</f>
        <v>0</v>
      </c>
      <c r="G86" s="7">
        <f>SUMIFS('Leave Management'!$L:$L,'Leave Management'!$C:$C,Detail!$A86,'Leave Management'!$B:$B,Detail!G$1)</f>
        <v>0</v>
      </c>
      <c r="H86" s="7">
        <f>SUMIFS('Leave Management'!$L:$L,'Leave Management'!$C:$C,Detail!$A86,'Leave Management'!$B:$B,Detail!H$1)</f>
        <v>0</v>
      </c>
      <c r="I86" s="7">
        <f>SUMIFS('Leave Management'!$L:$L,'Leave Management'!$C:$C,Detail!$A86,'Leave Management'!$B:$B,Detail!I$1)</f>
        <v>0</v>
      </c>
      <c r="J86" s="7">
        <f>SUMIFS('Leave Management'!$L:$L,'Leave Management'!$C:$C,Detail!$A86,'Leave Management'!$B:$B,Detail!J$1)</f>
        <v>0</v>
      </c>
      <c r="K86" s="7">
        <f>SUMIFS('Leave Management'!$L:$L,'Leave Management'!$C:$C,Detail!$A86,'Leave Management'!$B:$B,Detail!K$1)</f>
        <v>0</v>
      </c>
      <c r="L86" s="7">
        <f>SUMIFS('Leave Management'!$L:$L,'Leave Management'!$C:$C,Detail!$A86,'Leave Management'!$B:$B,Detail!L$1)</f>
        <v>0</v>
      </c>
      <c r="M86" s="7">
        <f>SUMIFS('Leave Management'!$L:$L,'Leave Management'!$C:$C,Detail!$A86,'Leave Management'!$B:$B,Detail!M$1)</f>
        <v>0</v>
      </c>
      <c r="N86" s="7">
        <f>SUMIFS('Leave Management'!$L:$L,'Leave Management'!$C:$C,Detail!$A86,'Leave Management'!$B:$B,Detail!N$1)</f>
        <v>0</v>
      </c>
      <c r="O86" s="7">
        <f t="shared" si="4"/>
        <v>12</v>
      </c>
    </row>
    <row r="87" spans="1:15" x14ac:dyDescent="0.25">
      <c r="A87" s="24">
        <v>43185</v>
      </c>
      <c r="B87" s="2" t="str">
        <f t="shared" si="3"/>
        <v>Mon</v>
      </c>
      <c r="C87" s="7">
        <f>SUMIFS('Leave Management'!$L:$L,'Leave Management'!$C:$C,Detail!$A87,'Leave Management'!$B:$B,Detail!C$1)</f>
        <v>0</v>
      </c>
      <c r="D87" s="7">
        <f>SUMIFS('Leave Management'!$L:$L,'Leave Management'!$C:$C,Detail!$A87,'Leave Management'!$B:$B,Detail!D$1)</f>
        <v>0</v>
      </c>
      <c r="E87" s="7">
        <f>SUMIFS('Leave Management'!$L:$L,'Leave Management'!$C:$C,Detail!$A87,'Leave Management'!$B:$B,Detail!E$1)</f>
        <v>0</v>
      </c>
      <c r="F87" s="7">
        <f>SUMIFS('Leave Management'!$L:$L,'Leave Management'!$C:$C,Detail!$A87,'Leave Management'!$B:$B,Detail!F$1)</f>
        <v>0</v>
      </c>
      <c r="G87" s="7">
        <f>SUMIFS('Leave Management'!$L:$L,'Leave Management'!$C:$C,Detail!$A87,'Leave Management'!$B:$B,Detail!G$1)</f>
        <v>0</v>
      </c>
      <c r="H87" s="7">
        <f>SUMIFS('Leave Management'!$L:$L,'Leave Management'!$C:$C,Detail!$A87,'Leave Management'!$B:$B,Detail!H$1)</f>
        <v>0</v>
      </c>
      <c r="I87" s="7">
        <f>SUMIFS('Leave Management'!$L:$L,'Leave Management'!$C:$C,Detail!$A87,'Leave Management'!$B:$B,Detail!I$1)</f>
        <v>0</v>
      </c>
      <c r="J87" s="7">
        <f>SUMIFS('Leave Management'!$L:$L,'Leave Management'!$C:$C,Detail!$A87,'Leave Management'!$B:$B,Detail!J$1)</f>
        <v>0</v>
      </c>
      <c r="K87" s="7">
        <f>SUMIFS('Leave Management'!$L:$L,'Leave Management'!$C:$C,Detail!$A87,'Leave Management'!$B:$B,Detail!K$1)</f>
        <v>0</v>
      </c>
      <c r="L87" s="7">
        <f>SUMIFS('Leave Management'!$L:$L,'Leave Management'!$C:$C,Detail!$A87,'Leave Management'!$B:$B,Detail!L$1)</f>
        <v>0</v>
      </c>
      <c r="M87" s="7">
        <f>SUMIFS('Leave Management'!$L:$L,'Leave Management'!$C:$C,Detail!$A87,'Leave Management'!$B:$B,Detail!M$1)</f>
        <v>0</v>
      </c>
      <c r="N87" s="7">
        <f>SUMIFS('Leave Management'!$L:$L,'Leave Management'!$C:$C,Detail!$A87,'Leave Management'!$B:$B,Detail!N$1)</f>
        <v>0</v>
      </c>
      <c r="O87" s="7">
        <f t="shared" si="4"/>
        <v>12</v>
      </c>
    </row>
    <row r="88" spans="1:15" x14ac:dyDescent="0.25">
      <c r="A88" s="24">
        <v>43186</v>
      </c>
      <c r="B88" s="2" t="str">
        <f t="shared" si="3"/>
        <v>Tue</v>
      </c>
      <c r="C88" s="7">
        <f>SUMIFS('Leave Management'!$L:$L,'Leave Management'!$C:$C,Detail!$A88,'Leave Management'!$B:$B,Detail!C$1)</f>
        <v>0</v>
      </c>
      <c r="D88" s="7">
        <f>SUMIFS('Leave Management'!$L:$L,'Leave Management'!$C:$C,Detail!$A88,'Leave Management'!$B:$B,Detail!D$1)</f>
        <v>0</v>
      </c>
      <c r="E88" s="7">
        <f>SUMIFS('Leave Management'!$L:$L,'Leave Management'!$C:$C,Detail!$A88,'Leave Management'!$B:$B,Detail!E$1)</f>
        <v>0</v>
      </c>
      <c r="F88" s="7">
        <f>SUMIFS('Leave Management'!$L:$L,'Leave Management'!$C:$C,Detail!$A88,'Leave Management'!$B:$B,Detail!F$1)</f>
        <v>0</v>
      </c>
      <c r="G88" s="7">
        <f>SUMIFS('Leave Management'!$L:$L,'Leave Management'!$C:$C,Detail!$A88,'Leave Management'!$B:$B,Detail!G$1)</f>
        <v>0</v>
      </c>
      <c r="H88" s="7">
        <f>SUMIFS('Leave Management'!$L:$L,'Leave Management'!$C:$C,Detail!$A88,'Leave Management'!$B:$B,Detail!H$1)</f>
        <v>0</v>
      </c>
      <c r="I88" s="7">
        <f>SUMIFS('Leave Management'!$L:$L,'Leave Management'!$C:$C,Detail!$A88,'Leave Management'!$B:$B,Detail!I$1)</f>
        <v>0</v>
      </c>
      <c r="J88" s="7">
        <f>SUMIFS('Leave Management'!$L:$L,'Leave Management'!$C:$C,Detail!$A88,'Leave Management'!$B:$B,Detail!J$1)</f>
        <v>0</v>
      </c>
      <c r="K88" s="7">
        <f>SUMIFS('Leave Management'!$L:$L,'Leave Management'!$C:$C,Detail!$A88,'Leave Management'!$B:$B,Detail!K$1)</f>
        <v>0</v>
      </c>
      <c r="L88" s="7">
        <f>SUMIFS('Leave Management'!$L:$L,'Leave Management'!$C:$C,Detail!$A88,'Leave Management'!$B:$B,Detail!L$1)</f>
        <v>0</v>
      </c>
      <c r="M88" s="7">
        <f>SUMIFS('Leave Management'!$L:$L,'Leave Management'!$C:$C,Detail!$A88,'Leave Management'!$B:$B,Detail!M$1)</f>
        <v>0</v>
      </c>
      <c r="N88" s="7">
        <f>SUMIFS('Leave Management'!$L:$L,'Leave Management'!$C:$C,Detail!$A88,'Leave Management'!$B:$B,Detail!N$1)</f>
        <v>0</v>
      </c>
      <c r="O88" s="7">
        <f t="shared" si="4"/>
        <v>12</v>
      </c>
    </row>
    <row r="89" spans="1:15" x14ac:dyDescent="0.25">
      <c r="A89" s="24">
        <v>43187</v>
      </c>
      <c r="B89" s="2" t="str">
        <f t="shared" si="3"/>
        <v>Wed</v>
      </c>
      <c r="C89" s="7">
        <f>SUMIFS('Leave Management'!$L:$L,'Leave Management'!$C:$C,Detail!$A89,'Leave Management'!$B:$B,Detail!C$1)</f>
        <v>0</v>
      </c>
      <c r="D89" s="7">
        <f>SUMIFS('Leave Management'!$L:$L,'Leave Management'!$C:$C,Detail!$A89,'Leave Management'!$B:$B,Detail!D$1)</f>
        <v>0</v>
      </c>
      <c r="E89" s="7">
        <f>SUMIFS('Leave Management'!$L:$L,'Leave Management'!$C:$C,Detail!$A89,'Leave Management'!$B:$B,Detail!E$1)</f>
        <v>0</v>
      </c>
      <c r="F89" s="7">
        <f>SUMIFS('Leave Management'!$L:$L,'Leave Management'!$C:$C,Detail!$A89,'Leave Management'!$B:$B,Detail!F$1)</f>
        <v>0</v>
      </c>
      <c r="G89" s="7">
        <f>SUMIFS('Leave Management'!$L:$L,'Leave Management'!$C:$C,Detail!$A89,'Leave Management'!$B:$B,Detail!G$1)</f>
        <v>0</v>
      </c>
      <c r="H89" s="7">
        <f>SUMIFS('Leave Management'!$L:$L,'Leave Management'!$C:$C,Detail!$A89,'Leave Management'!$B:$B,Detail!H$1)</f>
        <v>0</v>
      </c>
      <c r="I89" s="7">
        <f>SUMIFS('Leave Management'!$L:$L,'Leave Management'!$C:$C,Detail!$A89,'Leave Management'!$B:$B,Detail!I$1)</f>
        <v>0</v>
      </c>
      <c r="J89" s="7">
        <f>SUMIFS('Leave Management'!$L:$L,'Leave Management'!$C:$C,Detail!$A89,'Leave Management'!$B:$B,Detail!J$1)</f>
        <v>0</v>
      </c>
      <c r="K89" s="7">
        <f>SUMIFS('Leave Management'!$L:$L,'Leave Management'!$C:$C,Detail!$A89,'Leave Management'!$B:$B,Detail!K$1)</f>
        <v>0</v>
      </c>
      <c r="L89" s="7">
        <f>SUMIFS('Leave Management'!$L:$L,'Leave Management'!$C:$C,Detail!$A89,'Leave Management'!$B:$B,Detail!L$1)</f>
        <v>0</v>
      </c>
      <c r="M89" s="7">
        <f>SUMIFS('Leave Management'!$L:$L,'Leave Management'!$C:$C,Detail!$A89,'Leave Management'!$B:$B,Detail!M$1)</f>
        <v>0</v>
      </c>
      <c r="N89" s="7">
        <f>SUMIFS('Leave Management'!$L:$L,'Leave Management'!$C:$C,Detail!$A89,'Leave Management'!$B:$B,Detail!N$1)</f>
        <v>0</v>
      </c>
      <c r="O89" s="7">
        <f t="shared" si="4"/>
        <v>12</v>
      </c>
    </row>
    <row r="90" spans="1:15" x14ac:dyDescent="0.25">
      <c r="A90" s="24">
        <v>43188</v>
      </c>
      <c r="B90" s="2" t="str">
        <f t="shared" si="3"/>
        <v>Thu</v>
      </c>
      <c r="C90" s="7">
        <f>SUMIFS('Leave Management'!$L:$L,'Leave Management'!$C:$C,Detail!$A90,'Leave Management'!$B:$B,Detail!C$1)</f>
        <v>0</v>
      </c>
      <c r="D90" s="7">
        <f>SUMIFS('Leave Management'!$L:$L,'Leave Management'!$C:$C,Detail!$A90,'Leave Management'!$B:$B,Detail!D$1)</f>
        <v>0</v>
      </c>
      <c r="E90" s="7">
        <f>SUMIFS('Leave Management'!$L:$L,'Leave Management'!$C:$C,Detail!$A90,'Leave Management'!$B:$B,Detail!E$1)</f>
        <v>0</v>
      </c>
      <c r="F90" s="7">
        <f>SUMIFS('Leave Management'!$L:$L,'Leave Management'!$C:$C,Detail!$A90,'Leave Management'!$B:$B,Detail!F$1)</f>
        <v>0</v>
      </c>
      <c r="G90" s="7">
        <f>SUMIFS('Leave Management'!$L:$L,'Leave Management'!$C:$C,Detail!$A90,'Leave Management'!$B:$B,Detail!G$1)</f>
        <v>0</v>
      </c>
      <c r="H90" s="7">
        <f>SUMIFS('Leave Management'!$L:$L,'Leave Management'!$C:$C,Detail!$A90,'Leave Management'!$B:$B,Detail!H$1)</f>
        <v>0</v>
      </c>
      <c r="I90" s="7">
        <f>SUMIFS('Leave Management'!$L:$L,'Leave Management'!$C:$C,Detail!$A90,'Leave Management'!$B:$B,Detail!I$1)</f>
        <v>0</v>
      </c>
      <c r="J90" s="7">
        <f>SUMIFS('Leave Management'!$L:$L,'Leave Management'!$C:$C,Detail!$A90,'Leave Management'!$B:$B,Detail!J$1)</f>
        <v>0</v>
      </c>
      <c r="K90" s="7">
        <f>SUMIFS('Leave Management'!$L:$L,'Leave Management'!$C:$C,Detail!$A90,'Leave Management'!$B:$B,Detail!K$1)</f>
        <v>0</v>
      </c>
      <c r="L90" s="7">
        <f>SUMIFS('Leave Management'!$L:$L,'Leave Management'!$C:$C,Detail!$A90,'Leave Management'!$B:$B,Detail!L$1)</f>
        <v>0</v>
      </c>
      <c r="M90" s="7">
        <f>SUMIFS('Leave Management'!$L:$L,'Leave Management'!$C:$C,Detail!$A90,'Leave Management'!$B:$B,Detail!M$1)</f>
        <v>0</v>
      </c>
      <c r="N90" s="7">
        <f>SUMIFS('Leave Management'!$L:$L,'Leave Management'!$C:$C,Detail!$A90,'Leave Management'!$B:$B,Detail!N$1)</f>
        <v>0</v>
      </c>
      <c r="O90" s="7">
        <f t="shared" si="4"/>
        <v>12</v>
      </c>
    </row>
    <row r="91" spans="1:15" x14ac:dyDescent="0.25">
      <c r="A91" s="24">
        <v>43189</v>
      </c>
      <c r="B91" s="2" t="str">
        <f t="shared" si="3"/>
        <v>Fri</v>
      </c>
      <c r="C91" s="7">
        <f>SUMIFS('Leave Management'!$L:$L,'Leave Management'!$C:$C,Detail!$A91,'Leave Management'!$B:$B,Detail!C$1)</f>
        <v>0</v>
      </c>
      <c r="D91" s="7">
        <f>SUMIFS('Leave Management'!$L:$L,'Leave Management'!$C:$C,Detail!$A91,'Leave Management'!$B:$B,Detail!D$1)</f>
        <v>0</v>
      </c>
      <c r="E91" s="7">
        <f>SUMIFS('Leave Management'!$L:$L,'Leave Management'!$C:$C,Detail!$A91,'Leave Management'!$B:$B,Detail!E$1)</f>
        <v>0</v>
      </c>
      <c r="F91" s="7">
        <f>SUMIFS('Leave Management'!$L:$L,'Leave Management'!$C:$C,Detail!$A91,'Leave Management'!$B:$B,Detail!F$1)</f>
        <v>0</v>
      </c>
      <c r="G91" s="7">
        <f>SUMIFS('Leave Management'!$L:$L,'Leave Management'!$C:$C,Detail!$A91,'Leave Management'!$B:$B,Detail!G$1)</f>
        <v>0</v>
      </c>
      <c r="H91" s="7">
        <f>SUMIFS('Leave Management'!$L:$L,'Leave Management'!$C:$C,Detail!$A91,'Leave Management'!$B:$B,Detail!H$1)</f>
        <v>0</v>
      </c>
      <c r="I91" s="7">
        <f>SUMIFS('Leave Management'!$L:$L,'Leave Management'!$C:$C,Detail!$A91,'Leave Management'!$B:$B,Detail!I$1)</f>
        <v>0</v>
      </c>
      <c r="J91" s="7">
        <f>SUMIFS('Leave Management'!$L:$L,'Leave Management'!$C:$C,Detail!$A91,'Leave Management'!$B:$B,Detail!J$1)</f>
        <v>0</v>
      </c>
      <c r="K91" s="7">
        <f>SUMIFS('Leave Management'!$L:$L,'Leave Management'!$C:$C,Detail!$A91,'Leave Management'!$B:$B,Detail!K$1)</f>
        <v>0</v>
      </c>
      <c r="L91" s="7">
        <f>SUMIFS('Leave Management'!$L:$L,'Leave Management'!$C:$C,Detail!$A91,'Leave Management'!$B:$B,Detail!L$1)</f>
        <v>0</v>
      </c>
      <c r="M91" s="7">
        <f>SUMIFS('Leave Management'!$L:$L,'Leave Management'!$C:$C,Detail!$A91,'Leave Management'!$B:$B,Detail!M$1)</f>
        <v>0</v>
      </c>
      <c r="N91" s="7">
        <f>SUMIFS('Leave Management'!$L:$L,'Leave Management'!$C:$C,Detail!$A91,'Leave Management'!$B:$B,Detail!N$1)</f>
        <v>0</v>
      </c>
      <c r="O91" s="7">
        <f t="shared" si="4"/>
        <v>12</v>
      </c>
    </row>
    <row r="92" spans="1:15" x14ac:dyDescent="0.25">
      <c r="A92" s="24">
        <v>43190</v>
      </c>
      <c r="B92" s="2" t="str">
        <f t="shared" si="3"/>
        <v>Sat</v>
      </c>
      <c r="C92" s="7">
        <f>SUMIFS('Leave Management'!$L:$L,'Leave Management'!$C:$C,Detail!$A92,'Leave Management'!$B:$B,Detail!C$1)</f>
        <v>0</v>
      </c>
      <c r="D92" s="7">
        <f>SUMIFS('Leave Management'!$L:$L,'Leave Management'!$C:$C,Detail!$A92,'Leave Management'!$B:$B,Detail!D$1)</f>
        <v>0</v>
      </c>
      <c r="E92" s="7">
        <f>SUMIFS('Leave Management'!$L:$L,'Leave Management'!$C:$C,Detail!$A92,'Leave Management'!$B:$B,Detail!E$1)</f>
        <v>0</v>
      </c>
      <c r="F92" s="7">
        <f>SUMIFS('Leave Management'!$L:$L,'Leave Management'!$C:$C,Detail!$A92,'Leave Management'!$B:$B,Detail!F$1)</f>
        <v>0</v>
      </c>
      <c r="G92" s="7">
        <f>SUMIFS('Leave Management'!$L:$L,'Leave Management'!$C:$C,Detail!$A92,'Leave Management'!$B:$B,Detail!G$1)</f>
        <v>0</v>
      </c>
      <c r="H92" s="7">
        <f>SUMIFS('Leave Management'!$L:$L,'Leave Management'!$C:$C,Detail!$A92,'Leave Management'!$B:$B,Detail!H$1)</f>
        <v>0</v>
      </c>
      <c r="I92" s="7">
        <f>SUMIFS('Leave Management'!$L:$L,'Leave Management'!$C:$C,Detail!$A92,'Leave Management'!$B:$B,Detail!I$1)</f>
        <v>0</v>
      </c>
      <c r="J92" s="7">
        <f>SUMIFS('Leave Management'!$L:$L,'Leave Management'!$C:$C,Detail!$A92,'Leave Management'!$B:$B,Detail!J$1)</f>
        <v>0</v>
      </c>
      <c r="K92" s="7">
        <f>SUMIFS('Leave Management'!$L:$L,'Leave Management'!$C:$C,Detail!$A92,'Leave Management'!$B:$B,Detail!K$1)</f>
        <v>0</v>
      </c>
      <c r="L92" s="7">
        <f>SUMIFS('Leave Management'!$L:$L,'Leave Management'!$C:$C,Detail!$A92,'Leave Management'!$B:$B,Detail!L$1)</f>
        <v>0</v>
      </c>
      <c r="M92" s="7">
        <f>SUMIFS('Leave Management'!$L:$L,'Leave Management'!$C:$C,Detail!$A92,'Leave Management'!$B:$B,Detail!M$1)</f>
        <v>0</v>
      </c>
      <c r="N92" s="7">
        <f>SUMIFS('Leave Management'!$L:$L,'Leave Management'!$C:$C,Detail!$A92,'Leave Management'!$B:$B,Detail!N$1)</f>
        <v>0</v>
      </c>
      <c r="O92" s="7">
        <f t="shared" si="4"/>
        <v>12</v>
      </c>
    </row>
    <row r="93" spans="1:15" x14ac:dyDescent="0.25">
      <c r="A93" s="24">
        <v>43191</v>
      </c>
      <c r="B93" s="2" t="str">
        <f t="shared" si="3"/>
        <v>Sun</v>
      </c>
      <c r="C93" s="7">
        <f>SUMIFS('Leave Management'!$L:$L,'Leave Management'!$C:$C,Detail!$A93,'Leave Management'!$B:$B,Detail!C$1)</f>
        <v>0</v>
      </c>
      <c r="D93" s="7">
        <f>SUMIFS('Leave Management'!$L:$L,'Leave Management'!$C:$C,Detail!$A93,'Leave Management'!$B:$B,Detail!D$1)</f>
        <v>0</v>
      </c>
      <c r="E93" s="7">
        <f>SUMIFS('Leave Management'!$L:$L,'Leave Management'!$C:$C,Detail!$A93,'Leave Management'!$B:$B,Detail!E$1)</f>
        <v>0</v>
      </c>
      <c r="F93" s="7">
        <f>SUMIFS('Leave Management'!$L:$L,'Leave Management'!$C:$C,Detail!$A93,'Leave Management'!$B:$B,Detail!F$1)</f>
        <v>0</v>
      </c>
      <c r="G93" s="7">
        <f>SUMIFS('Leave Management'!$L:$L,'Leave Management'!$C:$C,Detail!$A93,'Leave Management'!$B:$B,Detail!G$1)</f>
        <v>0</v>
      </c>
      <c r="H93" s="7">
        <f>SUMIFS('Leave Management'!$L:$L,'Leave Management'!$C:$C,Detail!$A93,'Leave Management'!$B:$B,Detail!H$1)</f>
        <v>0</v>
      </c>
      <c r="I93" s="7">
        <f>SUMIFS('Leave Management'!$L:$L,'Leave Management'!$C:$C,Detail!$A93,'Leave Management'!$B:$B,Detail!I$1)</f>
        <v>0</v>
      </c>
      <c r="J93" s="7">
        <f>SUMIFS('Leave Management'!$L:$L,'Leave Management'!$C:$C,Detail!$A93,'Leave Management'!$B:$B,Detail!J$1)</f>
        <v>0</v>
      </c>
      <c r="K93" s="7">
        <f>SUMIFS('Leave Management'!$L:$L,'Leave Management'!$C:$C,Detail!$A93,'Leave Management'!$B:$B,Detail!K$1)</f>
        <v>0</v>
      </c>
      <c r="L93" s="7">
        <f>SUMIFS('Leave Management'!$L:$L,'Leave Management'!$C:$C,Detail!$A93,'Leave Management'!$B:$B,Detail!L$1)</f>
        <v>0</v>
      </c>
      <c r="M93" s="7">
        <f>SUMIFS('Leave Management'!$L:$L,'Leave Management'!$C:$C,Detail!$A93,'Leave Management'!$B:$B,Detail!M$1)</f>
        <v>0</v>
      </c>
      <c r="N93" s="7">
        <f>SUMIFS('Leave Management'!$L:$L,'Leave Management'!$C:$C,Detail!$A93,'Leave Management'!$B:$B,Detail!N$1)</f>
        <v>0</v>
      </c>
      <c r="O93" s="7">
        <f t="shared" si="4"/>
        <v>12</v>
      </c>
    </row>
    <row r="94" spans="1:15" x14ac:dyDescent="0.25">
      <c r="A94" s="24">
        <v>43192</v>
      </c>
      <c r="B94" s="2" t="str">
        <f t="shared" si="3"/>
        <v>Mon</v>
      </c>
      <c r="C94" s="7">
        <f>SUMIFS('Leave Management'!$L:$L,'Leave Management'!$C:$C,Detail!$A94,'Leave Management'!$B:$B,Detail!C$1)</f>
        <v>0</v>
      </c>
      <c r="D94" s="7">
        <f>SUMIFS('Leave Management'!$L:$L,'Leave Management'!$C:$C,Detail!$A94,'Leave Management'!$B:$B,Detail!D$1)</f>
        <v>0</v>
      </c>
      <c r="E94" s="7">
        <f>SUMIFS('Leave Management'!$L:$L,'Leave Management'!$C:$C,Detail!$A94,'Leave Management'!$B:$B,Detail!E$1)</f>
        <v>0</v>
      </c>
      <c r="F94" s="7">
        <f>SUMIFS('Leave Management'!$L:$L,'Leave Management'!$C:$C,Detail!$A94,'Leave Management'!$B:$B,Detail!F$1)</f>
        <v>0</v>
      </c>
      <c r="G94" s="7">
        <f>SUMIFS('Leave Management'!$L:$L,'Leave Management'!$C:$C,Detail!$A94,'Leave Management'!$B:$B,Detail!G$1)</f>
        <v>0</v>
      </c>
      <c r="H94" s="7">
        <f>SUMIFS('Leave Management'!$L:$L,'Leave Management'!$C:$C,Detail!$A94,'Leave Management'!$B:$B,Detail!H$1)</f>
        <v>0</v>
      </c>
      <c r="I94" s="7">
        <f>SUMIFS('Leave Management'!$L:$L,'Leave Management'!$C:$C,Detail!$A94,'Leave Management'!$B:$B,Detail!I$1)</f>
        <v>0</v>
      </c>
      <c r="J94" s="7">
        <f>SUMIFS('Leave Management'!$L:$L,'Leave Management'!$C:$C,Detail!$A94,'Leave Management'!$B:$B,Detail!J$1)</f>
        <v>0</v>
      </c>
      <c r="K94" s="7">
        <f>SUMIFS('Leave Management'!$L:$L,'Leave Management'!$C:$C,Detail!$A94,'Leave Management'!$B:$B,Detail!K$1)</f>
        <v>0</v>
      </c>
      <c r="L94" s="7">
        <f>SUMIFS('Leave Management'!$L:$L,'Leave Management'!$C:$C,Detail!$A94,'Leave Management'!$B:$B,Detail!L$1)</f>
        <v>0</v>
      </c>
      <c r="M94" s="7">
        <f>SUMIFS('Leave Management'!$L:$L,'Leave Management'!$C:$C,Detail!$A94,'Leave Management'!$B:$B,Detail!M$1)</f>
        <v>0</v>
      </c>
      <c r="N94" s="7">
        <f>SUMIFS('Leave Management'!$L:$L,'Leave Management'!$C:$C,Detail!$A94,'Leave Management'!$B:$B,Detail!N$1)</f>
        <v>0</v>
      </c>
      <c r="O94" s="7">
        <f t="shared" si="4"/>
        <v>12</v>
      </c>
    </row>
    <row r="95" spans="1:15" x14ac:dyDescent="0.25">
      <c r="A95" s="24">
        <v>43193</v>
      </c>
      <c r="B95" s="2" t="str">
        <f t="shared" si="3"/>
        <v>Tue</v>
      </c>
      <c r="C95" s="7">
        <f>SUMIFS('Leave Management'!$L:$L,'Leave Management'!$C:$C,Detail!$A95,'Leave Management'!$B:$B,Detail!C$1)</f>
        <v>0</v>
      </c>
      <c r="D95" s="7">
        <f>SUMIFS('Leave Management'!$L:$L,'Leave Management'!$C:$C,Detail!$A95,'Leave Management'!$B:$B,Detail!D$1)</f>
        <v>0</v>
      </c>
      <c r="E95" s="7">
        <f>SUMIFS('Leave Management'!$L:$L,'Leave Management'!$C:$C,Detail!$A95,'Leave Management'!$B:$B,Detail!E$1)</f>
        <v>0</v>
      </c>
      <c r="F95" s="7">
        <f>SUMIFS('Leave Management'!$L:$L,'Leave Management'!$C:$C,Detail!$A95,'Leave Management'!$B:$B,Detail!F$1)</f>
        <v>0</v>
      </c>
      <c r="G95" s="7">
        <f>SUMIFS('Leave Management'!$L:$L,'Leave Management'!$C:$C,Detail!$A95,'Leave Management'!$B:$B,Detail!G$1)</f>
        <v>0</v>
      </c>
      <c r="H95" s="7">
        <f>SUMIFS('Leave Management'!$L:$L,'Leave Management'!$C:$C,Detail!$A95,'Leave Management'!$B:$B,Detail!H$1)</f>
        <v>0</v>
      </c>
      <c r="I95" s="7">
        <f>SUMIFS('Leave Management'!$L:$L,'Leave Management'!$C:$C,Detail!$A95,'Leave Management'!$B:$B,Detail!I$1)</f>
        <v>0</v>
      </c>
      <c r="J95" s="7">
        <f>SUMIFS('Leave Management'!$L:$L,'Leave Management'!$C:$C,Detail!$A95,'Leave Management'!$B:$B,Detail!J$1)</f>
        <v>0</v>
      </c>
      <c r="K95" s="7">
        <f>SUMIFS('Leave Management'!$L:$L,'Leave Management'!$C:$C,Detail!$A95,'Leave Management'!$B:$B,Detail!K$1)</f>
        <v>0</v>
      </c>
      <c r="L95" s="7">
        <f>SUMIFS('Leave Management'!$L:$L,'Leave Management'!$C:$C,Detail!$A95,'Leave Management'!$B:$B,Detail!L$1)</f>
        <v>0</v>
      </c>
      <c r="M95" s="7">
        <f>SUMIFS('Leave Management'!$L:$L,'Leave Management'!$C:$C,Detail!$A95,'Leave Management'!$B:$B,Detail!M$1)</f>
        <v>0</v>
      </c>
      <c r="N95" s="7">
        <f>SUMIFS('Leave Management'!$L:$L,'Leave Management'!$C:$C,Detail!$A95,'Leave Management'!$B:$B,Detail!N$1)</f>
        <v>0</v>
      </c>
      <c r="O95" s="7">
        <f t="shared" si="4"/>
        <v>12</v>
      </c>
    </row>
    <row r="96" spans="1:15" x14ac:dyDescent="0.25">
      <c r="A96" s="24">
        <v>43194</v>
      </c>
      <c r="B96" s="2" t="str">
        <f t="shared" si="3"/>
        <v>Wed</v>
      </c>
      <c r="C96" s="7">
        <f>SUMIFS('Leave Management'!$L:$L,'Leave Management'!$C:$C,Detail!$A96,'Leave Management'!$B:$B,Detail!C$1)</f>
        <v>0</v>
      </c>
      <c r="D96" s="7">
        <f>SUMIFS('Leave Management'!$L:$L,'Leave Management'!$C:$C,Detail!$A96,'Leave Management'!$B:$B,Detail!D$1)</f>
        <v>0</v>
      </c>
      <c r="E96" s="7">
        <f>SUMIFS('Leave Management'!$L:$L,'Leave Management'!$C:$C,Detail!$A96,'Leave Management'!$B:$B,Detail!E$1)</f>
        <v>0</v>
      </c>
      <c r="F96" s="7">
        <f>SUMIFS('Leave Management'!$L:$L,'Leave Management'!$C:$C,Detail!$A96,'Leave Management'!$B:$B,Detail!F$1)</f>
        <v>0</v>
      </c>
      <c r="G96" s="7">
        <f>SUMIFS('Leave Management'!$L:$L,'Leave Management'!$C:$C,Detail!$A96,'Leave Management'!$B:$B,Detail!G$1)</f>
        <v>0</v>
      </c>
      <c r="H96" s="7">
        <f>SUMIFS('Leave Management'!$L:$L,'Leave Management'!$C:$C,Detail!$A96,'Leave Management'!$B:$B,Detail!H$1)</f>
        <v>0</v>
      </c>
      <c r="I96" s="7">
        <f>SUMIFS('Leave Management'!$L:$L,'Leave Management'!$C:$C,Detail!$A96,'Leave Management'!$B:$B,Detail!I$1)</f>
        <v>0</v>
      </c>
      <c r="J96" s="7">
        <f>SUMIFS('Leave Management'!$L:$L,'Leave Management'!$C:$C,Detail!$A96,'Leave Management'!$B:$B,Detail!J$1)</f>
        <v>0</v>
      </c>
      <c r="K96" s="7">
        <f>SUMIFS('Leave Management'!$L:$L,'Leave Management'!$C:$C,Detail!$A96,'Leave Management'!$B:$B,Detail!K$1)</f>
        <v>0</v>
      </c>
      <c r="L96" s="7">
        <f>SUMIFS('Leave Management'!$L:$L,'Leave Management'!$C:$C,Detail!$A96,'Leave Management'!$B:$B,Detail!L$1)</f>
        <v>0</v>
      </c>
      <c r="M96" s="7">
        <f>SUMIFS('Leave Management'!$L:$L,'Leave Management'!$C:$C,Detail!$A96,'Leave Management'!$B:$B,Detail!M$1)</f>
        <v>0</v>
      </c>
      <c r="N96" s="7">
        <f>SUMIFS('Leave Management'!$L:$L,'Leave Management'!$C:$C,Detail!$A96,'Leave Management'!$B:$B,Detail!N$1)</f>
        <v>0</v>
      </c>
      <c r="O96" s="7">
        <f t="shared" si="4"/>
        <v>12</v>
      </c>
    </row>
    <row r="97" spans="1:15" x14ac:dyDescent="0.25">
      <c r="A97" s="24">
        <v>43195</v>
      </c>
      <c r="B97" s="2" t="str">
        <f t="shared" si="3"/>
        <v>Thu</v>
      </c>
      <c r="C97" s="7">
        <f>SUMIFS('Leave Management'!$L:$L,'Leave Management'!$C:$C,Detail!$A97,'Leave Management'!$B:$B,Detail!C$1)</f>
        <v>1</v>
      </c>
      <c r="D97" s="7">
        <f>SUMIFS('Leave Management'!$L:$L,'Leave Management'!$C:$C,Detail!$A97,'Leave Management'!$B:$B,Detail!D$1)</f>
        <v>0</v>
      </c>
      <c r="E97" s="7">
        <f>SUMIFS('Leave Management'!$L:$L,'Leave Management'!$C:$C,Detail!$A97,'Leave Management'!$B:$B,Detail!E$1)</f>
        <v>0</v>
      </c>
      <c r="F97" s="7">
        <f>SUMIFS('Leave Management'!$L:$L,'Leave Management'!$C:$C,Detail!$A97,'Leave Management'!$B:$B,Detail!F$1)</f>
        <v>0</v>
      </c>
      <c r="G97" s="7">
        <f>SUMIFS('Leave Management'!$L:$L,'Leave Management'!$C:$C,Detail!$A97,'Leave Management'!$B:$B,Detail!G$1)</f>
        <v>0</v>
      </c>
      <c r="H97" s="7">
        <f>SUMIFS('Leave Management'!$L:$L,'Leave Management'!$C:$C,Detail!$A97,'Leave Management'!$B:$B,Detail!H$1)</f>
        <v>0</v>
      </c>
      <c r="I97" s="7">
        <f>SUMIFS('Leave Management'!$L:$L,'Leave Management'!$C:$C,Detail!$A97,'Leave Management'!$B:$B,Detail!I$1)</f>
        <v>0</v>
      </c>
      <c r="J97" s="7">
        <f>SUMIFS('Leave Management'!$L:$L,'Leave Management'!$C:$C,Detail!$A97,'Leave Management'!$B:$B,Detail!J$1)</f>
        <v>0</v>
      </c>
      <c r="K97" s="7">
        <f>SUMIFS('Leave Management'!$L:$L,'Leave Management'!$C:$C,Detail!$A97,'Leave Management'!$B:$B,Detail!K$1)</f>
        <v>0</v>
      </c>
      <c r="L97" s="7">
        <f>SUMIFS('Leave Management'!$L:$L,'Leave Management'!$C:$C,Detail!$A97,'Leave Management'!$B:$B,Detail!L$1)</f>
        <v>0</v>
      </c>
      <c r="M97" s="7">
        <f>SUMIFS('Leave Management'!$L:$L,'Leave Management'!$C:$C,Detail!$A97,'Leave Management'!$B:$B,Detail!M$1)</f>
        <v>0</v>
      </c>
      <c r="N97" s="7">
        <f>SUMIFS('Leave Management'!$L:$L,'Leave Management'!$C:$C,Detail!$A97,'Leave Management'!$B:$B,Detail!N$1)</f>
        <v>0</v>
      </c>
      <c r="O97" s="7">
        <f t="shared" si="4"/>
        <v>11</v>
      </c>
    </row>
    <row r="98" spans="1:15" x14ac:dyDescent="0.25">
      <c r="A98" s="24">
        <v>43196</v>
      </c>
      <c r="B98" s="2" t="str">
        <f t="shared" si="3"/>
        <v>Fri</v>
      </c>
      <c r="C98" s="7">
        <f>SUMIFS('Leave Management'!$L:$L,'Leave Management'!$C:$C,Detail!$A98,'Leave Management'!$B:$B,Detail!C$1)</f>
        <v>0</v>
      </c>
      <c r="D98" s="7">
        <f>SUMIFS('Leave Management'!$L:$L,'Leave Management'!$C:$C,Detail!$A98,'Leave Management'!$B:$B,Detail!D$1)</f>
        <v>0</v>
      </c>
      <c r="E98" s="7">
        <f>SUMIFS('Leave Management'!$L:$L,'Leave Management'!$C:$C,Detail!$A98,'Leave Management'!$B:$B,Detail!E$1)</f>
        <v>0</v>
      </c>
      <c r="F98" s="7">
        <f>SUMIFS('Leave Management'!$L:$L,'Leave Management'!$C:$C,Detail!$A98,'Leave Management'!$B:$B,Detail!F$1)</f>
        <v>0</v>
      </c>
      <c r="G98" s="7">
        <f>SUMIFS('Leave Management'!$L:$L,'Leave Management'!$C:$C,Detail!$A98,'Leave Management'!$B:$B,Detail!G$1)</f>
        <v>0</v>
      </c>
      <c r="H98" s="7">
        <f>SUMIFS('Leave Management'!$L:$L,'Leave Management'!$C:$C,Detail!$A98,'Leave Management'!$B:$B,Detail!H$1)</f>
        <v>0</v>
      </c>
      <c r="I98" s="7">
        <f>SUMIFS('Leave Management'!$L:$L,'Leave Management'!$C:$C,Detail!$A98,'Leave Management'!$B:$B,Detail!I$1)</f>
        <v>0</v>
      </c>
      <c r="J98" s="7">
        <f>SUMIFS('Leave Management'!$L:$L,'Leave Management'!$C:$C,Detail!$A98,'Leave Management'!$B:$B,Detail!J$1)</f>
        <v>0</v>
      </c>
      <c r="K98" s="7">
        <f>SUMIFS('Leave Management'!$L:$L,'Leave Management'!$C:$C,Detail!$A98,'Leave Management'!$B:$B,Detail!K$1)</f>
        <v>0</v>
      </c>
      <c r="L98" s="7">
        <f>SUMIFS('Leave Management'!$L:$L,'Leave Management'!$C:$C,Detail!$A98,'Leave Management'!$B:$B,Detail!L$1)</f>
        <v>0</v>
      </c>
      <c r="M98" s="7">
        <f>SUMIFS('Leave Management'!$L:$L,'Leave Management'!$C:$C,Detail!$A98,'Leave Management'!$B:$B,Detail!M$1)</f>
        <v>0</v>
      </c>
      <c r="N98" s="7">
        <f>SUMIFS('Leave Management'!$L:$L,'Leave Management'!$C:$C,Detail!$A98,'Leave Management'!$B:$B,Detail!N$1)</f>
        <v>0</v>
      </c>
      <c r="O98" s="7">
        <f t="shared" si="4"/>
        <v>12</v>
      </c>
    </row>
    <row r="99" spans="1:15" x14ac:dyDescent="0.25">
      <c r="A99" s="24">
        <v>43197</v>
      </c>
      <c r="B99" s="2" t="str">
        <f t="shared" si="3"/>
        <v>Sat</v>
      </c>
      <c r="C99" s="7">
        <f>SUMIFS('Leave Management'!$L:$L,'Leave Management'!$C:$C,Detail!$A99,'Leave Management'!$B:$B,Detail!C$1)</f>
        <v>0</v>
      </c>
      <c r="D99" s="7">
        <f>SUMIFS('Leave Management'!$L:$L,'Leave Management'!$C:$C,Detail!$A99,'Leave Management'!$B:$B,Detail!D$1)</f>
        <v>0</v>
      </c>
      <c r="E99" s="7">
        <f>SUMIFS('Leave Management'!$L:$L,'Leave Management'!$C:$C,Detail!$A99,'Leave Management'!$B:$B,Detail!E$1)</f>
        <v>0</v>
      </c>
      <c r="F99" s="7">
        <f>SUMIFS('Leave Management'!$L:$L,'Leave Management'!$C:$C,Detail!$A99,'Leave Management'!$B:$B,Detail!F$1)</f>
        <v>0</v>
      </c>
      <c r="G99" s="7">
        <f>SUMIFS('Leave Management'!$L:$L,'Leave Management'!$C:$C,Detail!$A99,'Leave Management'!$B:$B,Detail!G$1)</f>
        <v>0</v>
      </c>
      <c r="H99" s="7">
        <f>SUMIFS('Leave Management'!$L:$L,'Leave Management'!$C:$C,Detail!$A99,'Leave Management'!$B:$B,Detail!H$1)</f>
        <v>0</v>
      </c>
      <c r="I99" s="7">
        <f>SUMIFS('Leave Management'!$L:$L,'Leave Management'!$C:$C,Detail!$A99,'Leave Management'!$B:$B,Detail!I$1)</f>
        <v>0</v>
      </c>
      <c r="J99" s="7">
        <f>SUMIFS('Leave Management'!$L:$L,'Leave Management'!$C:$C,Detail!$A99,'Leave Management'!$B:$B,Detail!J$1)</f>
        <v>0</v>
      </c>
      <c r="K99" s="7">
        <f>SUMIFS('Leave Management'!$L:$L,'Leave Management'!$C:$C,Detail!$A99,'Leave Management'!$B:$B,Detail!K$1)</f>
        <v>0</v>
      </c>
      <c r="L99" s="7">
        <f>SUMIFS('Leave Management'!$L:$L,'Leave Management'!$C:$C,Detail!$A99,'Leave Management'!$B:$B,Detail!L$1)</f>
        <v>0</v>
      </c>
      <c r="M99" s="7">
        <f>SUMIFS('Leave Management'!$L:$L,'Leave Management'!$C:$C,Detail!$A99,'Leave Management'!$B:$B,Detail!M$1)</f>
        <v>0</v>
      </c>
      <c r="N99" s="7">
        <f>SUMIFS('Leave Management'!$L:$L,'Leave Management'!$C:$C,Detail!$A99,'Leave Management'!$B:$B,Detail!N$1)</f>
        <v>0</v>
      </c>
      <c r="O99" s="7">
        <f t="shared" si="4"/>
        <v>12</v>
      </c>
    </row>
    <row r="100" spans="1:15" x14ac:dyDescent="0.25">
      <c r="A100" s="24">
        <v>43198</v>
      </c>
      <c r="B100" s="2" t="str">
        <f t="shared" si="3"/>
        <v>Sun</v>
      </c>
      <c r="C100" s="7">
        <f>SUMIFS('Leave Management'!$L:$L,'Leave Management'!$C:$C,Detail!$A100,'Leave Management'!$B:$B,Detail!C$1)</f>
        <v>0</v>
      </c>
      <c r="D100" s="7">
        <f>SUMIFS('Leave Management'!$L:$L,'Leave Management'!$C:$C,Detail!$A100,'Leave Management'!$B:$B,Detail!D$1)</f>
        <v>0</v>
      </c>
      <c r="E100" s="7">
        <f>SUMIFS('Leave Management'!$L:$L,'Leave Management'!$C:$C,Detail!$A100,'Leave Management'!$B:$B,Detail!E$1)</f>
        <v>0</v>
      </c>
      <c r="F100" s="7">
        <f>SUMIFS('Leave Management'!$L:$L,'Leave Management'!$C:$C,Detail!$A100,'Leave Management'!$B:$B,Detail!F$1)</f>
        <v>0</v>
      </c>
      <c r="G100" s="7">
        <f>SUMIFS('Leave Management'!$L:$L,'Leave Management'!$C:$C,Detail!$A100,'Leave Management'!$B:$B,Detail!G$1)</f>
        <v>0</v>
      </c>
      <c r="H100" s="7">
        <f>SUMIFS('Leave Management'!$L:$L,'Leave Management'!$C:$C,Detail!$A100,'Leave Management'!$B:$B,Detail!H$1)</f>
        <v>0</v>
      </c>
      <c r="I100" s="7">
        <f>SUMIFS('Leave Management'!$L:$L,'Leave Management'!$C:$C,Detail!$A100,'Leave Management'!$B:$B,Detail!I$1)</f>
        <v>0</v>
      </c>
      <c r="J100" s="7">
        <f>SUMIFS('Leave Management'!$L:$L,'Leave Management'!$C:$C,Detail!$A100,'Leave Management'!$B:$B,Detail!J$1)</f>
        <v>0</v>
      </c>
      <c r="K100" s="7">
        <f>SUMIFS('Leave Management'!$L:$L,'Leave Management'!$C:$C,Detail!$A100,'Leave Management'!$B:$B,Detail!K$1)</f>
        <v>0</v>
      </c>
      <c r="L100" s="7">
        <f>SUMIFS('Leave Management'!$L:$L,'Leave Management'!$C:$C,Detail!$A100,'Leave Management'!$B:$B,Detail!L$1)</f>
        <v>0</v>
      </c>
      <c r="M100" s="7">
        <f>SUMIFS('Leave Management'!$L:$L,'Leave Management'!$C:$C,Detail!$A100,'Leave Management'!$B:$B,Detail!M$1)</f>
        <v>0</v>
      </c>
      <c r="N100" s="7">
        <f>SUMIFS('Leave Management'!$L:$L,'Leave Management'!$C:$C,Detail!$A100,'Leave Management'!$B:$B,Detail!N$1)</f>
        <v>0</v>
      </c>
      <c r="O100" s="7">
        <f t="shared" si="4"/>
        <v>12</v>
      </c>
    </row>
    <row r="101" spans="1:15" x14ac:dyDescent="0.25">
      <c r="A101" s="24">
        <v>43199</v>
      </c>
      <c r="B101" s="2" t="str">
        <f t="shared" si="3"/>
        <v>Mon</v>
      </c>
      <c r="C101" s="7">
        <f>SUMIFS('Leave Management'!$L:$L,'Leave Management'!$C:$C,Detail!$A101,'Leave Management'!$B:$B,Detail!C$1)</f>
        <v>1</v>
      </c>
      <c r="D101" s="7">
        <f>SUMIFS('Leave Management'!$L:$L,'Leave Management'!$C:$C,Detail!$A101,'Leave Management'!$B:$B,Detail!D$1)</f>
        <v>0</v>
      </c>
      <c r="E101" s="7">
        <f>SUMIFS('Leave Management'!$L:$L,'Leave Management'!$C:$C,Detail!$A101,'Leave Management'!$B:$B,Detail!E$1)</f>
        <v>0</v>
      </c>
      <c r="F101" s="7">
        <f>SUMIFS('Leave Management'!$L:$L,'Leave Management'!$C:$C,Detail!$A101,'Leave Management'!$B:$B,Detail!F$1)</f>
        <v>0</v>
      </c>
      <c r="G101" s="7">
        <f>SUMIFS('Leave Management'!$L:$L,'Leave Management'!$C:$C,Detail!$A101,'Leave Management'!$B:$B,Detail!G$1)</f>
        <v>0</v>
      </c>
      <c r="H101" s="7">
        <f>SUMIFS('Leave Management'!$L:$L,'Leave Management'!$C:$C,Detail!$A101,'Leave Management'!$B:$B,Detail!H$1)</f>
        <v>0</v>
      </c>
      <c r="I101" s="7">
        <f>SUMIFS('Leave Management'!$L:$L,'Leave Management'!$C:$C,Detail!$A101,'Leave Management'!$B:$B,Detail!I$1)</f>
        <v>0</v>
      </c>
      <c r="J101" s="7">
        <f>SUMIFS('Leave Management'!$L:$L,'Leave Management'!$C:$C,Detail!$A101,'Leave Management'!$B:$B,Detail!J$1)</f>
        <v>0</v>
      </c>
      <c r="K101" s="7">
        <f>SUMIFS('Leave Management'!$L:$L,'Leave Management'!$C:$C,Detail!$A101,'Leave Management'!$B:$B,Detail!K$1)</f>
        <v>0</v>
      </c>
      <c r="L101" s="7">
        <f>SUMIFS('Leave Management'!$L:$L,'Leave Management'!$C:$C,Detail!$A101,'Leave Management'!$B:$B,Detail!L$1)</f>
        <v>0</v>
      </c>
      <c r="M101" s="7">
        <f>SUMIFS('Leave Management'!$L:$L,'Leave Management'!$C:$C,Detail!$A101,'Leave Management'!$B:$B,Detail!M$1)</f>
        <v>0</v>
      </c>
      <c r="N101" s="7">
        <f>SUMIFS('Leave Management'!$L:$L,'Leave Management'!$C:$C,Detail!$A101,'Leave Management'!$B:$B,Detail!N$1)</f>
        <v>0</v>
      </c>
      <c r="O101" s="7">
        <f t="shared" si="4"/>
        <v>11</v>
      </c>
    </row>
    <row r="102" spans="1:15" x14ac:dyDescent="0.25">
      <c r="A102" s="24">
        <v>43200</v>
      </c>
      <c r="B102" s="2" t="str">
        <f t="shared" si="3"/>
        <v>Tue</v>
      </c>
      <c r="C102" s="7">
        <f>SUMIFS('Leave Management'!$L:$L,'Leave Management'!$C:$C,Detail!$A102,'Leave Management'!$B:$B,Detail!C$1)</f>
        <v>0</v>
      </c>
      <c r="D102" s="7">
        <f>SUMIFS('Leave Management'!$L:$L,'Leave Management'!$C:$C,Detail!$A102,'Leave Management'!$B:$B,Detail!D$1)</f>
        <v>0</v>
      </c>
      <c r="E102" s="7">
        <f>SUMIFS('Leave Management'!$L:$L,'Leave Management'!$C:$C,Detail!$A102,'Leave Management'!$B:$B,Detail!E$1)</f>
        <v>0</v>
      </c>
      <c r="F102" s="7">
        <f>SUMIFS('Leave Management'!$L:$L,'Leave Management'!$C:$C,Detail!$A102,'Leave Management'!$B:$B,Detail!F$1)</f>
        <v>0</v>
      </c>
      <c r="G102" s="7">
        <f>SUMIFS('Leave Management'!$L:$L,'Leave Management'!$C:$C,Detail!$A102,'Leave Management'!$B:$B,Detail!G$1)</f>
        <v>0</v>
      </c>
      <c r="H102" s="7">
        <f>SUMIFS('Leave Management'!$L:$L,'Leave Management'!$C:$C,Detail!$A102,'Leave Management'!$B:$B,Detail!H$1)</f>
        <v>0</v>
      </c>
      <c r="I102" s="7">
        <f>SUMIFS('Leave Management'!$L:$L,'Leave Management'!$C:$C,Detail!$A102,'Leave Management'!$B:$B,Detail!I$1)</f>
        <v>0</v>
      </c>
      <c r="J102" s="7">
        <f>SUMIFS('Leave Management'!$L:$L,'Leave Management'!$C:$C,Detail!$A102,'Leave Management'!$B:$B,Detail!J$1)</f>
        <v>0</v>
      </c>
      <c r="K102" s="7">
        <f>SUMIFS('Leave Management'!$L:$L,'Leave Management'!$C:$C,Detail!$A102,'Leave Management'!$B:$B,Detail!K$1)</f>
        <v>0</v>
      </c>
      <c r="L102" s="7">
        <f>SUMIFS('Leave Management'!$L:$L,'Leave Management'!$C:$C,Detail!$A102,'Leave Management'!$B:$B,Detail!L$1)</f>
        <v>0</v>
      </c>
      <c r="M102" s="7">
        <f>SUMIFS('Leave Management'!$L:$L,'Leave Management'!$C:$C,Detail!$A102,'Leave Management'!$B:$B,Detail!M$1)</f>
        <v>0</v>
      </c>
      <c r="N102" s="7">
        <f>SUMIFS('Leave Management'!$L:$L,'Leave Management'!$C:$C,Detail!$A102,'Leave Management'!$B:$B,Detail!N$1)</f>
        <v>0</v>
      </c>
      <c r="O102" s="7">
        <f t="shared" si="4"/>
        <v>12</v>
      </c>
    </row>
    <row r="103" spans="1:15" x14ac:dyDescent="0.25">
      <c r="A103" s="24">
        <v>43201</v>
      </c>
      <c r="B103" s="2" t="str">
        <f t="shared" si="3"/>
        <v>Wed</v>
      </c>
      <c r="C103" s="7">
        <f>SUMIFS('Leave Management'!$L:$L,'Leave Management'!$C:$C,Detail!$A103,'Leave Management'!$B:$B,Detail!C$1)</f>
        <v>0</v>
      </c>
      <c r="D103" s="7">
        <f>SUMIFS('Leave Management'!$L:$L,'Leave Management'!$C:$C,Detail!$A103,'Leave Management'!$B:$B,Detail!D$1)</f>
        <v>0</v>
      </c>
      <c r="E103" s="7">
        <f>SUMIFS('Leave Management'!$L:$L,'Leave Management'!$C:$C,Detail!$A103,'Leave Management'!$B:$B,Detail!E$1)</f>
        <v>0</v>
      </c>
      <c r="F103" s="7">
        <f>SUMIFS('Leave Management'!$L:$L,'Leave Management'!$C:$C,Detail!$A103,'Leave Management'!$B:$B,Detail!F$1)</f>
        <v>0</v>
      </c>
      <c r="G103" s="7">
        <f>SUMIFS('Leave Management'!$L:$L,'Leave Management'!$C:$C,Detail!$A103,'Leave Management'!$B:$B,Detail!G$1)</f>
        <v>0</v>
      </c>
      <c r="H103" s="7">
        <f>SUMIFS('Leave Management'!$L:$L,'Leave Management'!$C:$C,Detail!$A103,'Leave Management'!$B:$B,Detail!H$1)</f>
        <v>0</v>
      </c>
      <c r="I103" s="7">
        <f>SUMIFS('Leave Management'!$L:$L,'Leave Management'!$C:$C,Detail!$A103,'Leave Management'!$B:$B,Detail!I$1)</f>
        <v>0</v>
      </c>
      <c r="J103" s="7">
        <f>SUMIFS('Leave Management'!$L:$L,'Leave Management'!$C:$C,Detail!$A103,'Leave Management'!$B:$B,Detail!J$1)</f>
        <v>0</v>
      </c>
      <c r="K103" s="7">
        <f>SUMIFS('Leave Management'!$L:$L,'Leave Management'!$C:$C,Detail!$A103,'Leave Management'!$B:$B,Detail!K$1)</f>
        <v>0</v>
      </c>
      <c r="L103" s="7">
        <f>SUMIFS('Leave Management'!$L:$L,'Leave Management'!$C:$C,Detail!$A103,'Leave Management'!$B:$B,Detail!L$1)</f>
        <v>0</v>
      </c>
      <c r="M103" s="7">
        <f>SUMIFS('Leave Management'!$L:$L,'Leave Management'!$C:$C,Detail!$A103,'Leave Management'!$B:$B,Detail!M$1)</f>
        <v>0</v>
      </c>
      <c r="N103" s="7">
        <f>SUMIFS('Leave Management'!$L:$L,'Leave Management'!$C:$C,Detail!$A103,'Leave Management'!$B:$B,Detail!N$1)</f>
        <v>0</v>
      </c>
      <c r="O103" s="7">
        <f t="shared" si="4"/>
        <v>12</v>
      </c>
    </row>
    <row r="104" spans="1:15" x14ac:dyDescent="0.25">
      <c r="A104" s="24">
        <v>43202</v>
      </c>
      <c r="B104" s="2" t="str">
        <f t="shared" si="3"/>
        <v>Thu</v>
      </c>
      <c r="C104" s="7">
        <f>SUMIFS('Leave Management'!$L:$L,'Leave Management'!$C:$C,Detail!$A104,'Leave Management'!$B:$B,Detail!C$1)</f>
        <v>0</v>
      </c>
      <c r="D104" s="7">
        <f>SUMIFS('Leave Management'!$L:$L,'Leave Management'!$C:$C,Detail!$A104,'Leave Management'!$B:$B,Detail!D$1)</f>
        <v>1</v>
      </c>
      <c r="E104" s="7">
        <f>SUMIFS('Leave Management'!$L:$L,'Leave Management'!$C:$C,Detail!$A104,'Leave Management'!$B:$B,Detail!E$1)</f>
        <v>0</v>
      </c>
      <c r="F104" s="7">
        <f>SUMIFS('Leave Management'!$L:$L,'Leave Management'!$C:$C,Detail!$A104,'Leave Management'!$B:$B,Detail!F$1)</f>
        <v>0</v>
      </c>
      <c r="G104" s="7">
        <f>SUMIFS('Leave Management'!$L:$L,'Leave Management'!$C:$C,Detail!$A104,'Leave Management'!$B:$B,Detail!G$1)</f>
        <v>0</v>
      </c>
      <c r="H104" s="7">
        <f>SUMIFS('Leave Management'!$L:$L,'Leave Management'!$C:$C,Detail!$A104,'Leave Management'!$B:$B,Detail!H$1)</f>
        <v>0</v>
      </c>
      <c r="I104" s="7">
        <f>SUMIFS('Leave Management'!$L:$L,'Leave Management'!$C:$C,Detail!$A104,'Leave Management'!$B:$B,Detail!I$1)</f>
        <v>0</v>
      </c>
      <c r="J104" s="7">
        <f>SUMIFS('Leave Management'!$L:$L,'Leave Management'!$C:$C,Detail!$A104,'Leave Management'!$B:$B,Detail!J$1)</f>
        <v>0</v>
      </c>
      <c r="K104" s="7">
        <f>SUMIFS('Leave Management'!$L:$L,'Leave Management'!$C:$C,Detail!$A104,'Leave Management'!$B:$B,Detail!K$1)</f>
        <v>0</v>
      </c>
      <c r="L104" s="7">
        <f>SUMIFS('Leave Management'!$L:$L,'Leave Management'!$C:$C,Detail!$A104,'Leave Management'!$B:$B,Detail!L$1)</f>
        <v>0</v>
      </c>
      <c r="M104" s="7">
        <f>SUMIFS('Leave Management'!$L:$L,'Leave Management'!$C:$C,Detail!$A104,'Leave Management'!$B:$B,Detail!M$1)</f>
        <v>0</v>
      </c>
      <c r="N104" s="7">
        <f>SUMIFS('Leave Management'!$L:$L,'Leave Management'!$C:$C,Detail!$A104,'Leave Management'!$B:$B,Detail!N$1)</f>
        <v>0</v>
      </c>
      <c r="O104" s="7">
        <f t="shared" si="4"/>
        <v>11</v>
      </c>
    </row>
    <row r="105" spans="1:15" x14ac:dyDescent="0.25">
      <c r="A105" s="24">
        <v>43203</v>
      </c>
      <c r="B105" s="2" t="str">
        <f t="shared" si="3"/>
        <v>Fri</v>
      </c>
      <c r="C105" s="7">
        <f>SUMIFS('Leave Management'!$L:$L,'Leave Management'!$C:$C,Detail!$A105,'Leave Management'!$B:$B,Detail!C$1)</f>
        <v>0</v>
      </c>
      <c r="D105" s="7">
        <f>SUMIFS('Leave Management'!$L:$L,'Leave Management'!$C:$C,Detail!$A105,'Leave Management'!$B:$B,Detail!D$1)</f>
        <v>1</v>
      </c>
      <c r="E105" s="7">
        <f>SUMIFS('Leave Management'!$L:$L,'Leave Management'!$C:$C,Detail!$A105,'Leave Management'!$B:$B,Detail!E$1)</f>
        <v>0</v>
      </c>
      <c r="F105" s="7">
        <f>SUMIFS('Leave Management'!$L:$L,'Leave Management'!$C:$C,Detail!$A105,'Leave Management'!$B:$B,Detail!F$1)</f>
        <v>0</v>
      </c>
      <c r="G105" s="7">
        <f>SUMIFS('Leave Management'!$L:$L,'Leave Management'!$C:$C,Detail!$A105,'Leave Management'!$B:$B,Detail!G$1)</f>
        <v>0</v>
      </c>
      <c r="H105" s="7">
        <f>SUMIFS('Leave Management'!$L:$L,'Leave Management'!$C:$C,Detail!$A105,'Leave Management'!$B:$B,Detail!H$1)</f>
        <v>0</v>
      </c>
      <c r="I105" s="7">
        <f>SUMIFS('Leave Management'!$L:$L,'Leave Management'!$C:$C,Detail!$A105,'Leave Management'!$B:$B,Detail!I$1)</f>
        <v>0</v>
      </c>
      <c r="J105" s="7">
        <f>SUMIFS('Leave Management'!$L:$L,'Leave Management'!$C:$C,Detail!$A105,'Leave Management'!$B:$B,Detail!J$1)</f>
        <v>0</v>
      </c>
      <c r="K105" s="7">
        <f>SUMIFS('Leave Management'!$L:$L,'Leave Management'!$C:$C,Detail!$A105,'Leave Management'!$B:$B,Detail!K$1)</f>
        <v>0</v>
      </c>
      <c r="L105" s="7">
        <f>SUMIFS('Leave Management'!$L:$L,'Leave Management'!$C:$C,Detail!$A105,'Leave Management'!$B:$B,Detail!L$1)</f>
        <v>0</v>
      </c>
      <c r="M105" s="7">
        <f>SUMIFS('Leave Management'!$L:$L,'Leave Management'!$C:$C,Detail!$A105,'Leave Management'!$B:$B,Detail!M$1)</f>
        <v>0</v>
      </c>
      <c r="N105" s="7">
        <f>SUMIFS('Leave Management'!$L:$L,'Leave Management'!$C:$C,Detail!$A105,'Leave Management'!$B:$B,Detail!N$1)</f>
        <v>0</v>
      </c>
      <c r="O105" s="7">
        <f t="shared" si="4"/>
        <v>11</v>
      </c>
    </row>
    <row r="106" spans="1:15" x14ac:dyDescent="0.25">
      <c r="A106" s="24">
        <v>43204</v>
      </c>
      <c r="B106" s="2" t="str">
        <f t="shared" si="3"/>
        <v>Sat</v>
      </c>
      <c r="C106" s="7">
        <f>SUMIFS('Leave Management'!$L:$L,'Leave Management'!$C:$C,Detail!$A106,'Leave Management'!$B:$B,Detail!C$1)</f>
        <v>0</v>
      </c>
      <c r="D106" s="7">
        <f>SUMIFS('Leave Management'!$L:$L,'Leave Management'!$C:$C,Detail!$A106,'Leave Management'!$B:$B,Detail!D$1)</f>
        <v>0</v>
      </c>
      <c r="E106" s="7">
        <f>SUMIFS('Leave Management'!$L:$L,'Leave Management'!$C:$C,Detail!$A106,'Leave Management'!$B:$B,Detail!E$1)</f>
        <v>0</v>
      </c>
      <c r="F106" s="7">
        <f>SUMIFS('Leave Management'!$L:$L,'Leave Management'!$C:$C,Detail!$A106,'Leave Management'!$B:$B,Detail!F$1)</f>
        <v>0</v>
      </c>
      <c r="G106" s="7">
        <f>SUMIFS('Leave Management'!$L:$L,'Leave Management'!$C:$C,Detail!$A106,'Leave Management'!$B:$B,Detail!G$1)</f>
        <v>0</v>
      </c>
      <c r="H106" s="7">
        <f>SUMIFS('Leave Management'!$L:$L,'Leave Management'!$C:$C,Detail!$A106,'Leave Management'!$B:$B,Detail!H$1)</f>
        <v>0</v>
      </c>
      <c r="I106" s="7">
        <f>SUMIFS('Leave Management'!$L:$L,'Leave Management'!$C:$C,Detail!$A106,'Leave Management'!$B:$B,Detail!I$1)</f>
        <v>0</v>
      </c>
      <c r="J106" s="7">
        <f>SUMIFS('Leave Management'!$L:$L,'Leave Management'!$C:$C,Detail!$A106,'Leave Management'!$B:$B,Detail!J$1)</f>
        <v>0</v>
      </c>
      <c r="K106" s="7">
        <f>SUMIFS('Leave Management'!$L:$L,'Leave Management'!$C:$C,Detail!$A106,'Leave Management'!$B:$B,Detail!K$1)</f>
        <v>0</v>
      </c>
      <c r="L106" s="7">
        <f>SUMIFS('Leave Management'!$L:$L,'Leave Management'!$C:$C,Detail!$A106,'Leave Management'!$B:$B,Detail!L$1)</f>
        <v>0</v>
      </c>
      <c r="M106" s="7">
        <f>SUMIFS('Leave Management'!$L:$L,'Leave Management'!$C:$C,Detail!$A106,'Leave Management'!$B:$B,Detail!M$1)</f>
        <v>0</v>
      </c>
      <c r="N106" s="7">
        <f>SUMIFS('Leave Management'!$L:$L,'Leave Management'!$C:$C,Detail!$A106,'Leave Management'!$B:$B,Detail!N$1)</f>
        <v>0</v>
      </c>
      <c r="O106" s="7">
        <f t="shared" si="4"/>
        <v>12</v>
      </c>
    </row>
    <row r="107" spans="1:15" x14ac:dyDescent="0.25">
      <c r="A107" s="24">
        <v>43205</v>
      </c>
      <c r="B107" s="2" t="str">
        <f t="shared" si="3"/>
        <v>Sun</v>
      </c>
      <c r="C107" s="7">
        <f>SUMIFS('Leave Management'!$L:$L,'Leave Management'!$C:$C,Detail!$A107,'Leave Management'!$B:$B,Detail!C$1)</f>
        <v>0</v>
      </c>
      <c r="D107" s="7">
        <f>SUMIFS('Leave Management'!$L:$L,'Leave Management'!$C:$C,Detail!$A107,'Leave Management'!$B:$B,Detail!D$1)</f>
        <v>0</v>
      </c>
      <c r="E107" s="7">
        <f>SUMIFS('Leave Management'!$L:$L,'Leave Management'!$C:$C,Detail!$A107,'Leave Management'!$B:$B,Detail!E$1)</f>
        <v>0</v>
      </c>
      <c r="F107" s="7">
        <f>SUMIFS('Leave Management'!$L:$L,'Leave Management'!$C:$C,Detail!$A107,'Leave Management'!$B:$B,Detail!F$1)</f>
        <v>0</v>
      </c>
      <c r="G107" s="7">
        <f>SUMIFS('Leave Management'!$L:$L,'Leave Management'!$C:$C,Detail!$A107,'Leave Management'!$B:$B,Detail!G$1)</f>
        <v>0</v>
      </c>
      <c r="H107" s="7">
        <f>SUMIFS('Leave Management'!$L:$L,'Leave Management'!$C:$C,Detail!$A107,'Leave Management'!$B:$B,Detail!H$1)</f>
        <v>0</v>
      </c>
      <c r="I107" s="7">
        <f>SUMIFS('Leave Management'!$L:$L,'Leave Management'!$C:$C,Detail!$A107,'Leave Management'!$B:$B,Detail!I$1)</f>
        <v>0</v>
      </c>
      <c r="J107" s="7">
        <f>SUMIFS('Leave Management'!$L:$L,'Leave Management'!$C:$C,Detail!$A107,'Leave Management'!$B:$B,Detail!J$1)</f>
        <v>0</v>
      </c>
      <c r="K107" s="7">
        <f>SUMIFS('Leave Management'!$L:$L,'Leave Management'!$C:$C,Detail!$A107,'Leave Management'!$B:$B,Detail!K$1)</f>
        <v>0</v>
      </c>
      <c r="L107" s="7">
        <f>SUMIFS('Leave Management'!$L:$L,'Leave Management'!$C:$C,Detail!$A107,'Leave Management'!$B:$B,Detail!L$1)</f>
        <v>0</v>
      </c>
      <c r="M107" s="7">
        <f>SUMIFS('Leave Management'!$L:$L,'Leave Management'!$C:$C,Detail!$A107,'Leave Management'!$B:$B,Detail!M$1)</f>
        <v>0</v>
      </c>
      <c r="N107" s="7">
        <f>SUMIFS('Leave Management'!$L:$L,'Leave Management'!$C:$C,Detail!$A107,'Leave Management'!$B:$B,Detail!N$1)</f>
        <v>0</v>
      </c>
      <c r="O107" s="7">
        <f t="shared" si="4"/>
        <v>12</v>
      </c>
    </row>
    <row r="108" spans="1:15" x14ac:dyDescent="0.25">
      <c r="A108" s="24">
        <v>43206</v>
      </c>
      <c r="B108" s="2" t="str">
        <f t="shared" si="3"/>
        <v>Mon</v>
      </c>
      <c r="C108" s="7">
        <f>SUMIFS('Leave Management'!$L:$L,'Leave Management'!$C:$C,Detail!$A108,'Leave Management'!$B:$B,Detail!C$1)</f>
        <v>0</v>
      </c>
      <c r="D108" s="7">
        <f>SUMIFS('Leave Management'!$L:$L,'Leave Management'!$C:$C,Detail!$A108,'Leave Management'!$B:$B,Detail!D$1)</f>
        <v>0</v>
      </c>
      <c r="E108" s="7">
        <f>SUMIFS('Leave Management'!$L:$L,'Leave Management'!$C:$C,Detail!$A108,'Leave Management'!$B:$B,Detail!E$1)</f>
        <v>1</v>
      </c>
      <c r="F108" s="7">
        <f>SUMIFS('Leave Management'!$L:$L,'Leave Management'!$C:$C,Detail!$A108,'Leave Management'!$B:$B,Detail!F$1)</f>
        <v>0</v>
      </c>
      <c r="G108" s="7">
        <f>SUMIFS('Leave Management'!$L:$L,'Leave Management'!$C:$C,Detail!$A108,'Leave Management'!$B:$B,Detail!G$1)</f>
        <v>0</v>
      </c>
      <c r="H108" s="7">
        <f>SUMIFS('Leave Management'!$L:$L,'Leave Management'!$C:$C,Detail!$A108,'Leave Management'!$B:$B,Detail!H$1)</f>
        <v>0</v>
      </c>
      <c r="I108" s="7">
        <f>SUMIFS('Leave Management'!$L:$L,'Leave Management'!$C:$C,Detail!$A108,'Leave Management'!$B:$B,Detail!I$1)</f>
        <v>0</v>
      </c>
      <c r="J108" s="7">
        <f>SUMIFS('Leave Management'!$L:$L,'Leave Management'!$C:$C,Detail!$A108,'Leave Management'!$B:$B,Detail!J$1)</f>
        <v>0</v>
      </c>
      <c r="K108" s="7">
        <f>SUMIFS('Leave Management'!$L:$L,'Leave Management'!$C:$C,Detail!$A108,'Leave Management'!$B:$B,Detail!K$1)</f>
        <v>0</v>
      </c>
      <c r="L108" s="7">
        <f>SUMIFS('Leave Management'!$L:$L,'Leave Management'!$C:$C,Detail!$A108,'Leave Management'!$B:$B,Detail!L$1)</f>
        <v>0</v>
      </c>
      <c r="M108" s="7">
        <f>SUMIFS('Leave Management'!$L:$L,'Leave Management'!$C:$C,Detail!$A108,'Leave Management'!$B:$B,Detail!M$1)</f>
        <v>0</v>
      </c>
      <c r="N108" s="7">
        <f>SUMIFS('Leave Management'!$L:$L,'Leave Management'!$C:$C,Detail!$A108,'Leave Management'!$B:$B,Detail!N$1)</f>
        <v>0</v>
      </c>
      <c r="O108" s="7">
        <f t="shared" si="4"/>
        <v>11</v>
      </c>
    </row>
    <row r="109" spans="1:15" x14ac:dyDescent="0.25">
      <c r="A109" s="24">
        <v>43207</v>
      </c>
      <c r="B109" s="2" t="str">
        <f t="shared" si="3"/>
        <v>Tue</v>
      </c>
      <c r="C109" s="7">
        <f>SUMIFS('Leave Management'!$L:$L,'Leave Management'!$C:$C,Detail!$A109,'Leave Management'!$B:$B,Detail!C$1)</f>
        <v>0</v>
      </c>
      <c r="D109" s="7">
        <f>SUMIFS('Leave Management'!$L:$L,'Leave Management'!$C:$C,Detail!$A109,'Leave Management'!$B:$B,Detail!D$1)</f>
        <v>0</v>
      </c>
      <c r="E109" s="7">
        <f>SUMIFS('Leave Management'!$L:$L,'Leave Management'!$C:$C,Detail!$A109,'Leave Management'!$B:$B,Detail!E$1)</f>
        <v>1</v>
      </c>
      <c r="F109" s="7">
        <f>SUMIFS('Leave Management'!$L:$L,'Leave Management'!$C:$C,Detail!$A109,'Leave Management'!$B:$B,Detail!F$1)</f>
        <v>0</v>
      </c>
      <c r="G109" s="7">
        <f>SUMIFS('Leave Management'!$L:$L,'Leave Management'!$C:$C,Detail!$A109,'Leave Management'!$B:$B,Detail!G$1)</f>
        <v>0</v>
      </c>
      <c r="H109" s="7">
        <f>SUMIFS('Leave Management'!$L:$L,'Leave Management'!$C:$C,Detail!$A109,'Leave Management'!$B:$B,Detail!H$1)</f>
        <v>0</v>
      </c>
      <c r="I109" s="7">
        <f>SUMIFS('Leave Management'!$L:$L,'Leave Management'!$C:$C,Detail!$A109,'Leave Management'!$B:$B,Detail!I$1)</f>
        <v>0</v>
      </c>
      <c r="J109" s="7">
        <f>SUMIFS('Leave Management'!$L:$L,'Leave Management'!$C:$C,Detail!$A109,'Leave Management'!$B:$B,Detail!J$1)</f>
        <v>0</v>
      </c>
      <c r="K109" s="7">
        <f>SUMIFS('Leave Management'!$L:$L,'Leave Management'!$C:$C,Detail!$A109,'Leave Management'!$B:$B,Detail!K$1)</f>
        <v>0</v>
      </c>
      <c r="L109" s="7">
        <f>SUMIFS('Leave Management'!$L:$L,'Leave Management'!$C:$C,Detail!$A109,'Leave Management'!$B:$B,Detail!L$1)</f>
        <v>0</v>
      </c>
      <c r="M109" s="7">
        <f>SUMIFS('Leave Management'!$L:$L,'Leave Management'!$C:$C,Detail!$A109,'Leave Management'!$B:$B,Detail!M$1)</f>
        <v>0</v>
      </c>
      <c r="N109" s="7">
        <f>SUMIFS('Leave Management'!$L:$L,'Leave Management'!$C:$C,Detail!$A109,'Leave Management'!$B:$B,Detail!N$1)</f>
        <v>0</v>
      </c>
      <c r="O109" s="7">
        <f t="shared" si="4"/>
        <v>11</v>
      </c>
    </row>
    <row r="110" spans="1:15" x14ac:dyDescent="0.25">
      <c r="A110" s="24">
        <v>43208</v>
      </c>
      <c r="B110" s="2" t="str">
        <f t="shared" si="3"/>
        <v>Wed</v>
      </c>
      <c r="C110" s="7">
        <f>SUMIFS('Leave Management'!$L:$L,'Leave Management'!$C:$C,Detail!$A110,'Leave Management'!$B:$B,Detail!C$1)</f>
        <v>0</v>
      </c>
      <c r="D110" s="7">
        <f>SUMIFS('Leave Management'!$L:$L,'Leave Management'!$C:$C,Detail!$A110,'Leave Management'!$B:$B,Detail!D$1)</f>
        <v>0</v>
      </c>
      <c r="E110" s="7">
        <f>SUMIFS('Leave Management'!$L:$L,'Leave Management'!$C:$C,Detail!$A110,'Leave Management'!$B:$B,Detail!E$1)</f>
        <v>0</v>
      </c>
      <c r="F110" s="7">
        <f>SUMIFS('Leave Management'!$L:$L,'Leave Management'!$C:$C,Detail!$A110,'Leave Management'!$B:$B,Detail!F$1)</f>
        <v>1</v>
      </c>
      <c r="G110" s="7">
        <f>SUMIFS('Leave Management'!$L:$L,'Leave Management'!$C:$C,Detail!$A110,'Leave Management'!$B:$B,Detail!G$1)</f>
        <v>0</v>
      </c>
      <c r="H110" s="7">
        <f>SUMIFS('Leave Management'!$L:$L,'Leave Management'!$C:$C,Detail!$A110,'Leave Management'!$B:$B,Detail!H$1)</f>
        <v>0</v>
      </c>
      <c r="I110" s="7">
        <f>SUMIFS('Leave Management'!$L:$L,'Leave Management'!$C:$C,Detail!$A110,'Leave Management'!$B:$B,Detail!I$1)</f>
        <v>0</v>
      </c>
      <c r="J110" s="7">
        <f>SUMIFS('Leave Management'!$L:$L,'Leave Management'!$C:$C,Detail!$A110,'Leave Management'!$B:$B,Detail!J$1)</f>
        <v>0</v>
      </c>
      <c r="K110" s="7">
        <f>SUMIFS('Leave Management'!$L:$L,'Leave Management'!$C:$C,Detail!$A110,'Leave Management'!$B:$B,Detail!K$1)</f>
        <v>0</v>
      </c>
      <c r="L110" s="7">
        <f>SUMIFS('Leave Management'!$L:$L,'Leave Management'!$C:$C,Detail!$A110,'Leave Management'!$B:$B,Detail!L$1)</f>
        <v>0</v>
      </c>
      <c r="M110" s="7">
        <f>SUMIFS('Leave Management'!$L:$L,'Leave Management'!$C:$C,Detail!$A110,'Leave Management'!$B:$B,Detail!M$1)</f>
        <v>0</v>
      </c>
      <c r="N110" s="7">
        <f>SUMIFS('Leave Management'!$L:$L,'Leave Management'!$C:$C,Detail!$A110,'Leave Management'!$B:$B,Detail!N$1)</f>
        <v>0</v>
      </c>
      <c r="O110" s="7">
        <f t="shared" si="4"/>
        <v>11</v>
      </c>
    </row>
    <row r="111" spans="1:15" x14ac:dyDescent="0.25">
      <c r="A111" s="24">
        <v>43209</v>
      </c>
      <c r="B111" s="2" t="str">
        <f t="shared" si="3"/>
        <v>Thu</v>
      </c>
      <c r="C111" s="7">
        <f>SUMIFS('Leave Management'!$L:$L,'Leave Management'!$C:$C,Detail!$A111,'Leave Management'!$B:$B,Detail!C$1)</f>
        <v>0</v>
      </c>
      <c r="D111" s="7">
        <f>SUMIFS('Leave Management'!$L:$L,'Leave Management'!$C:$C,Detail!$A111,'Leave Management'!$B:$B,Detail!D$1)</f>
        <v>0</v>
      </c>
      <c r="E111" s="7">
        <f>SUMIFS('Leave Management'!$L:$L,'Leave Management'!$C:$C,Detail!$A111,'Leave Management'!$B:$B,Detail!E$1)</f>
        <v>0</v>
      </c>
      <c r="F111" s="7">
        <f>SUMIFS('Leave Management'!$L:$L,'Leave Management'!$C:$C,Detail!$A111,'Leave Management'!$B:$B,Detail!F$1)</f>
        <v>1</v>
      </c>
      <c r="G111" s="7">
        <f>SUMIFS('Leave Management'!$L:$L,'Leave Management'!$C:$C,Detail!$A111,'Leave Management'!$B:$B,Detail!G$1)</f>
        <v>0</v>
      </c>
      <c r="H111" s="7">
        <f>SUMIFS('Leave Management'!$L:$L,'Leave Management'!$C:$C,Detail!$A111,'Leave Management'!$B:$B,Detail!H$1)</f>
        <v>0</v>
      </c>
      <c r="I111" s="7">
        <f>SUMIFS('Leave Management'!$L:$L,'Leave Management'!$C:$C,Detail!$A111,'Leave Management'!$B:$B,Detail!I$1)</f>
        <v>0</v>
      </c>
      <c r="J111" s="7">
        <f>SUMIFS('Leave Management'!$L:$L,'Leave Management'!$C:$C,Detail!$A111,'Leave Management'!$B:$B,Detail!J$1)</f>
        <v>0</v>
      </c>
      <c r="K111" s="7">
        <f>SUMIFS('Leave Management'!$L:$L,'Leave Management'!$C:$C,Detail!$A111,'Leave Management'!$B:$B,Detail!K$1)</f>
        <v>0</v>
      </c>
      <c r="L111" s="7">
        <f>SUMIFS('Leave Management'!$L:$L,'Leave Management'!$C:$C,Detail!$A111,'Leave Management'!$B:$B,Detail!L$1)</f>
        <v>0</v>
      </c>
      <c r="M111" s="7">
        <f>SUMIFS('Leave Management'!$L:$L,'Leave Management'!$C:$C,Detail!$A111,'Leave Management'!$B:$B,Detail!M$1)</f>
        <v>0</v>
      </c>
      <c r="N111" s="7">
        <f>SUMIFS('Leave Management'!$L:$L,'Leave Management'!$C:$C,Detail!$A111,'Leave Management'!$B:$B,Detail!N$1)</f>
        <v>0</v>
      </c>
      <c r="O111" s="7">
        <f t="shared" si="4"/>
        <v>11</v>
      </c>
    </row>
    <row r="112" spans="1:15" x14ac:dyDescent="0.25">
      <c r="A112" s="24">
        <v>43210</v>
      </c>
      <c r="B112" s="2" t="str">
        <f t="shared" si="3"/>
        <v>Fri</v>
      </c>
      <c r="C112" s="7">
        <f>SUMIFS('Leave Management'!$L:$L,'Leave Management'!$C:$C,Detail!$A112,'Leave Management'!$B:$B,Detail!C$1)</f>
        <v>1</v>
      </c>
      <c r="D112" s="7">
        <f>SUMIFS('Leave Management'!$L:$L,'Leave Management'!$C:$C,Detail!$A112,'Leave Management'!$B:$B,Detail!D$1)</f>
        <v>0</v>
      </c>
      <c r="E112" s="7">
        <f>SUMIFS('Leave Management'!$L:$L,'Leave Management'!$C:$C,Detail!$A112,'Leave Management'!$B:$B,Detail!E$1)</f>
        <v>0</v>
      </c>
      <c r="F112" s="7">
        <f>SUMIFS('Leave Management'!$L:$L,'Leave Management'!$C:$C,Detail!$A112,'Leave Management'!$B:$B,Detail!F$1)</f>
        <v>1</v>
      </c>
      <c r="G112" s="7">
        <f>SUMIFS('Leave Management'!$L:$L,'Leave Management'!$C:$C,Detail!$A112,'Leave Management'!$B:$B,Detail!G$1)</f>
        <v>0</v>
      </c>
      <c r="H112" s="7">
        <f>SUMIFS('Leave Management'!$L:$L,'Leave Management'!$C:$C,Detail!$A112,'Leave Management'!$B:$B,Detail!H$1)</f>
        <v>0</v>
      </c>
      <c r="I112" s="7">
        <f>SUMIFS('Leave Management'!$L:$L,'Leave Management'!$C:$C,Detail!$A112,'Leave Management'!$B:$B,Detail!I$1)</f>
        <v>0</v>
      </c>
      <c r="J112" s="7">
        <f>SUMIFS('Leave Management'!$L:$L,'Leave Management'!$C:$C,Detail!$A112,'Leave Management'!$B:$B,Detail!J$1)</f>
        <v>0</v>
      </c>
      <c r="K112" s="7">
        <f>SUMIFS('Leave Management'!$L:$L,'Leave Management'!$C:$C,Detail!$A112,'Leave Management'!$B:$B,Detail!K$1)</f>
        <v>0</v>
      </c>
      <c r="L112" s="7">
        <f>SUMIFS('Leave Management'!$L:$L,'Leave Management'!$C:$C,Detail!$A112,'Leave Management'!$B:$B,Detail!L$1)</f>
        <v>0</v>
      </c>
      <c r="M112" s="7">
        <f>SUMIFS('Leave Management'!$L:$L,'Leave Management'!$C:$C,Detail!$A112,'Leave Management'!$B:$B,Detail!M$1)</f>
        <v>0</v>
      </c>
      <c r="N112" s="7">
        <f>SUMIFS('Leave Management'!$L:$L,'Leave Management'!$C:$C,Detail!$A112,'Leave Management'!$B:$B,Detail!N$1)</f>
        <v>0</v>
      </c>
      <c r="O112" s="7">
        <f t="shared" si="4"/>
        <v>10</v>
      </c>
    </row>
    <row r="113" spans="1:15" x14ac:dyDescent="0.25">
      <c r="A113" s="24">
        <v>43211</v>
      </c>
      <c r="B113" s="2" t="str">
        <f t="shared" si="3"/>
        <v>Sat</v>
      </c>
      <c r="C113" s="7">
        <f>SUMIFS('Leave Management'!$L:$L,'Leave Management'!$C:$C,Detail!$A113,'Leave Management'!$B:$B,Detail!C$1)</f>
        <v>0</v>
      </c>
      <c r="D113" s="7">
        <f>SUMIFS('Leave Management'!$L:$L,'Leave Management'!$C:$C,Detail!$A113,'Leave Management'!$B:$B,Detail!D$1)</f>
        <v>0</v>
      </c>
      <c r="E113" s="7">
        <f>SUMIFS('Leave Management'!$L:$L,'Leave Management'!$C:$C,Detail!$A113,'Leave Management'!$B:$B,Detail!E$1)</f>
        <v>0</v>
      </c>
      <c r="F113" s="7">
        <f>SUMIFS('Leave Management'!$L:$L,'Leave Management'!$C:$C,Detail!$A113,'Leave Management'!$B:$B,Detail!F$1)</f>
        <v>0</v>
      </c>
      <c r="G113" s="7">
        <f>SUMIFS('Leave Management'!$L:$L,'Leave Management'!$C:$C,Detail!$A113,'Leave Management'!$B:$B,Detail!G$1)</f>
        <v>0</v>
      </c>
      <c r="H113" s="7">
        <f>SUMIFS('Leave Management'!$L:$L,'Leave Management'!$C:$C,Detail!$A113,'Leave Management'!$B:$B,Detail!H$1)</f>
        <v>0</v>
      </c>
      <c r="I113" s="7">
        <f>SUMIFS('Leave Management'!$L:$L,'Leave Management'!$C:$C,Detail!$A113,'Leave Management'!$B:$B,Detail!I$1)</f>
        <v>0</v>
      </c>
      <c r="J113" s="7">
        <f>SUMIFS('Leave Management'!$L:$L,'Leave Management'!$C:$C,Detail!$A113,'Leave Management'!$B:$B,Detail!J$1)</f>
        <v>0</v>
      </c>
      <c r="K113" s="7">
        <f>SUMIFS('Leave Management'!$L:$L,'Leave Management'!$C:$C,Detail!$A113,'Leave Management'!$B:$B,Detail!K$1)</f>
        <v>0</v>
      </c>
      <c r="L113" s="7">
        <f>SUMIFS('Leave Management'!$L:$L,'Leave Management'!$C:$C,Detail!$A113,'Leave Management'!$B:$B,Detail!L$1)</f>
        <v>0</v>
      </c>
      <c r="M113" s="7">
        <f>SUMIFS('Leave Management'!$L:$L,'Leave Management'!$C:$C,Detail!$A113,'Leave Management'!$B:$B,Detail!M$1)</f>
        <v>0</v>
      </c>
      <c r="N113" s="7">
        <f>SUMIFS('Leave Management'!$L:$L,'Leave Management'!$C:$C,Detail!$A113,'Leave Management'!$B:$B,Detail!N$1)</f>
        <v>0</v>
      </c>
      <c r="O113" s="7">
        <f t="shared" si="4"/>
        <v>12</v>
      </c>
    </row>
    <row r="114" spans="1:15" x14ac:dyDescent="0.25">
      <c r="A114" s="24">
        <v>43212</v>
      </c>
      <c r="B114" s="2" t="str">
        <f t="shared" si="3"/>
        <v>Sun</v>
      </c>
      <c r="C114" s="7">
        <f>SUMIFS('Leave Management'!$L:$L,'Leave Management'!$C:$C,Detail!$A114,'Leave Management'!$B:$B,Detail!C$1)</f>
        <v>0</v>
      </c>
      <c r="D114" s="7">
        <f>SUMIFS('Leave Management'!$L:$L,'Leave Management'!$C:$C,Detail!$A114,'Leave Management'!$B:$B,Detail!D$1)</f>
        <v>0</v>
      </c>
      <c r="E114" s="7">
        <f>SUMIFS('Leave Management'!$L:$L,'Leave Management'!$C:$C,Detail!$A114,'Leave Management'!$B:$B,Detail!E$1)</f>
        <v>0</v>
      </c>
      <c r="F114" s="7">
        <f>SUMIFS('Leave Management'!$L:$L,'Leave Management'!$C:$C,Detail!$A114,'Leave Management'!$B:$B,Detail!F$1)</f>
        <v>0</v>
      </c>
      <c r="G114" s="7">
        <f>SUMIFS('Leave Management'!$L:$L,'Leave Management'!$C:$C,Detail!$A114,'Leave Management'!$B:$B,Detail!G$1)</f>
        <v>0</v>
      </c>
      <c r="H114" s="7">
        <f>SUMIFS('Leave Management'!$L:$L,'Leave Management'!$C:$C,Detail!$A114,'Leave Management'!$B:$B,Detail!H$1)</f>
        <v>0</v>
      </c>
      <c r="I114" s="7">
        <f>SUMIFS('Leave Management'!$L:$L,'Leave Management'!$C:$C,Detail!$A114,'Leave Management'!$B:$B,Detail!I$1)</f>
        <v>0</v>
      </c>
      <c r="J114" s="7">
        <f>SUMIFS('Leave Management'!$L:$L,'Leave Management'!$C:$C,Detail!$A114,'Leave Management'!$B:$B,Detail!J$1)</f>
        <v>0</v>
      </c>
      <c r="K114" s="7">
        <f>SUMIFS('Leave Management'!$L:$L,'Leave Management'!$C:$C,Detail!$A114,'Leave Management'!$B:$B,Detail!K$1)</f>
        <v>0</v>
      </c>
      <c r="L114" s="7">
        <f>SUMIFS('Leave Management'!$L:$L,'Leave Management'!$C:$C,Detail!$A114,'Leave Management'!$B:$B,Detail!L$1)</f>
        <v>0</v>
      </c>
      <c r="M114" s="7">
        <f>SUMIFS('Leave Management'!$L:$L,'Leave Management'!$C:$C,Detail!$A114,'Leave Management'!$B:$B,Detail!M$1)</f>
        <v>0</v>
      </c>
      <c r="N114" s="7">
        <f>SUMIFS('Leave Management'!$L:$L,'Leave Management'!$C:$C,Detail!$A114,'Leave Management'!$B:$B,Detail!N$1)</f>
        <v>0</v>
      </c>
      <c r="O114" s="7">
        <f t="shared" si="4"/>
        <v>12</v>
      </c>
    </row>
    <row r="115" spans="1:15" x14ac:dyDescent="0.25">
      <c r="A115" s="24">
        <v>43213</v>
      </c>
      <c r="B115" s="2" t="str">
        <f t="shared" si="3"/>
        <v>Mon</v>
      </c>
      <c r="C115" s="7">
        <f>SUMIFS('Leave Management'!$L:$L,'Leave Management'!$C:$C,Detail!$A115,'Leave Management'!$B:$B,Detail!C$1)</f>
        <v>0</v>
      </c>
      <c r="D115" s="7">
        <f>SUMIFS('Leave Management'!$L:$L,'Leave Management'!$C:$C,Detail!$A115,'Leave Management'!$B:$B,Detail!D$1)</f>
        <v>1</v>
      </c>
      <c r="E115" s="7">
        <f>SUMIFS('Leave Management'!$L:$L,'Leave Management'!$C:$C,Detail!$A115,'Leave Management'!$B:$B,Detail!E$1)</f>
        <v>0</v>
      </c>
      <c r="F115" s="7">
        <f>SUMIFS('Leave Management'!$L:$L,'Leave Management'!$C:$C,Detail!$A115,'Leave Management'!$B:$B,Detail!F$1)</f>
        <v>0</v>
      </c>
      <c r="G115" s="7">
        <f>SUMIFS('Leave Management'!$L:$L,'Leave Management'!$C:$C,Detail!$A115,'Leave Management'!$B:$B,Detail!G$1)</f>
        <v>0</v>
      </c>
      <c r="H115" s="7">
        <f>SUMIFS('Leave Management'!$L:$L,'Leave Management'!$C:$C,Detail!$A115,'Leave Management'!$B:$B,Detail!H$1)</f>
        <v>0</v>
      </c>
      <c r="I115" s="7">
        <f>SUMIFS('Leave Management'!$L:$L,'Leave Management'!$C:$C,Detail!$A115,'Leave Management'!$B:$B,Detail!I$1)</f>
        <v>0</v>
      </c>
      <c r="J115" s="7">
        <f>SUMIFS('Leave Management'!$L:$L,'Leave Management'!$C:$C,Detail!$A115,'Leave Management'!$B:$B,Detail!J$1)</f>
        <v>0</v>
      </c>
      <c r="K115" s="7">
        <f>SUMIFS('Leave Management'!$L:$L,'Leave Management'!$C:$C,Detail!$A115,'Leave Management'!$B:$B,Detail!K$1)</f>
        <v>0</v>
      </c>
      <c r="L115" s="7">
        <f>SUMIFS('Leave Management'!$L:$L,'Leave Management'!$C:$C,Detail!$A115,'Leave Management'!$B:$B,Detail!L$1)</f>
        <v>0</v>
      </c>
      <c r="M115" s="7">
        <f>SUMIFS('Leave Management'!$L:$L,'Leave Management'!$C:$C,Detail!$A115,'Leave Management'!$B:$B,Detail!M$1)</f>
        <v>0</v>
      </c>
      <c r="N115" s="7">
        <f>SUMIFS('Leave Management'!$L:$L,'Leave Management'!$C:$C,Detail!$A115,'Leave Management'!$B:$B,Detail!N$1)</f>
        <v>0</v>
      </c>
      <c r="O115" s="7">
        <f t="shared" si="4"/>
        <v>11</v>
      </c>
    </row>
    <row r="116" spans="1:15" x14ac:dyDescent="0.25">
      <c r="A116" s="24">
        <v>43214</v>
      </c>
      <c r="B116" s="2" t="str">
        <f t="shared" si="3"/>
        <v>Tue</v>
      </c>
      <c r="C116" s="7">
        <f>SUMIFS('Leave Management'!$L:$L,'Leave Management'!$C:$C,Detail!$A116,'Leave Management'!$B:$B,Detail!C$1)</f>
        <v>0</v>
      </c>
      <c r="D116" s="7">
        <f>SUMIFS('Leave Management'!$L:$L,'Leave Management'!$C:$C,Detail!$A116,'Leave Management'!$B:$B,Detail!D$1)</f>
        <v>1</v>
      </c>
      <c r="E116" s="7">
        <f>SUMIFS('Leave Management'!$L:$L,'Leave Management'!$C:$C,Detail!$A116,'Leave Management'!$B:$B,Detail!E$1)</f>
        <v>0</v>
      </c>
      <c r="F116" s="7">
        <f>SUMIFS('Leave Management'!$L:$L,'Leave Management'!$C:$C,Detail!$A116,'Leave Management'!$B:$B,Detail!F$1)</f>
        <v>0</v>
      </c>
      <c r="G116" s="7">
        <f>SUMIFS('Leave Management'!$L:$L,'Leave Management'!$C:$C,Detail!$A116,'Leave Management'!$B:$B,Detail!G$1)</f>
        <v>0</v>
      </c>
      <c r="H116" s="7">
        <f>SUMIFS('Leave Management'!$L:$L,'Leave Management'!$C:$C,Detail!$A116,'Leave Management'!$B:$B,Detail!H$1)</f>
        <v>0</v>
      </c>
      <c r="I116" s="7">
        <f>SUMIFS('Leave Management'!$L:$L,'Leave Management'!$C:$C,Detail!$A116,'Leave Management'!$B:$B,Detail!I$1)</f>
        <v>0</v>
      </c>
      <c r="J116" s="7">
        <f>SUMIFS('Leave Management'!$L:$L,'Leave Management'!$C:$C,Detail!$A116,'Leave Management'!$B:$B,Detail!J$1)</f>
        <v>0</v>
      </c>
      <c r="K116" s="7">
        <f>SUMIFS('Leave Management'!$L:$L,'Leave Management'!$C:$C,Detail!$A116,'Leave Management'!$B:$B,Detail!K$1)</f>
        <v>0</v>
      </c>
      <c r="L116" s="7">
        <f>SUMIFS('Leave Management'!$L:$L,'Leave Management'!$C:$C,Detail!$A116,'Leave Management'!$B:$B,Detail!L$1)</f>
        <v>0</v>
      </c>
      <c r="M116" s="7">
        <f>SUMIFS('Leave Management'!$L:$L,'Leave Management'!$C:$C,Detail!$A116,'Leave Management'!$B:$B,Detail!M$1)</f>
        <v>0</v>
      </c>
      <c r="N116" s="7">
        <f>SUMIFS('Leave Management'!$L:$L,'Leave Management'!$C:$C,Detail!$A116,'Leave Management'!$B:$B,Detail!N$1)</f>
        <v>0</v>
      </c>
      <c r="O116" s="7">
        <f t="shared" si="4"/>
        <v>11</v>
      </c>
    </row>
    <row r="117" spans="1:15" x14ac:dyDescent="0.25">
      <c r="A117" s="24">
        <v>43215</v>
      </c>
      <c r="B117" s="2" t="str">
        <f t="shared" si="3"/>
        <v>Wed</v>
      </c>
      <c r="C117" s="7">
        <f>SUMIFS('Leave Management'!$L:$L,'Leave Management'!$C:$C,Detail!$A117,'Leave Management'!$B:$B,Detail!C$1)</f>
        <v>0</v>
      </c>
      <c r="D117" s="7">
        <f>SUMIFS('Leave Management'!$L:$L,'Leave Management'!$C:$C,Detail!$A117,'Leave Management'!$B:$B,Detail!D$1)</f>
        <v>0</v>
      </c>
      <c r="E117" s="7">
        <f>SUMIFS('Leave Management'!$L:$L,'Leave Management'!$C:$C,Detail!$A117,'Leave Management'!$B:$B,Detail!E$1)</f>
        <v>0</v>
      </c>
      <c r="F117" s="7">
        <f>SUMIFS('Leave Management'!$L:$L,'Leave Management'!$C:$C,Detail!$A117,'Leave Management'!$B:$B,Detail!F$1)</f>
        <v>0</v>
      </c>
      <c r="G117" s="7">
        <f>SUMIFS('Leave Management'!$L:$L,'Leave Management'!$C:$C,Detail!$A117,'Leave Management'!$B:$B,Detail!G$1)</f>
        <v>0</v>
      </c>
      <c r="H117" s="7">
        <f>SUMIFS('Leave Management'!$L:$L,'Leave Management'!$C:$C,Detail!$A117,'Leave Management'!$B:$B,Detail!H$1)</f>
        <v>0</v>
      </c>
      <c r="I117" s="7">
        <f>SUMIFS('Leave Management'!$L:$L,'Leave Management'!$C:$C,Detail!$A117,'Leave Management'!$B:$B,Detail!I$1)</f>
        <v>0</v>
      </c>
      <c r="J117" s="7">
        <f>SUMIFS('Leave Management'!$L:$L,'Leave Management'!$C:$C,Detail!$A117,'Leave Management'!$B:$B,Detail!J$1)</f>
        <v>0</v>
      </c>
      <c r="K117" s="7">
        <f>SUMIFS('Leave Management'!$L:$L,'Leave Management'!$C:$C,Detail!$A117,'Leave Management'!$B:$B,Detail!K$1)</f>
        <v>0</v>
      </c>
      <c r="L117" s="7">
        <f>SUMIFS('Leave Management'!$L:$L,'Leave Management'!$C:$C,Detail!$A117,'Leave Management'!$B:$B,Detail!L$1)</f>
        <v>0</v>
      </c>
      <c r="M117" s="7">
        <f>SUMIFS('Leave Management'!$L:$L,'Leave Management'!$C:$C,Detail!$A117,'Leave Management'!$B:$B,Detail!M$1)</f>
        <v>0</v>
      </c>
      <c r="N117" s="7">
        <f>SUMIFS('Leave Management'!$L:$L,'Leave Management'!$C:$C,Detail!$A117,'Leave Management'!$B:$B,Detail!N$1)</f>
        <v>0</v>
      </c>
      <c r="O117" s="7">
        <f t="shared" si="4"/>
        <v>12</v>
      </c>
    </row>
    <row r="118" spans="1:15" x14ac:dyDescent="0.25">
      <c r="A118" s="24">
        <v>43216</v>
      </c>
      <c r="B118" s="2" t="str">
        <f t="shared" si="3"/>
        <v>Thu</v>
      </c>
      <c r="C118" s="7">
        <f>SUMIFS('Leave Management'!$L:$L,'Leave Management'!$C:$C,Detail!$A118,'Leave Management'!$B:$B,Detail!C$1)</f>
        <v>0</v>
      </c>
      <c r="D118" s="7">
        <f>SUMIFS('Leave Management'!$L:$L,'Leave Management'!$C:$C,Detail!$A118,'Leave Management'!$B:$B,Detail!D$1)</f>
        <v>0</v>
      </c>
      <c r="E118" s="7">
        <f>SUMIFS('Leave Management'!$L:$L,'Leave Management'!$C:$C,Detail!$A118,'Leave Management'!$B:$B,Detail!E$1)</f>
        <v>0</v>
      </c>
      <c r="F118" s="7">
        <f>SUMIFS('Leave Management'!$L:$L,'Leave Management'!$C:$C,Detail!$A118,'Leave Management'!$B:$B,Detail!F$1)</f>
        <v>0</v>
      </c>
      <c r="G118" s="7">
        <f>SUMIFS('Leave Management'!$L:$L,'Leave Management'!$C:$C,Detail!$A118,'Leave Management'!$B:$B,Detail!G$1)</f>
        <v>0</v>
      </c>
      <c r="H118" s="7">
        <f>SUMIFS('Leave Management'!$L:$L,'Leave Management'!$C:$C,Detail!$A118,'Leave Management'!$B:$B,Detail!H$1)</f>
        <v>0</v>
      </c>
      <c r="I118" s="7">
        <f>SUMIFS('Leave Management'!$L:$L,'Leave Management'!$C:$C,Detail!$A118,'Leave Management'!$B:$B,Detail!I$1)</f>
        <v>0</v>
      </c>
      <c r="J118" s="7">
        <f>SUMIFS('Leave Management'!$L:$L,'Leave Management'!$C:$C,Detail!$A118,'Leave Management'!$B:$B,Detail!J$1)</f>
        <v>0</v>
      </c>
      <c r="K118" s="7">
        <f>SUMIFS('Leave Management'!$L:$L,'Leave Management'!$C:$C,Detail!$A118,'Leave Management'!$B:$B,Detail!K$1)</f>
        <v>0</v>
      </c>
      <c r="L118" s="7">
        <f>SUMIFS('Leave Management'!$L:$L,'Leave Management'!$C:$C,Detail!$A118,'Leave Management'!$B:$B,Detail!L$1)</f>
        <v>0</v>
      </c>
      <c r="M118" s="7">
        <f>SUMIFS('Leave Management'!$L:$L,'Leave Management'!$C:$C,Detail!$A118,'Leave Management'!$B:$B,Detail!M$1)</f>
        <v>0</v>
      </c>
      <c r="N118" s="7">
        <f>SUMIFS('Leave Management'!$L:$L,'Leave Management'!$C:$C,Detail!$A118,'Leave Management'!$B:$B,Detail!N$1)</f>
        <v>0</v>
      </c>
      <c r="O118" s="7">
        <f t="shared" si="4"/>
        <v>12</v>
      </c>
    </row>
    <row r="119" spans="1:15" x14ac:dyDescent="0.25">
      <c r="A119" s="24">
        <v>43217</v>
      </c>
      <c r="B119" s="2" t="str">
        <f t="shared" si="3"/>
        <v>Fri</v>
      </c>
      <c r="C119" s="7">
        <f>SUMIFS('Leave Management'!$L:$L,'Leave Management'!$C:$C,Detail!$A119,'Leave Management'!$B:$B,Detail!C$1)</f>
        <v>0</v>
      </c>
      <c r="D119" s="7">
        <f>SUMIFS('Leave Management'!$L:$L,'Leave Management'!$C:$C,Detail!$A119,'Leave Management'!$B:$B,Detail!D$1)</f>
        <v>0</v>
      </c>
      <c r="E119" s="7">
        <f>SUMIFS('Leave Management'!$L:$L,'Leave Management'!$C:$C,Detail!$A119,'Leave Management'!$B:$B,Detail!E$1)</f>
        <v>0</v>
      </c>
      <c r="F119" s="7">
        <f>SUMIFS('Leave Management'!$L:$L,'Leave Management'!$C:$C,Detail!$A119,'Leave Management'!$B:$B,Detail!F$1)</f>
        <v>0</v>
      </c>
      <c r="G119" s="7">
        <f>SUMIFS('Leave Management'!$L:$L,'Leave Management'!$C:$C,Detail!$A119,'Leave Management'!$B:$B,Detail!G$1)</f>
        <v>0</v>
      </c>
      <c r="H119" s="7">
        <f>SUMIFS('Leave Management'!$L:$L,'Leave Management'!$C:$C,Detail!$A119,'Leave Management'!$B:$B,Detail!H$1)</f>
        <v>0</v>
      </c>
      <c r="I119" s="7">
        <f>SUMIFS('Leave Management'!$L:$L,'Leave Management'!$C:$C,Detail!$A119,'Leave Management'!$B:$B,Detail!I$1)</f>
        <v>0</v>
      </c>
      <c r="J119" s="7">
        <f>SUMIFS('Leave Management'!$L:$L,'Leave Management'!$C:$C,Detail!$A119,'Leave Management'!$B:$B,Detail!J$1)</f>
        <v>0</v>
      </c>
      <c r="K119" s="7">
        <f>SUMIFS('Leave Management'!$L:$L,'Leave Management'!$C:$C,Detail!$A119,'Leave Management'!$B:$B,Detail!K$1)</f>
        <v>0</v>
      </c>
      <c r="L119" s="7">
        <f>SUMIFS('Leave Management'!$L:$L,'Leave Management'!$C:$C,Detail!$A119,'Leave Management'!$B:$B,Detail!L$1)</f>
        <v>0</v>
      </c>
      <c r="M119" s="7">
        <f>SUMIFS('Leave Management'!$L:$L,'Leave Management'!$C:$C,Detail!$A119,'Leave Management'!$B:$B,Detail!M$1)</f>
        <v>0</v>
      </c>
      <c r="N119" s="7">
        <f>SUMIFS('Leave Management'!$L:$L,'Leave Management'!$C:$C,Detail!$A119,'Leave Management'!$B:$B,Detail!N$1)</f>
        <v>0</v>
      </c>
      <c r="O119" s="7">
        <f t="shared" si="4"/>
        <v>12</v>
      </c>
    </row>
    <row r="120" spans="1:15" x14ac:dyDescent="0.25">
      <c r="A120" s="24">
        <v>43218</v>
      </c>
      <c r="B120" s="2" t="str">
        <f t="shared" si="3"/>
        <v>Sat</v>
      </c>
      <c r="C120" s="7">
        <f>SUMIFS('Leave Management'!$L:$L,'Leave Management'!$C:$C,Detail!$A120,'Leave Management'!$B:$B,Detail!C$1)</f>
        <v>0</v>
      </c>
      <c r="D120" s="7">
        <f>SUMIFS('Leave Management'!$L:$L,'Leave Management'!$C:$C,Detail!$A120,'Leave Management'!$B:$B,Detail!D$1)</f>
        <v>0</v>
      </c>
      <c r="E120" s="7">
        <f>SUMIFS('Leave Management'!$L:$L,'Leave Management'!$C:$C,Detail!$A120,'Leave Management'!$B:$B,Detail!E$1)</f>
        <v>1</v>
      </c>
      <c r="F120" s="7">
        <f>SUMIFS('Leave Management'!$L:$L,'Leave Management'!$C:$C,Detail!$A120,'Leave Management'!$B:$B,Detail!F$1)</f>
        <v>1</v>
      </c>
      <c r="G120" s="7">
        <f>SUMIFS('Leave Management'!$L:$L,'Leave Management'!$C:$C,Detail!$A120,'Leave Management'!$B:$B,Detail!G$1)</f>
        <v>0</v>
      </c>
      <c r="H120" s="7">
        <f>SUMIFS('Leave Management'!$L:$L,'Leave Management'!$C:$C,Detail!$A120,'Leave Management'!$B:$B,Detail!H$1)</f>
        <v>0</v>
      </c>
      <c r="I120" s="7">
        <f>SUMIFS('Leave Management'!$L:$L,'Leave Management'!$C:$C,Detail!$A120,'Leave Management'!$B:$B,Detail!I$1)</f>
        <v>0</v>
      </c>
      <c r="J120" s="7">
        <f>SUMIFS('Leave Management'!$L:$L,'Leave Management'!$C:$C,Detail!$A120,'Leave Management'!$B:$B,Detail!J$1)</f>
        <v>0</v>
      </c>
      <c r="K120" s="7">
        <f>SUMIFS('Leave Management'!$L:$L,'Leave Management'!$C:$C,Detail!$A120,'Leave Management'!$B:$B,Detail!K$1)</f>
        <v>0</v>
      </c>
      <c r="L120" s="7">
        <f>SUMIFS('Leave Management'!$L:$L,'Leave Management'!$C:$C,Detail!$A120,'Leave Management'!$B:$B,Detail!L$1)</f>
        <v>0</v>
      </c>
      <c r="M120" s="7">
        <f>SUMIFS('Leave Management'!$L:$L,'Leave Management'!$C:$C,Detail!$A120,'Leave Management'!$B:$B,Detail!M$1)</f>
        <v>0</v>
      </c>
      <c r="N120" s="7">
        <f>SUMIFS('Leave Management'!$L:$L,'Leave Management'!$C:$C,Detail!$A120,'Leave Management'!$B:$B,Detail!N$1)</f>
        <v>0</v>
      </c>
      <c r="O120" s="7">
        <f t="shared" si="4"/>
        <v>10</v>
      </c>
    </row>
    <row r="121" spans="1:15" x14ac:dyDescent="0.25">
      <c r="A121" s="24">
        <v>43219</v>
      </c>
      <c r="B121" s="2" t="str">
        <f t="shared" si="3"/>
        <v>Sun</v>
      </c>
      <c r="C121" s="7">
        <f>SUMIFS('Leave Management'!$L:$L,'Leave Management'!$C:$C,Detail!$A121,'Leave Management'!$B:$B,Detail!C$1)</f>
        <v>0</v>
      </c>
      <c r="D121" s="7">
        <f>SUMIFS('Leave Management'!$L:$L,'Leave Management'!$C:$C,Detail!$A121,'Leave Management'!$B:$B,Detail!D$1)</f>
        <v>0</v>
      </c>
      <c r="E121" s="7">
        <f>SUMIFS('Leave Management'!$L:$L,'Leave Management'!$C:$C,Detail!$A121,'Leave Management'!$B:$B,Detail!E$1)</f>
        <v>0</v>
      </c>
      <c r="F121" s="7">
        <f>SUMIFS('Leave Management'!$L:$L,'Leave Management'!$C:$C,Detail!$A121,'Leave Management'!$B:$B,Detail!F$1)</f>
        <v>0</v>
      </c>
      <c r="G121" s="7">
        <f>SUMIFS('Leave Management'!$L:$L,'Leave Management'!$C:$C,Detail!$A121,'Leave Management'!$B:$B,Detail!G$1)</f>
        <v>0</v>
      </c>
      <c r="H121" s="7">
        <f>SUMIFS('Leave Management'!$L:$L,'Leave Management'!$C:$C,Detail!$A121,'Leave Management'!$B:$B,Detail!H$1)</f>
        <v>0</v>
      </c>
      <c r="I121" s="7">
        <f>SUMIFS('Leave Management'!$L:$L,'Leave Management'!$C:$C,Detail!$A121,'Leave Management'!$B:$B,Detail!I$1)</f>
        <v>0</v>
      </c>
      <c r="J121" s="7">
        <f>SUMIFS('Leave Management'!$L:$L,'Leave Management'!$C:$C,Detail!$A121,'Leave Management'!$B:$B,Detail!J$1)</f>
        <v>0</v>
      </c>
      <c r="K121" s="7">
        <f>SUMIFS('Leave Management'!$L:$L,'Leave Management'!$C:$C,Detail!$A121,'Leave Management'!$B:$B,Detail!K$1)</f>
        <v>0</v>
      </c>
      <c r="L121" s="7">
        <f>SUMIFS('Leave Management'!$L:$L,'Leave Management'!$C:$C,Detail!$A121,'Leave Management'!$B:$B,Detail!L$1)</f>
        <v>0</v>
      </c>
      <c r="M121" s="7">
        <f>SUMIFS('Leave Management'!$L:$L,'Leave Management'!$C:$C,Detail!$A121,'Leave Management'!$B:$B,Detail!M$1)</f>
        <v>0</v>
      </c>
      <c r="N121" s="7">
        <f>SUMIFS('Leave Management'!$L:$L,'Leave Management'!$C:$C,Detail!$A121,'Leave Management'!$B:$B,Detail!N$1)</f>
        <v>0</v>
      </c>
      <c r="O121" s="7">
        <f t="shared" si="4"/>
        <v>12</v>
      </c>
    </row>
    <row r="122" spans="1:15" x14ac:dyDescent="0.25">
      <c r="A122" s="24">
        <v>43220</v>
      </c>
      <c r="B122" s="2" t="str">
        <f t="shared" si="3"/>
        <v>Mon</v>
      </c>
      <c r="C122" s="7">
        <f>SUMIFS('Leave Management'!$L:$L,'Leave Management'!$C:$C,Detail!$A122,'Leave Management'!$B:$B,Detail!C$1)</f>
        <v>0</v>
      </c>
      <c r="D122" s="7">
        <f>SUMIFS('Leave Management'!$L:$L,'Leave Management'!$C:$C,Detail!$A122,'Leave Management'!$B:$B,Detail!D$1)</f>
        <v>0</v>
      </c>
      <c r="E122" s="7">
        <f>SUMIFS('Leave Management'!$L:$L,'Leave Management'!$C:$C,Detail!$A122,'Leave Management'!$B:$B,Detail!E$1)</f>
        <v>0</v>
      </c>
      <c r="F122" s="7">
        <f>SUMIFS('Leave Management'!$L:$L,'Leave Management'!$C:$C,Detail!$A122,'Leave Management'!$B:$B,Detail!F$1)</f>
        <v>0</v>
      </c>
      <c r="G122" s="7">
        <f>SUMIFS('Leave Management'!$L:$L,'Leave Management'!$C:$C,Detail!$A122,'Leave Management'!$B:$B,Detail!G$1)</f>
        <v>0</v>
      </c>
      <c r="H122" s="7">
        <f>SUMIFS('Leave Management'!$L:$L,'Leave Management'!$C:$C,Detail!$A122,'Leave Management'!$B:$B,Detail!H$1)</f>
        <v>0</v>
      </c>
      <c r="I122" s="7">
        <f>SUMIFS('Leave Management'!$L:$L,'Leave Management'!$C:$C,Detail!$A122,'Leave Management'!$B:$B,Detail!I$1)</f>
        <v>0</v>
      </c>
      <c r="J122" s="7">
        <f>SUMIFS('Leave Management'!$L:$L,'Leave Management'!$C:$C,Detail!$A122,'Leave Management'!$B:$B,Detail!J$1)</f>
        <v>0</v>
      </c>
      <c r="K122" s="7">
        <f>SUMIFS('Leave Management'!$L:$L,'Leave Management'!$C:$C,Detail!$A122,'Leave Management'!$B:$B,Detail!K$1)</f>
        <v>0</v>
      </c>
      <c r="L122" s="7">
        <f>SUMIFS('Leave Management'!$L:$L,'Leave Management'!$C:$C,Detail!$A122,'Leave Management'!$B:$B,Detail!L$1)</f>
        <v>0</v>
      </c>
      <c r="M122" s="7">
        <f>SUMIFS('Leave Management'!$L:$L,'Leave Management'!$C:$C,Detail!$A122,'Leave Management'!$B:$B,Detail!M$1)</f>
        <v>0</v>
      </c>
      <c r="N122" s="7">
        <f>SUMIFS('Leave Management'!$L:$L,'Leave Management'!$C:$C,Detail!$A122,'Leave Management'!$B:$B,Detail!N$1)</f>
        <v>0</v>
      </c>
      <c r="O122" s="7">
        <f t="shared" si="4"/>
        <v>12</v>
      </c>
    </row>
    <row r="123" spans="1:15" x14ac:dyDescent="0.25">
      <c r="A123" s="24">
        <v>43221</v>
      </c>
      <c r="B123" s="2" t="str">
        <f t="shared" si="3"/>
        <v>Tue</v>
      </c>
      <c r="C123" s="7">
        <f>SUMIFS('Leave Management'!$L:$L,'Leave Management'!$C:$C,Detail!$A123,'Leave Management'!$B:$B,Detail!C$1)</f>
        <v>0</v>
      </c>
      <c r="D123" s="7">
        <f>SUMIFS('Leave Management'!$L:$L,'Leave Management'!$C:$C,Detail!$A123,'Leave Management'!$B:$B,Detail!D$1)</f>
        <v>0</v>
      </c>
      <c r="E123" s="7">
        <f>SUMIFS('Leave Management'!$L:$L,'Leave Management'!$C:$C,Detail!$A123,'Leave Management'!$B:$B,Detail!E$1)</f>
        <v>0</v>
      </c>
      <c r="F123" s="7">
        <f>SUMIFS('Leave Management'!$L:$L,'Leave Management'!$C:$C,Detail!$A123,'Leave Management'!$B:$B,Detail!F$1)</f>
        <v>0</v>
      </c>
      <c r="G123" s="7">
        <f>SUMIFS('Leave Management'!$L:$L,'Leave Management'!$C:$C,Detail!$A123,'Leave Management'!$B:$B,Detail!G$1)</f>
        <v>0</v>
      </c>
      <c r="H123" s="7">
        <f>SUMIFS('Leave Management'!$L:$L,'Leave Management'!$C:$C,Detail!$A123,'Leave Management'!$B:$B,Detail!H$1)</f>
        <v>0</v>
      </c>
      <c r="I123" s="7">
        <f>SUMIFS('Leave Management'!$L:$L,'Leave Management'!$C:$C,Detail!$A123,'Leave Management'!$B:$B,Detail!I$1)</f>
        <v>0</v>
      </c>
      <c r="J123" s="7">
        <f>SUMIFS('Leave Management'!$L:$L,'Leave Management'!$C:$C,Detail!$A123,'Leave Management'!$B:$B,Detail!J$1)</f>
        <v>0</v>
      </c>
      <c r="K123" s="7">
        <f>SUMIFS('Leave Management'!$L:$L,'Leave Management'!$C:$C,Detail!$A123,'Leave Management'!$B:$B,Detail!K$1)</f>
        <v>0</v>
      </c>
      <c r="L123" s="7">
        <f>SUMIFS('Leave Management'!$L:$L,'Leave Management'!$C:$C,Detail!$A123,'Leave Management'!$B:$B,Detail!L$1)</f>
        <v>0</v>
      </c>
      <c r="M123" s="7">
        <f>SUMIFS('Leave Management'!$L:$L,'Leave Management'!$C:$C,Detail!$A123,'Leave Management'!$B:$B,Detail!M$1)</f>
        <v>0</v>
      </c>
      <c r="N123" s="7">
        <f>SUMIFS('Leave Management'!$L:$L,'Leave Management'!$C:$C,Detail!$A123,'Leave Management'!$B:$B,Detail!N$1)</f>
        <v>0</v>
      </c>
      <c r="O123" s="7">
        <f t="shared" si="4"/>
        <v>12</v>
      </c>
    </row>
    <row r="124" spans="1:15" x14ac:dyDescent="0.25">
      <c r="A124" s="24">
        <v>43222</v>
      </c>
      <c r="B124" s="2" t="str">
        <f t="shared" si="3"/>
        <v>Wed</v>
      </c>
      <c r="C124" s="7">
        <f>SUMIFS('Leave Management'!$L:$L,'Leave Management'!$C:$C,Detail!$A124,'Leave Management'!$B:$B,Detail!C$1)</f>
        <v>0</v>
      </c>
      <c r="D124" s="7">
        <f>SUMIFS('Leave Management'!$L:$L,'Leave Management'!$C:$C,Detail!$A124,'Leave Management'!$B:$B,Detail!D$1)</f>
        <v>0</v>
      </c>
      <c r="E124" s="7">
        <f>SUMIFS('Leave Management'!$L:$L,'Leave Management'!$C:$C,Detail!$A124,'Leave Management'!$B:$B,Detail!E$1)</f>
        <v>0</v>
      </c>
      <c r="F124" s="7">
        <f>SUMIFS('Leave Management'!$L:$L,'Leave Management'!$C:$C,Detail!$A124,'Leave Management'!$B:$B,Detail!F$1)</f>
        <v>0</v>
      </c>
      <c r="G124" s="7">
        <f>SUMIFS('Leave Management'!$L:$L,'Leave Management'!$C:$C,Detail!$A124,'Leave Management'!$B:$B,Detail!G$1)</f>
        <v>0</v>
      </c>
      <c r="H124" s="7">
        <f>SUMIFS('Leave Management'!$L:$L,'Leave Management'!$C:$C,Detail!$A124,'Leave Management'!$B:$B,Detail!H$1)</f>
        <v>0</v>
      </c>
      <c r="I124" s="7">
        <f>SUMIFS('Leave Management'!$L:$L,'Leave Management'!$C:$C,Detail!$A124,'Leave Management'!$B:$B,Detail!I$1)</f>
        <v>0</v>
      </c>
      <c r="J124" s="7">
        <f>SUMIFS('Leave Management'!$L:$L,'Leave Management'!$C:$C,Detail!$A124,'Leave Management'!$B:$B,Detail!J$1)</f>
        <v>0</v>
      </c>
      <c r="K124" s="7">
        <f>SUMIFS('Leave Management'!$L:$L,'Leave Management'!$C:$C,Detail!$A124,'Leave Management'!$B:$B,Detail!K$1)</f>
        <v>0</v>
      </c>
      <c r="L124" s="7">
        <f>SUMIFS('Leave Management'!$L:$L,'Leave Management'!$C:$C,Detail!$A124,'Leave Management'!$B:$B,Detail!L$1)</f>
        <v>0</v>
      </c>
      <c r="M124" s="7">
        <f>SUMIFS('Leave Management'!$L:$L,'Leave Management'!$C:$C,Detail!$A124,'Leave Management'!$B:$B,Detail!M$1)</f>
        <v>0</v>
      </c>
      <c r="N124" s="7">
        <f>SUMIFS('Leave Management'!$L:$L,'Leave Management'!$C:$C,Detail!$A124,'Leave Management'!$B:$B,Detail!N$1)</f>
        <v>0</v>
      </c>
      <c r="O124" s="7">
        <f t="shared" si="4"/>
        <v>12</v>
      </c>
    </row>
    <row r="125" spans="1:15" x14ac:dyDescent="0.25">
      <c r="A125" s="24">
        <v>43223</v>
      </c>
      <c r="B125" s="2" t="str">
        <f t="shared" si="3"/>
        <v>Thu</v>
      </c>
      <c r="C125" s="7">
        <f>SUMIFS('Leave Management'!$L:$L,'Leave Management'!$C:$C,Detail!$A125,'Leave Management'!$B:$B,Detail!C$1)</f>
        <v>0</v>
      </c>
      <c r="D125" s="7">
        <f>SUMIFS('Leave Management'!$L:$L,'Leave Management'!$C:$C,Detail!$A125,'Leave Management'!$B:$B,Detail!D$1)</f>
        <v>0</v>
      </c>
      <c r="E125" s="7">
        <f>SUMIFS('Leave Management'!$L:$L,'Leave Management'!$C:$C,Detail!$A125,'Leave Management'!$B:$B,Detail!E$1)</f>
        <v>0</v>
      </c>
      <c r="F125" s="7">
        <f>SUMIFS('Leave Management'!$L:$L,'Leave Management'!$C:$C,Detail!$A125,'Leave Management'!$B:$B,Detail!F$1)</f>
        <v>0</v>
      </c>
      <c r="G125" s="7">
        <f>SUMIFS('Leave Management'!$L:$L,'Leave Management'!$C:$C,Detail!$A125,'Leave Management'!$B:$B,Detail!G$1)</f>
        <v>0</v>
      </c>
      <c r="H125" s="7">
        <f>SUMIFS('Leave Management'!$L:$L,'Leave Management'!$C:$C,Detail!$A125,'Leave Management'!$B:$B,Detail!H$1)</f>
        <v>0</v>
      </c>
      <c r="I125" s="7">
        <f>SUMIFS('Leave Management'!$L:$L,'Leave Management'!$C:$C,Detail!$A125,'Leave Management'!$B:$B,Detail!I$1)</f>
        <v>0</v>
      </c>
      <c r="J125" s="7">
        <f>SUMIFS('Leave Management'!$L:$L,'Leave Management'!$C:$C,Detail!$A125,'Leave Management'!$B:$B,Detail!J$1)</f>
        <v>0</v>
      </c>
      <c r="K125" s="7">
        <f>SUMIFS('Leave Management'!$L:$L,'Leave Management'!$C:$C,Detail!$A125,'Leave Management'!$B:$B,Detail!K$1)</f>
        <v>0</v>
      </c>
      <c r="L125" s="7">
        <f>SUMIFS('Leave Management'!$L:$L,'Leave Management'!$C:$C,Detail!$A125,'Leave Management'!$B:$B,Detail!L$1)</f>
        <v>0</v>
      </c>
      <c r="M125" s="7">
        <f>SUMIFS('Leave Management'!$L:$L,'Leave Management'!$C:$C,Detail!$A125,'Leave Management'!$B:$B,Detail!M$1)</f>
        <v>0</v>
      </c>
      <c r="N125" s="7">
        <f>SUMIFS('Leave Management'!$L:$L,'Leave Management'!$C:$C,Detail!$A125,'Leave Management'!$B:$B,Detail!N$1)</f>
        <v>0</v>
      </c>
      <c r="O125" s="7">
        <f t="shared" si="4"/>
        <v>12</v>
      </c>
    </row>
    <row r="126" spans="1:15" x14ac:dyDescent="0.25">
      <c r="A126" s="24">
        <v>43224</v>
      </c>
      <c r="B126" s="2" t="str">
        <f t="shared" si="3"/>
        <v>Fri</v>
      </c>
      <c r="C126" s="7">
        <f>SUMIFS('Leave Management'!$L:$L,'Leave Management'!$C:$C,Detail!$A126,'Leave Management'!$B:$B,Detail!C$1)</f>
        <v>0</v>
      </c>
      <c r="D126" s="7">
        <f>SUMIFS('Leave Management'!$L:$L,'Leave Management'!$C:$C,Detail!$A126,'Leave Management'!$B:$B,Detail!D$1)</f>
        <v>0</v>
      </c>
      <c r="E126" s="7">
        <f>SUMIFS('Leave Management'!$L:$L,'Leave Management'!$C:$C,Detail!$A126,'Leave Management'!$B:$B,Detail!E$1)</f>
        <v>0</v>
      </c>
      <c r="F126" s="7">
        <f>SUMIFS('Leave Management'!$L:$L,'Leave Management'!$C:$C,Detail!$A126,'Leave Management'!$B:$B,Detail!F$1)</f>
        <v>0</v>
      </c>
      <c r="G126" s="7">
        <f>SUMIFS('Leave Management'!$L:$L,'Leave Management'!$C:$C,Detail!$A126,'Leave Management'!$B:$B,Detail!G$1)</f>
        <v>0</v>
      </c>
      <c r="H126" s="7">
        <f>SUMIFS('Leave Management'!$L:$L,'Leave Management'!$C:$C,Detail!$A126,'Leave Management'!$B:$B,Detail!H$1)</f>
        <v>0</v>
      </c>
      <c r="I126" s="7">
        <f>SUMIFS('Leave Management'!$L:$L,'Leave Management'!$C:$C,Detail!$A126,'Leave Management'!$B:$B,Detail!I$1)</f>
        <v>0</v>
      </c>
      <c r="J126" s="7">
        <f>SUMIFS('Leave Management'!$L:$L,'Leave Management'!$C:$C,Detail!$A126,'Leave Management'!$B:$B,Detail!J$1)</f>
        <v>0</v>
      </c>
      <c r="K126" s="7">
        <f>SUMIFS('Leave Management'!$L:$L,'Leave Management'!$C:$C,Detail!$A126,'Leave Management'!$B:$B,Detail!K$1)</f>
        <v>0</v>
      </c>
      <c r="L126" s="7">
        <f>SUMIFS('Leave Management'!$L:$L,'Leave Management'!$C:$C,Detail!$A126,'Leave Management'!$B:$B,Detail!L$1)</f>
        <v>0</v>
      </c>
      <c r="M126" s="7">
        <f>SUMIFS('Leave Management'!$L:$L,'Leave Management'!$C:$C,Detail!$A126,'Leave Management'!$B:$B,Detail!M$1)</f>
        <v>0</v>
      </c>
      <c r="N126" s="7">
        <f>SUMIFS('Leave Management'!$L:$L,'Leave Management'!$C:$C,Detail!$A126,'Leave Management'!$B:$B,Detail!N$1)</f>
        <v>0</v>
      </c>
      <c r="O126" s="7">
        <f t="shared" si="4"/>
        <v>12</v>
      </c>
    </row>
    <row r="127" spans="1:15" x14ac:dyDescent="0.25">
      <c r="A127" s="24">
        <v>43225</v>
      </c>
      <c r="B127" s="2" t="str">
        <f t="shared" si="3"/>
        <v>Sat</v>
      </c>
      <c r="C127" s="7">
        <f>SUMIFS('Leave Management'!$L:$L,'Leave Management'!$C:$C,Detail!$A127,'Leave Management'!$B:$B,Detail!C$1)</f>
        <v>0</v>
      </c>
      <c r="D127" s="7">
        <f>SUMIFS('Leave Management'!$L:$L,'Leave Management'!$C:$C,Detail!$A127,'Leave Management'!$B:$B,Detail!D$1)</f>
        <v>0</v>
      </c>
      <c r="E127" s="7">
        <f>SUMIFS('Leave Management'!$L:$L,'Leave Management'!$C:$C,Detail!$A127,'Leave Management'!$B:$B,Detail!E$1)</f>
        <v>0</v>
      </c>
      <c r="F127" s="7">
        <f>SUMIFS('Leave Management'!$L:$L,'Leave Management'!$C:$C,Detail!$A127,'Leave Management'!$B:$B,Detail!F$1)</f>
        <v>0</v>
      </c>
      <c r="G127" s="7">
        <f>SUMIFS('Leave Management'!$L:$L,'Leave Management'!$C:$C,Detail!$A127,'Leave Management'!$B:$B,Detail!G$1)</f>
        <v>0</v>
      </c>
      <c r="H127" s="7">
        <f>SUMIFS('Leave Management'!$L:$L,'Leave Management'!$C:$C,Detail!$A127,'Leave Management'!$B:$B,Detail!H$1)</f>
        <v>0</v>
      </c>
      <c r="I127" s="7">
        <f>SUMIFS('Leave Management'!$L:$L,'Leave Management'!$C:$C,Detail!$A127,'Leave Management'!$B:$B,Detail!I$1)</f>
        <v>0</v>
      </c>
      <c r="J127" s="7">
        <f>SUMIFS('Leave Management'!$L:$L,'Leave Management'!$C:$C,Detail!$A127,'Leave Management'!$B:$B,Detail!J$1)</f>
        <v>0</v>
      </c>
      <c r="K127" s="7">
        <f>SUMIFS('Leave Management'!$L:$L,'Leave Management'!$C:$C,Detail!$A127,'Leave Management'!$B:$B,Detail!K$1)</f>
        <v>0</v>
      </c>
      <c r="L127" s="7">
        <f>SUMIFS('Leave Management'!$L:$L,'Leave Management'!$C:$C,Detail!$A127,'Leave Management'!$B:$B,Detail!L$1)</f>
        <v>0</v>
      </c>
      <c r="M127" s="7">
        <f>SUMIFS('Leave Management'!$L:$L,'Leave Management'!$C:$C,Detail!$A127,'Leave Management'!$B:$B,Detail!M$1)</f>
        <v>0</v>
      </c>
      <c r="N127" s="7">
        <f>SUMIFS('Leave Management'!$L:$L,'Leave Management'!$C:$C,Detail!$A127,'Leave Management'!$B:$B,Detail!N$1)</f>
        <v>0</v>
      </c>
      <c r="O127" s="7">
        <f t="shared" si="4"/>
        <v>12</v>
      </c>
    </row>
    <row r="128" spans="1:15" x14ac:dyDescent="0.25">
      <c r="A128" s="24">
        <v>43226</v>
      </c>
      <c r="B128" s="2" t="str">
        <f t="shared" si="3"/>
        <v>Sun</v>
      </c>
      <c r="C128" s="7">
        <f>SUMIFS('Leave Management'!$L:$L,'Leave Management'!$C:$C,Detail!$A128,'Leave Management'!$B:$B,Detail!C$1)</f>
        <v>0</v>
      </c>
      <c r="D128" s="7">
        <f>SUMIFS('Leave Management'!$L:$L,'Leave Management'!$C:$C,Detail!$A128,'Leave Management'!$B:$B,Detail!D$1)</f>
        <v>0</v>
      </c>
      <c r="E128" s="7">
        <f>SUMIFS('Leave Management'!$L:$L,'Leave Management'!$C:$C,Detail!$A128,'Leave Management'!$B:$B,Detail!E$1)</f>
        <v>0</v>
      </c>
      <c r="F128" s="7">
        <f>SUMIFS('Leave Management'!$L:$L,'Leave Management'!$C:$C,Detail!$A128,'Leave Management'!$B:$B,Detail!F$1)</f>
        <v>0</v>
      </c>
      <c r="G128" s="7">
        <f>SUMIFS('Leave Management'!$L:$L,'Leave Management'!$C:$C,Detail!$A128,'Leave Management'!$B:$B,Detail!G$1)</f>
        <v>0</v>
      </c>
      <c r="H128" s="7">
        <f>SUMIFS('Leave Management'!$L:$L,'Leave Management'!$C:$C,Detail!$A128,'Leave Management'!$B:$B,Detail!H$1)</f>
        <v>0</v>
      </c>
      <c r="I128" s="7">
        <f>SUMIFS('Leave Management'!$L:$L,'Leave Management'!$C:$C,Detail!$A128,'Leave Management'!$B:$B,Detail!I$1)</f>
        <v>0</v>
      </c>
      <c r="J128" s="7">
        <f>SUMIFS('Leave Management'!$L:$L,'Leave Management'!$C:$C,Detail!$A128,'Leave Management'!$B:$B,Detail!J$1)</f>
        <v>0</v>
      </c>
      <c r="K128" s="7">
        <f>SUMIFS('Leave Management'!$L:$L,'Leave Management'!$C:$C,Detail!$A128,'Leave Management'!$B:$B,Detail!K$1)</f>
        <v>0</v>
      </c>
      <c r="L128" s="7">
        <f>SUMIFS('Leave Management'!$L:$L,'Leave Management'!$C:$C,Detail!$A128,'Leave Management'!$B:$B,Detail!L$1)</f>
        <v>0</v>
      </c>
      <c r="M128" s="7">
        <f>SUMIFS('Leave Management'!$L:$L,'Leave Management'!$C:$C,Detail!$A128,'Leave Management'!$B:$B,Detail!M$1)</f>
        <v>0</v>
      </c>
      <c r="N128" s="7">
        <f>SUMIFS('Leave Management'!$L:$L,'Leave Management'!$C:$C,Detail!$A128,'Leave Management'!$B:$B,Detail!N$1)</f>
        <v>0</v>
      </c>
      <c r="O128" s="7">
        <f t="shared" si="4"/>
        <v>12</v>
      </c>
    </row>
    <row r="129" spans="1:15" x14ac:dyDescent="0.25">
      <c r="A129" s="24">
        <v>43227</v>
      </c>
      <c r="B129" s="2" t="str">
        <f t="shared" si="3"/>
        <v>Mon</v>
      </c>
      <c r="C129" s="7">
        <f>SUMIFS('Leave Management'!$L:$L,'Leave Management'!$C:$C,Detail!$A129,'Leave Management'!$B:$B,Detail!C$1)</f>
        <v>0</v>
      </c>
      <c r="D129" s="7">
        <f>SUMIFS('Leave Management'!$L:$L,'Leave Management'!$C:$C,Detail!$A129,'Leave Management'!$B:$B,Detail!D$1)</f>
        <v>0</v>
      </c>
      <c r="E129" s="7">
        <f>SUMIFS('Leave Management'!$L:$L,'Leave Management'!$C:$C,Detail!$A129,'Leave Management'!$B:$B,Detail!E$1)</f>
        <v>0</v>
      </c>
      <c r="F129" s="7">
        <f>SUMIFS('Leave Management'!$L:$L,'Leave Management'!$C:$C,Detail!$A129,'Leave Management'!$B:$B,Detail!F$1)</f>
        <v>0</v>
      </c>
      <c r="G129" s="7">
        <f>SUMIFS('Leave Management'!$L:$L,'Leave Management'!$C:$C,Detail!$A129,'Leave Management'!$B:$B,Detail!G$1)</f>
        <v>0</v>
      </c>
      <c r="H129" s="7">
        <f>SUMIFS('Leave Management'!$L:$L,'Leave Management'!$C:$C,Detail!$A129,'Leave Management'!$B:$B,Detail!H$1)</f>
        <v>0</v>
      </c>
      <c r="I129" s="7">
        <f>SUMIFS('Leave Management'!$L:$L,'Leave Management'!$C:$C,Detail!$A129,'Leave Management'!$B:$B,Detail!I$1)</f>
        <v>0</v>
      </c>
      <c r="J129" s="7">
        <f>SUMIFS('Leave Management'!$L:$L,'Leave Management'!$C:$C,Detail!$A129,'Leave Management'!$B:$B,Detail!J$1)</f>
        <v>0</v>
      </c>
      <c r="K129" s="7">
        <f>SUMIFS('Leave Management'!$L:$L,'Leave Management'!$C:$C,Detail!$A129,'Leave Management'!$B:$B,Detail!K$1)</f>
        <v>0</v>
      </c>
      <c r="L129" s="7">
        <f>SUMIFS('Leave Management'!$L:$L,'Leave Management'!$C:$C,Detail!$A129,'Leave Management'!$B:$B,Detail!L$1)</f>
        <v>0</v>
      </c>
      <c r="M129" s="7">
        <f>SUMIFS('Leave Management'!$L:$L,'Leave Management'!$C:$C,Detail!$A129,'Leave Management'!$B:$B,Detail!M$1)</f>
        <v>0</v>
      </c>
      <c r="N129" s="7">
        <f>SUMIFS('Leave Management'!$L:$L,'Leave Management'!$C:$C,Detail!$A129,'Leave Management'!$B:$B,Detail!N$1)</f>
        <v>0</v>
      </c>
      <c r="O129" s="7">
        <f t="shared" si="4"/>
        <v>12</v>
      </c>
    </row>
    <row r="130" spans="1:15" x14ac:dyDescent="0.25">
      <c r="A130" s="24">
        <v>43228</v>
      </c>
      <c r="B130" s="2" t="str">
        <f t="shared" si="3"/>
        <v>Tue</v>
      </c>
      <c r="C130" s="7">
        <f>SUMIFS('Leave Management'!$L:$L,'Leave Management'!$C:$C,Detail!$A130,'Leave Management'!$B:$B,Detail!C$1)</f>
        <v>0</v>
      </c>
      <c r="D130" s="7">
        <f>SUMIFS('Leave Management'!$L:$L,'Leave Management'!$C:$C,Detail!$A130,'Leave Management'!$B:$B,Detail!D$1)</f>
        <v>0</v>
      </c>
      <c r="E130" s="7">
        <f>SUMIFS('Leave Management'!$L:$L,'Leave Management'!$C:$C,Detail!$A130,'Leave Management'!$B:$B,Detail!E$1)</f>
        <v>0</v>
      </c>
      <c r="F130" s="7">
        <f>SUMIFS('Leave Management'!$L:$L,'Leave Management'!$C:$C,Detail!$A130,'Leave Management'!$B:$B,Detail!F$1)</f>
        <v>0</v>
      </c>
      <c r="G130" s="7">
        <f>SUMIFS('Leave Management'!$L:$L,'Leave Management'!$C:$C,Detail!$A130,'Leave Management'!$B:$B,Detail!G$1)</f>
        <v>0</v>
      </c>
      <c r="H130" s="7">
        <f>SUMIFS('Leave Management'!$L:$L,'Leave Management'!$C:$C,Detail!$A130,'Leave Management'!$B:$B,Detail!H$1)</f>
        <v>0</v>
      </c>
      <c r="I130" s="7">
        <f>SUMIFS('Leave Management'!$L:$L,'Leave Management'!$C:$C,Detail!$A130,'Leave Management'!$B:$B,Detail!I$1)</f>
        <v>0</v>
      </c>
      <c r="J130" s="7">
        <f>SUMIFS('Leave Management'!$L:$L,'Leave Management'!$C:$C,Detail!$A130,'Leave Management'!$B:$B,Detail!J$1)</f>
        <v>0</v>
      </c>
      <c r="K130" s="7">
        <f>SUMIFS('Leave Management'!$L:$L,'Leave Management'!$C:$C,Detail!$A130,'Leave Management'!$B:$B,Detail!K$1)</f>
        <v>0</v>
      </c>
      <c r="L130" s="7">
        <f>SUMIFS('Leave Management'!$L:$L,'Leave Management'!$C:$C,Detail!$A130,'Leave Management'!$B:$B,Detail!L$1)</f>
        <v>0</v>
      </c>
      <c r="M130" s="7">
        <f>SUMIFS('Leave Management'!$L:$L,'Leave Management'!$C:$C,Detail!$A130,'Leave Management'!$B:$B,Detail!M$1)</f>
        <v>0</v>
      </c>
      <c r="N130" s="7">
        <f>SUMIFS('Leave Management'!$L:$L,'Leave Management'!$C:$C,Detail!$A130,'Leave Management'!$B:$B,Detail!N$1)</f>
        <v>0</v>
      </c>
      <c r="O130" s="7">
        <f t="shared" si="4"/>
        <v>12</v>
      </c>
    </row>
    <row r="131" spans="1:15" x14ac:dyDescent="0.25">
      <c r="A131" s="24">
        <v>43229</v>
      </c>
      <c r="B131" s="2" t="str">
        <f t="shared" si="3"/>
        <v>Wed</v>
      </c>
      <c r="C131" s="7">
        <f>SUMIFS('Leave Management'!$L:$L,'Leave Management'!$C:$C,Detail!$A131,'Leave Management'!$B:$B,Detail!C$1)</f>
        <v>0</v>
      </c>
      <c r="D131" s="7">
        <f>SUMIFS('Leave Management'!$L:$L,'Leave Management'!$C:$C,Detail!$A131,'Leave Management'!$B:$B,Detail!D$1)</f>
        <v>0</v>
      </c>
      <c r="E131" s="7">
        <f>SUMIFS('Leave Management'!$L:$L,'Leave Management'!$C:$C,Detail!$A131,'Leave Management'!$B:$B,Detail!E$1)</f>
        <v>0</v>
      </c>
      <c r="F131" s="7">
        <f>SUMIFS('Leave Management'!$L:$L,'Leave Management'!$C:$C,Detail!$A131,'Leave Management'!$B:$B,Detail!F$1)</f>
        <v>0</v>
      </c>
      <c r="G131" s="7">
        <f>SUMIFS('Leave Management'!$L:$L,'Leave Management'!$C:$C,Detail!$A131,'Leave Management'!$B:$B,Detail!G$1)</f>
        <v>0</v>
      </c>
      <c r="H131" s="7">
        <f>SUMIFS('Leave Management'!$L:$L,'Leave Management'!$C:$C,Detail!$A131,'Leave Management'!$B:$B,Detail!H$1)</f>
        <v>0</v>
      </c>
      <c r="I131" s="7">
        <f>SUMIFS('Leave Management'!$L:$L,'Leave Management'!$C:$C,Detail!$A131,'Leave Management'!$B:$B,Detail!I$1)</f>
        <v>0</v>
      </c>
      <c r="J131" s="7">
        <f>SUMIFS('Leave Management'!$L:$L,'Leave Management'!$C:$C,Detail!$A131,'Leave Management'!$B:$B,Detail!J$1)</f>
        <v>0</v>
      </c>
      <c r="K131" s="7">
        <f>SUMIFS('Leave Management'!$L:$L,'Leave Management'!$C:$C,Detail!$A131,'Leave Management'!$B:$B,Detail!K$1)</f>
        <v>0</v>
      </c>
      <c r="L131" s="7">
        <f>SUMIFS('Leave Management'!$L:$L,'Leave Management'!$C:$C,Detail!$A131,'Leave Management'!$B:$B,Detail!L$1)</f>
        <v>0</v>
      </c>
      <c r="M131" s="7">
        <f>SUMIFS('Leave Management'!$L:$L,'Leave Management'!$C:$C,Detail!$A131,'Leave Management'!$B:$B,Detail!M$1)</f>
        <v>0</v>
      </c>
      <c r="N131" s="7">
        <f>SUMIFS('Leave Management'!$L:$L,'Leave Management'!$C:$C,Detail!$A131,'Leave Management'!$B:$B,Detail!N$1)</f>
        <v>0</v>
      </c>
      <c r="O131" s="7">
        <f t="shared" si="4"/>
        <v>12</v>
      </c>
    </row>
    <row r="132" spans="1:15" x14ac:dyDescent="0.25">
      <c r="A132" s="24">
        <v>43230</v>
      </c>
      <c r="B132" s="2" t="str">
        <f t="shared" ref="B132:B195" si="5">CHOOSE(WEEKDAY(A132),"Sun","Mon","Tue","Wed","Thu","Fri","Sat")</f>
        <v>Thu</v>
      </c>
      <c r="C132" s="7">
        <f>SUMIFS('Leave Management'!$L:$L,'Leave Management'!$C:$C,Detail!$A132,'Leave Management'!$B:$B,Detail!C$1)</f>
        <v>0</v>
      </c>
      <c r="D132" s="7">
        <f>SUMIFS('Leave Management'!$L:$L,'Leave Management'!$C:$C,Detail!$A132,'Leave Management'!$B:$B,Detail!D$1)</f>
        <v>0</v>
      </c>
      <c r="E132" s="7">
        <f>SUMIFS('Leave Management'!$L:$L,'Leave Management'!$C:$C,Detail!$A132,'Leave Management'!$B:$B,Detail!E$1)</f>
        <v>0</v>
      </c>
      <c r="F132" s="7">
        <f>SUMIFS('Leave Management'!$L:$L,'Leave Management'!$C:$C,Detail!$A132,'Leave Management'!$B:$B,Detail!F$1)</f>
        <v>0</v>
      </c>
      <c r="G132" s="7">
        <f>SUMIFS('Leave Management'!$L:$L,'Leave Management'!$C:$C,Detail!$A132,'Leave Management'!$B:$B,Detail!G$1)</f>
        <v>0</v>
      </c>
      <c r="H132" s="7">
        <f>SUMIFS('Leave Management'!$L:$L,'Leave Management'!$C:$C,Detail!$A132,'Leave Management'!$B:$B,Detail!H$1)</f>
        <v>0</v>
      </c>
      <c r="I132" s="7">
        <f>SUMIFS('Leave Management'!$L:$L,'Leave Management'!$C:$C,Detail!$A132,'Leave Management'!$B:$B,Detail!I$1)</f>
        <v>0</v>
      </c>
      <c r="J132" s="7">
        <f>SUMIFS('Leave Management'!$L:$L,'Leave Management'!$C:$C,Detail!$A132,'Leave Management'!$B:$B,Detail!J$1)</f>
        <v>0</v>
      </c>
      <c r="K132" s="7">
        <f>SUMIFS('Leave Management'!$L:$L,'Leave Management'!$C:$C,Detail!$A132,'Leave Management'!$B:$B,Detail!K$1)</f>
        <v>0</v>
      </c>
      <c r="L132" s="7">
        <f>SUMIFS('Leave Management'!$L:$L,'Leave Management'!$C:$C,Detail!$A132,'Leave Management'!$B:$B,Detail!L$1)</f>
        <v>0</v>
      </c>
      <c r="M132" s="7">
        <f>SUMIFS('Leave Management'!$L:$L,'Leave Management'!$C:$C,Detail!$A132,'Leave Management'!$B:$B,Detail!M$1)</f>
        <v>0</v>
      </c>
      <c r="N132" s="7">
        <f>SUMIFS('Leave Management'!$L:$L,'Leave Management'!$C:$C,Detail!$A132,'Leave Management'!$B:$B,Detail!N$1)</f>
        <v>0</v>
      </c>
      <c r="O132" s="7">
        <f t="shared" ref="O132:O195" si="6">COUNTA($C$1:$N$1)-SUM($C132:$N132)</f>
        <v>12</v>
      </c>
    </row>
    <row r="133" spans="1:15" x14ac:dyDescent="0.25">
      <c r="A133" s="24">
        <v>43231</v>
      </c>
      <c r="B133" s="2" t="str">
        <f t="shared" si="5"/>
        <v>Fri</v>
      </c>
      <c r="C133" s="7">
        <f>SUMIFS('Leave Management'!$L:$L,'Leave Management'!$C:$C,Detail!$A133,'Leave Management'!$B:$B,Detail!C$1)</f>
        <v>0</v>
      </c>
      <c r="D133" s="7">
        <f>SUMIFS('Leave Management'!$L:$L,'Leave Management'!$C:$C,Detail!$A133,'Leave Management'!$B:$B,Detail!D$1)</f>
        <v>0</v>
      </c>
      <c r="E133" s="7">
        <f>SUMIFS('Leave Management'!$L:$L,'Leave Management'!$C:$C,Detail!$A133,'Leave Management'!$B:$B,Detail!E$1)</f>
        <v>0</v>
      </c>
      <c r="F133" s="7">
        <f>SUMIFS('Leave Management'!$L:$L,'Leave Management'!$C:$C,Detail!$A133,'Leave Management'!$B:$B,Detail!F$1)</f>
        <v>0</v>
      </c>
      <c r="G133" s="7">
        <f>SUMIFS('Leave Management'!$L:$L,'Leave Management'!$C:$C,Detail!$A133,'Leave Management'!$B:$B,Detail!G$1)</f>
        <v>0</v>
      </c>
      <c r="H133" s="7">
        <f>SUMIFS('Leave Management'!$L:$L,'Leave Management'!$C:$C,Detail!$A133,'Leave Management'!$B:$B,Detail!H$1)</f>
        <v>0</v>
      </c>
      <c r="I133" s="7">
        <f>SUMIFS('Leave Management'!$L:$L,'Leave Management'!$C:$C,Detail!$A133,'Leave Management'!$B:$B,Detail!I$1)</f>
        <v>0</v>
      </c>
      <c r="J133" s="7">
        <f>SUMIFS('Leave Management'!$L:$L,'Leave Management'!$C:$C,Detail!$A133,'Leave Management'!$B:$B,Detail!J$1)</f>
        <v>0</v>
      </c>
      <c r="K133" s="7">
        <f>SUMIFS('Leave Management'!$L:$L,'Leave Management'!$C:$C,Detail!$A133,'Leave Management'!$B:$B,Detail!K$1)</f>
        <v>0</v>
      </c>
      <c r="L133" s="7">
        <f>SUMIFS('Leave Management'!$L:$L,'Leave Management'!$C:$C,Detail!$A133,'Leave Management'!$B:$B,Detail!L$1)</f>
        <v>0</v>
      </c>
      <c r="M133" s="7">
        <f>SUMIFS('Leave Management'!$L:$L,'Leave Management'!$C:$C,Detail!$A133,'Leave Management'!$B:$B,Detail!M$1)</f>
        <v>0</v>
      </c>
      <c r="N133" s="7">
        <f>SUMIFS('Leave Management'!$L:$L,'Leave Management'!$C:$C,Detail!$A133,'Leave Management'!$B:$B,Detail!N$1)</f>
        <v>0</v>
      </c>
      <c r="O133" s="7">
        <f t="shared" si="6"/>
        <v>12</v>
      </c>
    </row>
    <row r="134" spans="1:15" x14ac:dyDescent="0.25">
      <c r="A134" s="24">
        <v>43232</v>
      </c>
      <c r="B134" s="2" t="str">
        <f t="shared" si="5"/>
        <v>Sat</v>
      </c>
      <c r="C134" s="7">
        <f>SUMIFS('Leave Management'!$L:$L,'Leave Management'!$C:$C,Detail!$A134,'Leave Management'!$B:$B,Detail!C$1)</f>
        <v>0</v>
      </c>
      <c r="D134" s="7">
        <f>SUMIFS('Leave Management'!$L:$L,'Leave Management'!$C:$C,Detail!$A134,'Leave Management'!$B:$B,Detail!D$1)</f>
        <v>0</v>
      </c>
      <c r="E134" s="7">
        <f>SUMIFS('Leave Management'!$L:$L,'Leave Management'!$C:$C,Detail!$A134,'Leave Management'!$B:$B,Detail!E$1)</f>
        <v>0</v>
      </c>
      <c r="F134" s="7">
        <f>SUMIFS('Leave Management'!$L:$L,'Leave Management'!$C:$C,Detail!$A134,'Leave Management'!$B:$B,Detail!F$1)</f>
        <v>0</v>
      </c>
      <c r="G134" s="7">
        <f>SUMIFS('Leave Management'!$L:$L,'Leave Management'!$C:$C,Detail!$A134,'Leave Management'!$B:$B,Detail!G$1)</f>
        <v>0</v>
      </c>
      <c r="H134" s="7">
        <f>SUMIFS('Leave Management'!$L:$L,'Leave Management'!$C:$C,Detail!$A134,'Leave Management'!$B:$B,Detail!H$1)</f>
        <v>0</v>
      </c>
      <c r="I134" s="7">
        <f>SUMIFS('Leave Management'!$L:$L,'Leave Management'!$C:$C,Detail!$A134,'Leave Management'!$B:$B,Detail!I$1)</f>
        <v>0</v>
      </c>
      <c r="J134" s="7">
        <f>SUMIFS('Leave Management'!$L:$L,'Leave Management'!$C:$C,Detail!$A134,'Leave Management'!$B:$B,Detail!J$1)</f>
        <v>0</v>
      </c>
      <c r="K134" s="7">
        <f>SUMIFS('Leave Management'!$L:$L,'Leave Management'!$C:$C,Detail!$A134,'Leave Management'!$B:$B,Detail!K$1)</f>
        <v>0</v>
      </c>
      <c r="L134" s="7">
        <f>SUMIFS('Leave Management'!$L:$L,'Leave Management'!$C:$C,Detail!$A134,'Leave Management'!$B:$B,Detail!L$1)</f>
        <v>0</v>
      </c>
      <c r="M134" s="7">
        <f>SUMIFS('Leave Management'!$L:$L,'Leave Management'!$C:$C,Detail!$A134,'Leave Management'!$B:$B,Detail!M$1)</f>
        <v>0</v>
      </c>
      <c r="N134" s="7">
        <f>SUMIFS('Leave Management'!$L:$L,'Leave Management'!$C:$C,Detail!$A134,'Leave Management'!$B:$B,Detail!N$1)</f>
        <v>0</v>
      </c>
      <c r="O134" s="7">
        <f t="shared" si="6"/>
        <v>12</v>
      </c>
    </row>
    <row r="135" spans="1:15" x14ac:dyDescent="0.25">
      <c r="A135" s="24">
        <v>43233</v>
      </c>
      <c r="B135" s="2" t="str">
        <f t="shared" si="5"/>
        <v>Sun</v>
      </c>
      <c r="C135" s="7">
        <f>SUMIFS('Leave Management'!$L:$L,'Leave Management'!$C:$C,Detail!$A135,'Leave Management'!$B:$B,Detail!C$1)</f>
        <v>0</v>
      </c>
      <c r="D135" s="7">
        <f>SUMIFS('Leave Management'!$L:$L,'Leave Management'!$C:$C,Detail!$A135,'Leave Management'!$B:$B,Detail!D$1)</f>
        <v>0</v>
      </c>
      <c r="E135" s="7">
        <f>SUMIFS('Leave Management'!$L:$L,'Leave Management'!$C:$C,Detail!$A135,'Leave Management'!$B:$B,Detail!E$1)</f>
        <v>0</v>
      </c>
      <c r="F135" s="7">
        <f>SUMIFS('Leave Management'!$L:$L,'Leave Management'!$C:$C,Detail!$A135,'Leave Management'!$B:$B,Detail!F$1)</f>
        <v>0</v>
      </c>
      <c r="G135" s="7">
        <f>SUMIFS('Leave Management'!$L:$L,'Leave Management'!$C:$C,Detail!$A135,'Leave Management'!$B:$B,Detail!G$1)</f>
        <v>0</v>
      </c>
      <c r="H135" s="7">
        <f>SUMIFS('Leave Management'!$L:$L,'Leave Management'!$C:$C,Detail!$A135,'Leave Management'!$B:$B,Detail!H$1)</f>
        <v>0</v>
      </c>
      <c r="I135" s="7">
        <f>SUMIFS('Leave Management'!$L:$L,'Leave Management'!$C:$C,Detail!$A135,'Leave Management'!$B:$B,Detail!I$1)</f>
        <v>0</v>
      </c>
      <c r="J135" s="7">
        <f>SUMIFS('Leave Management'!$L:$L,'Leave Management'!$C:$C,Detail!$A135,'Leave Management'!$B:$B,Detail!J$1)</f>
        <v>0</v>
      </c>
      <c r="K135" s="7">
        <f>SUMIFS('Leave Management'!$L:$L,'Leave Management'!$C:$C,Detail!$A135,'Leave Management'!$B:$B,Detail!K$1)</f>
        <v>0</v>
      </c>
      <c r="L135" s="7">
        <f>SUMIFS('Leave Management'!$L:$L,'Leave Management'!$C:$C,Detail!$A135,'Leave Management'!$B:$B,Detail!L$1)</f>
        <v>0</v>
      </c>
      <c r="M135" s="7">
        <f>SUMIFS('Leave Management'!$L:$L,'Leave Management'!$C:$C,Detail!$A135,'Leave Management'!$B:$B,Detail!M$1)</f>
        <v>0</v>
      </c>
      <c r="N135" s="7">
        <f>SUMIFS('Leave Management'!$L:$L,'Leave Management'!$C:$C,Detail!$A135,'Leave Management'!$B:$B,Detail!N$1)</f>
        <v>0</v>
      </c>
      <c r="O135" s="7">
        <f t="shared" si="6"/>
        <v>12</v>
      </c>
    </row>
    <row r="136" spans="1:15" x14ac:dyDescent="0.25">
      <c r="A136" s="24">
        <v>43234</v>
      </c>
      <c r="B136" s="2" t="str">
        <f t="shared" si="5"/>
        <v>Mon</v>
      </c>
      <c r="C136" s="7">
        <f>SUMIFS('Leave Management'!$L:$L,'Leave Management'!$C:$C,Detail!$A136,'Leave Management'!$B:$B,Detail!C$1)</f>
        <v>0</v>
      </c>
      <c r="D136" s="7">
        <f>SUMIFS('Leave Management'!$L:$L,'Leave Management'!$C:$C,Detail!$A136,'Leave Management'!$B:$B,Detail!D$1)</f>
        <v>0</v>
      </c>
      <c r="E136" s="7">
        <f>SUMIFS('Leave Management'!$L:$L,'Leave Management'!$C:$C,Detail!$A136,'Leave Management'!$B:$B,Detail!E$1)</f>
        <v>0</v>
      </c>
      <c r="F136" s="7">
        <f>SUMIFS('Leave Management'!$L:$L,'Leave Management'!$C:$C,Detail!$A136,'Leave Management'!$B:$B,Detail!F$1)</f>
        <v>0</v>
      </c>
      <c r="G136" s="7">
        <f>SUMIFS('Leave Management'!$L:$L,'Leave Management'!$C:$C,Detail!$A136,'Leave Management'!$B:$B,Detail!G$1)</f>
        <v>0</v>
      </c>
      <c r="H136" s="7">
        <f>SUMIFS('Leave Management'!$L:$L,'Leave Management'!$C:$C,Detail!$A136,'Leave Management'!$B:$B,Detail!H$1)</f>
        <v>0</v>
      </c>
      <c r="I136" s="7">
        <f>SUMIFS('Leave Management'!$L:$L,'Leave Management'!$C:$C,Detail!$A136,'Leave Management'!$B:$B,Detail!I$1)</f>
        <v>0</v>
      </c>
      <c r="J136" s="7">
        <f>SUMIFS('Leave Management'!$L:$L,'Leave Management'!$C:$C,Detail!$A136,'Leave Management'!$B:$B,Detail!J$1)</f>
        <v>0</v>
      </c>
      <c r="K136" s="7">
        <f>SUMIFS('Leave Management'!$L:$L,'Leave Management'!$C:$C,Detail!$A136,'Leave Management'!$B:$B,Detail!K$1)</f>
        <v>0</v>
      </c>
      <c r="L136" s="7">
        <f>SUMIFS('Leave Management'!$L:$L,'Leave Management'!$C:$C,Detail!$A136,'Leave Management'!$B:$B,Detail!L$1)</f>
        <v>0</v>
      </c>
      <c r="M136" s="7">
        <f>SUMIFS('Leave Management'!$L:$L,'Leave Management'!$C:$C,Detail!$A136,'Leave Management'!$B:$B,Detail!M$1)</f>
        <v>0</v>
      </c>
      <c r="N136" s="7">
        <f>SUMIFS('Leave Management'!$L:$L,'Leave Management'!$C:$C,Detail!$A136,'Leave Management'!$B:$B,Detail!N$1)</f>
        <v>0</v>
      </c>
      <c r="O136" s="7">
        <f t="shared" si="6"/>
        <v>12</v>
      </c>
    </row>
    <row r="137" spans="1:15" x14ac:dyDescent="0.25">
      <c r="A137" s="24">
        <v>43235</v>
      </c>
      <c r="B137" s="2" t="str">
        <f t="shared" si="5"/>
        <v>Tue</v>
      </c>
      <c r="C137" s="7">
        <f>SUMIFS('Leave Management'!$L:$L,'Leave Management'!$C:$C,Detail!$A137,'Leave Management'!$B:$B,Detail!C$1)</f>
        <v>0</v>
      </c>
      <c r="D137" s="7">
        <f>SUMIFS('Leave Management'!$L:$L,'Leave Management'!$C:$C,Detail!$A137,'Leave Management'!$B:$B,Detail!D$1)</f>
        <v>0</v>
      </c>
      <c r="E137" s="7">
        <f>SUMIFS('Leave Management'!$L:$L,'Leave Management'!$C:$C,Detail!$A137,'Leave Management'!$B:$B,Detail!E$1)</f>
        <v>0</v>
      </c>
      <c r="F137" s="7">
        <f>SUMIFS('Leave Management'!$L:$L,'Leave Management'!$C:$C,Detail!$A137,'Leave Management'!$B:$B,Detail!F$1)</f>
        <v>0</v>
      </c>
      <c r="G137" s="7">
        <f>SUMIFS('Leave Management'!$L:$L,'Leave Management'!$C:$C,Detail!$A137,'Leave Management'!$B:$B,Detail!G$1)</f>
        <v>0</v>
      </c>
      <c r="H137" s="7">
        <f>SUMIFS('Leave Management'!$L:$L,'Leave Management'!$C:$C,Detail!$A137,'Leave Management'!$B:$B,Detail!H$1)</f>
        <v>0</v>
      </c>
      <c r="I137" s="7">
        <f>SUMIFS('Leave Management'!$L:$L,'Leave Management'!$C:$C,Detail!$A137,'Leave Management'!$B:$B,Detail!I$1)</f>
        <v>0</v>
      </c>
      <c r="J137" s="7">
        <f>SUMIFS('Leave Management'!$L:$L,'Leave Management'!$C:$C,Detail!$A137,'Leave Management'!$B:$B,Detail!J$1)</f>
        <v>0</v>
      </c>
      <c r="K137" s="7">
        <f>SUMIFS('Leave Management'!$L:$L,'Leave Management'!$C:$C,Detail!$A137,'Leave Management'!$B:$B,Detail!K$1)</f>
        <v>0</v>
      </c>
      <c r="L137" s="7">
        <f>SUMIFS('Leave Management'!$L:$L,'Leave Management'!$C:$C,Detail!$A137,'Leave Management'!$B:$B,Detail!L$1)</f>
        <v>0</v>
      </c>
      <c r="M137" s="7">
        <f>SUMIFS('Leave Management'!$L:$L,'Leave Management'!$C:$C,Detail!$A137,'Leave Management'!$B:$B,Detail!M$1)</f>
        <v>0</v>
      </c>
      <c r="N137" s="7">
        <f>SUMIFS('Leave Management'!$L:$L,'Leave Management'!$C:$C,Detail!$A137,'Leave Management'!$B:$B,Detail!N$1)</f>
        <v>0</v>
      </c>
      <c r="O137" s="7">
        <f t="shared" si="6"/>
        <v>12</v>
      </c>
    </row>
    <row r="138" spans="1:15" x14ac:dyDescent="0.25">
      <c r="A138" s="24">
        <v>43236</v>
      </c>
      <c r="B138" s="2" t="str">
        <f t="shared" si="5"/>
        <v>Wed</v>
      </c>
      <c r="C138" s="7">
        <f>SUMIFS('Leave Management'!$L:$L,'Leave Management'!$C:$C,Detail!$A138,'Leave Management'!$B:$B,Detail!C$1)</f>
        <v>0</v>
      </c>
      <c r="D138" s="7">
        <f>SUMIFS('Leave Management'!$L:$L,'Leave Management'!$C:$C,Detail!$A138,'Leave Management'!$B:$B,Detail!D$1)</f>
        <v>0</v>
      </c>
      <c r="E138" s="7">
        <f>SUMIFS('Leave Management'!$L:$L,'Leave Management'!$C:$C,Detail!$A138,'Leave Management'!$B:$B,Detail!E$1)</f>
        <v>0</v>
      </c>
      <c r="F138" s="7">
        <f>SUMIFS('Leave Management'!$L:$L,'Leave Management'!$C:$C,Detail!$A138,'Leave Management'!$B:$B,Detail!F$1)</f>
        <v>0</v>
      </c>
      <c r="G138" s="7">
        <f>SUMIFS('Leave Management'!$L:$L,'Leave Management'!$C:$C,Detail!$A138,'Leave Management'!$B:$B,Detail!G$1)</f>
        <v>0</v>
      </c>
      <c r="H138" s="7">
        <f>SUMIFS('Leave Management'!$L:$L,'Leave Management'!$C:$C,Detail!$A138,'Leave Management'!$B:$B,Detail!H$1)</f>
        <v>0</v>
      </c>
      <c r="I138" s="7">
        <f>SUMIFS('Leave Management'!$L:$L,'Leave Management'!$C:$C,Detail!$A138,'Leave Management'!$B:$B,Detail!I$1)</f>
        <v>0</v>
      </c>
      <c r="J138" s="7">
        <f>SUMIFS('Leave Management'!$L:$L,'Leave Management'!$C:$C,Detail!$A138,'Leave Management'!$B:$B,Detail!J$1)</f>
        <v>0</v>
      </c>
      <c r="K138" s="7">
        <f>SUMIFS('Leave Management'!$L:$L,'Leave Management'!$C:$C,Detail!$A138,'Leave Management'!$B:$B,Detail!K$1)</f>
        <v>0</v>
      </c>
      <c r="L138" s="7">
        <f>SUMIFS('Leave Management'!$L:$L,'Leave Management'!$C:$C,Detail!$A138,'Leave Management'!$B:$B,Detail!L$1)</f>
        <v>0</v>
      </c>
      <c r="M138" s="7">
        <f>SUMIFS('Leave Management'!$L:$L,'Leave Management'!$C:$C,Detail!$A138,'Leave Management'!$B:$B,Detail!M$1)</f>
        <v>0</v>
      </c>
      <c r="N138" s="7">
        <f>SUMIFS('Leave Management'!$L:$L,'Leave Management'!$C:$C,Detail!$A138,'Leave Management'!$B:$B,Detail!N$1)</f>
        <v>0</v>
      </c>
      <c r="O138" s="7">
        <f t="shared" si="6"/>
        <v>12</v>
      </c>
    </row>
    <row r="139" spans="1:15" x14ac:dyDescent="0.25">
      <c r="A139" s="24">
        <v>43237</v>
      </c>
      <c r="B139" s="2" t="str">
        <f t="shared" si="5"/>
        <v>Thu</v>
      </c>
      <c r="C139" s="7">
        <f>SUMIFS('Leave Management'!$L:$L,'Leave Management'!$C:$C,Detail!$A139,'Leave Management'!$B:$B,Detail!C$1)</f>
        <v>0</v>
      </c>
      <c r="D139" s="7">
        <f>SUMIFS('Leave Management'!$L:$L,'Leave Management'!$C:$C,Detail!$A139,'Leave Management'!$B:$B,Detail!D$1)</f>
        <v>0</v>
      </c>
      <c r="E139" s="7">
        <f>SUMIFS('Leave Management'!$L:$L,'Leave Management'!$C:$C,Detail!$A139,'Leave Management'!$B:$B,Detail!E$1)</f>
        <v>0</v>
      </c>
      <c r="F139" s="7">
        <f>SUMIFS('Leave Management'!$L:$L,'Leave Management'!$C:$C,Detail!$A139,'Leave Management'!$B:$B,Detail!F$1)</f>
        <v>0</v>
      </c>
      <c r="G139" s="7">
        <f>SUMIFS('Leave Management'!$L:$L,'Leave Management'!$C:$C,Detail!$A139,'Leave Management'!$B:$B,Detail!G$1)</f>
        <v>0</v>
      </c>
      <c r="H139" s="7">
        <f>SUMIFS('Leave Management'!$L:$L,'Leave Management'!$C:$C,Detail!$A139,'Leave Management'!$B:$B,Detail!H$1)</f>
        <v>0</v>
      </c>
      <c r="I139" s="7">
        <f>SUMIFS('Leave Management'!$L:$L,'Leave Management'!$C:$C,Detail!$A139,'Leave Management'!$B:$B,Detail!I$1)</f>
        <v>0</v>
      </c>
      <c r="J139" s="7">
        <f>SUMIFS('Leave Management'!$L:$L,'Leave Management'!$C:$C,Detail!$A139,'Leave Management'!$B:$B,Detail!J$1)</f>
        <v>0</v>
      </c>
      <c r="K139" s="7">
        <f>SUMIFS('Leave Management'!$L:$L,'Leave Management'!$C:$C,Detail!$A139,'Leave Management'!$B:$B,Detail!K$1)</f>
        <v>0</v>
      </c>
      <c r="L139" s="7">
        <f>SUMIFS('Leave Management'!$L:$L,'Leave Management'!$C:$C,Detail!$A139,'Leave Management'!$B:$B,Detail!L$1)</f>
        <v>0</v>
      </c>
      <c r="M139" s="7">
        <f>SUMIFS('Leave Management'!$L:$L,'Leave Management'!$C:$C,Detail!$A139,'Leave Management'!$B:$B,Detail!M$1)</f>
        <v>0</v>
      </c>
      <c r="N139" s="7">
        <f>SUMIFS('Leave Management'!$L:$L,'Leave Management'!$C:$C,Detail!$A139,'Leave Management'!$B:$B,Detail!N$1)</f>
        <v>0</v>
      </c>
      <c r="O139" s="7">
        <f t="shared" si="6"/>
        <v>12</v>
      </c>
    </row>
    <row r="140" spans="1:15" x14ac:dyDescent="0.25">
      <c r="A140" s="24">
        <v>43238</v>
      </c>
      <c r="B140" s="2" t="str">
        <f t="shared" si="5"/>
        <v>Fri</v>
      </c>
      <c r="C140" s="7">
        <f>SUMIFS('Leave Management'!$L:$L,'Leave Management'!$C:$C,Detail!$A140,'Leave Management'!$B:$B,Detail!C$1)</f>
        <v>0</v>
      </c>
      <c r="D140" s="7">
        <f>SUMIFS('Leave Management'!$L:$L,'Leave Management'!$C:$C,Detail!$A140,'Leave Management'!$B:$B,Detail!D$1)</f>
        <v>0</v>
      </c>
      <c r="E140" s="7">
        <f>SUMIFS('Leave Management'!$L:$L,'Leave Management'!$C:$C,Detail!$A140,'Leave Management'!$B:$B,Detail!E$1)</f>
        <v>0</v>
      </c>
      <c r="F140" s="7">
        <f>SUMIFS('Leave Management'!$L:$L,'Leave Management'!$C:$C,Detail!$A140,'Leave Management'!$B:$B,Detail!F$1)</f>
        <v>0</v>
      </c>
      <c r="G140" s="7">
        <f>SUMIFS('Leave Management'!$L:$L,'Leave Management'!$C:$C,Detail!$A140,'Leave Management'!$B:$B,Detail!G$1)</f>
        <v>0</v>
      </c>
      <c r="H140" s="7">
        <f>SUMIFS('Leave Management'!$L:$L,'Leave Management'!$C:$C,Detail!$A140,'Leave Management'!$B:$B,Detail!H$1)</f>
        <v>1</v>
      </c>
      <c r="I140" s="7">
        <f>SUMIFS('Leave Management'!$L:$L,'Leave Management'!$C:$C,Detail!$A140,'Leave Management'!$B:$B,Detail!I$1)</f>
        <v>0</v>
      </c>
      <c r="J140" s="7">
        <f>SUMIFS('Leave Management'!$L:$L,'Leave Management'!$C:$C,Detail!$A140,'Leave Management'!$B:$B,Detail!J$1)</f>
        <v>0</v>
      </c>
      <c r="K140" s="7">
        <f>SUMIFS('Leave Management'!$L:$L,'Leave Management'!$C:$C,Detail!$A140,'Leave Management'!$B:$B,Detail!K$1)</f>
        <v>0</v>
      </c>
      <c r="L140" s="7">
        <f>SUMIFS('Leave Management'!$L:$L,'Leave Management'!$C:$C,Detail!$A140,'Leave Management'!$B:$B,Detail!L$1)</f>
        <v>0</v>
      </c>
      <c r="M140" s="7">
        <f>SUMIFS('Leave Management'!$L:$L,'Leave Management'!$C:$C,Detail!$A140,'Leave Management'!$B:$B,Detail!M$1)</f>
        <v>0</v>
      </c>
      <c r="N140" s="7">
        <f>SUMIFS('Leave Management'!$L:$L,'Leave Management'!$C:$C,Detail!$A140,'Leave Management'!$B:$B,Detail!N$1)</f>
        <v>0</v>
      </c>
      <c r="O140" s="7">
        <f t="shared" si="6"/>
        <v>11</v>
      </c>
    </row>
    <row r="141" spans="1:15" x14ac:dyDescent="0.25">
      <c r="A141" s="24">
        <v>43239</v>
      </c>
      <c r="B141" s="2" t="str">
        <f t="shared" si="5"/>
        <v>Sat</v>
      </c>
      <c r="C141" s="7">
        <f>SUMIFS('Leave Management'!$L:$L,'Leave Management'!$C:$C,Detail!$A141,'Leave Management'!$B:$B,Detail!C$1)</f>
        <v>0</v>
      </c>
      <c r="D141" s="7">
        <f>SUMIFS('Leave Management'!$L:$L,'Leave Management'!$C:$C,Detail!$A141,'Leave Management'!$B:$B,Detail!D$1)</f>
        <v>0</v>
      </c>
      <c r="E141" s="7">
        <f>SUMIFS('Leave Management'!$L:$L,'Leave Management'!$C:$C,Detail!$A141,'Leave Management'!$B:$B,Detail!E$1)</f>
        <v>0</v>
      </c>
      <c r="F141" s="7">
        <f>SUMIFS('Leave Management'!$L:$L,'Leave Management'!$C:$C,Detail!$A141,'Leave Management'!$B:$B,Detail!F$1)</f>
        <v>0</v>
      </c>
      <c r="G141" s="7">
        <f>SUMIFS('Leave Management'!$L:$L,'Leave Management'!$C:$C,Detail!$A141,'Leave Management'!$B:$B,Detail!G$1)</f>
        <v>0</v>
      </c>
      <c r="H141" s="7">
        <f>SUMIFS('Leave Management'!$L:$L,'Leave Management'!$C:$C,Detail!$A141,'Leave Management'!$B:$B,Detail!H$1)</f>
        <v>0</v>
      </c>
      <c r="I141" s="7">
        <f>SUMIFS('Leave Management'!$L:$L,'Leave Management'!$C:$C,Detail!$A141,'Leave Management'!$B:$B,Detail!I$1)</f>
        <v>0</v>
      </c>
      <c r="J141" s="7">
        <f>SUMIFS('Leave Management'!$L:$L,'Leave Management'!$C:$C,Detail!$A141,'Leave Management'!$B:$B,Detail!J$1)</f>
        <v>0</v>
      </c>
      <c r="K141" s="7">
        <f>SUMIFS('Leave Management'!$L:$L,'Leave Management'!$C:$C,Detail!$A141,'Leave Management'!$B:$B,Detail!K$1)</f>
        <v>0</v>
      </c>
      <c r="L141" s="7">
        <f>SUMIFS('Leave Management'!$L:$L,'Leave Management'!$C:$C,Detail!$A141,'Leave Management'!$B:$B,Detail!L$1)</f>
        <v>0</v>
      </c>
      <c r="M141" s="7">
        <f>SUMIFS('Leave Management'!$L:$L,'Leave Management'!$C:$C,Detail!$A141,'Leave Management'!$B:$B,Detail!M$1)</f>
        <v>0</v>
      </c>
      <c r="N141" s="7">
        <f>SUMIFS('Leave Management'!$L:$L,'Leave Management'!$C:$C,Detail!$A141,'Leave Management'!$B:$B,Detail!N$1)</f>
        <v>0</v>
      </c>
      <c r="O141" s="7">
        <f t="shared" si="6"/>
        <v>12</v>
      </c>
    </row>
    <row r="142" spans="1:15" x14ac:dyDescent="0.25">
      <c r="A142" s="24">
        <v>43240</v>
      </c>
      <c r="B142" s="2" t="str">
        <f t="shared" si="5"/>
        <v>Sun</v>
      </c>
      <c r="C142" s="7">
        <f>SUMIFS('Leave Management'!$L:$L,'Leave Management'!$C:$C,Detail!$A142,'Leave Management'!$B:$B,Detail!C$1)</f>
        <v>0</v>
      </c>
      <c r="D142" s="7">
        <f>SUMIFS('Leave Management'!$L:$L,'Leave Management'!$C:$C,Detail!$A142,'Leave Management'!$B:$B,Detail!D$1)</f>
        <v>0</v>
      </c>
      <c r="E142" s="7">
        <f>SUMIFS('Leave Management'!$L:$L,'Leave Management'!$C:$C,Detail!$A142,'Leave Management'!$B:$B,Detail!E$1)</f>
        <v>0</v>
      </c>
      <c r="F142" s="7">
        <f>SUMIFS('Leave Management'!$L:$L,'Leave Management'!$C:$C,Detail!$A142,'Leave Management'!$B:$B,Detail!F$1)</f>
        <v>0</v>
      </c>
      <c r="G142" s="7">
        <f>SUMIFS('Leave Management'!$L:$L,'Leave Management'!$C:$C,Detail!$A142,'Leave Management'!$B:$B,Detail!G$1)</f>
        <v>0</v>
      </c>
      <c r="H142" s="7">
        <f>SUMIFS('Leave Management'!$L:$L,'Leave Management'!$C:$C,Detail!$A142,'Leave Management'!$B:$B,Detail!H$1)</f>
        <v>0</v>
      </c>
      <c r="I142" s="7">
        <f>SUMIFS('Leave Management'!$L:$L,'Leave Management'!$C:$C,Detail!$A142,'Leave Management'!$B:$B,Detail!I$1)</f>
        <v>0</v>
      </c>
      <c r="J142" s="7">
        <f>SUMIFS('Leave Management'!$L:$L,'Leave Management'!$C:$C,Detail!$A142,'Leave Management'!$B:$B,Detail!J$1)</f>
        <v>0</v>
      </c>
      <c r="K142" s="7">
        <f>SUMIFS('Leave Management'!$L:$L,'Leave Management'!$C:$C,Detail!$A142,'Leave Management'!$B:$B,Detail!K$1)</f>
        <v>0</v>
      </c>
      <c r="L142" s="7">
        <f>SUMIFS('Leave Management'!$L:$L,'Leave Management'!$C:$C,Detail!$A142,'Leave Management'!$B:$B,Detail!L$1)</f>
        <v>0</v>
      </c>
      <c r="M142" s="7">
        <f>SUMIFS('Leave Management'!$L:$L,'Leave Management'!$C:$C,Detail!$A142,'Leave Management'!$B:$B,Detail!M$1)</f>
        <v>0</v>
      </c>
      <c r="N142" s="7">
        <f>SUMIFS('Leave Management'!$L:$L,'Leave Management'!$C:$C,Detail!$A142,'Leave Management'!$B:$B,Detail!N$1)</f>
        <v>0</v>
      </c>
      <c r="O142" s="7">
        <f t="shared" si="6"/>
        <v>12</v>
      </c>
    </row>
    <row r="143" spans="1:15" x14ac:dyDescent="0.25">
      <c r="A143" s="24">
        <v>43241</v>
      </c>
      <c r="B143" s="2" t="str">
        <f t="shared" si="5"/>
        <v>Mon</v>
      </c>
      <c r="C143" s="7">
        <f>SUMIFS('Leave Management'!$L:$L,'Leave Management'!$C:$C,Detail!$A143,'Leave Management'!$B:$B,Detail!C$1)</f>
        <v>0</v>
      </c>
      <c r="D143" s="7">
        <f>SUMIFS('Leave Management'!$L:$L,'Leave Management'!$C:$C,Detail!$A143,'Leave Management'!$B:$B,Detail!D$1)</f>
        <v>0</v>
      </c>
      <c r="E143" s="7">
        <f>SUMIFS('Leave Management'!$L:$L,'Leave Management'!$C:$C,Detail!$A143,'Leave Management'!$B:$B,Detail!E$1)</f>
        <v>0</v>
      </c>
      <c r="F143" s="7">
        <f>SUMIFS('Leave Management'!$L:$L,'Leave Management'!$C:$C,Detail!$A143,'Leave Management'!$B:$B,Detail!F$1)</f>
        <v>0</v>
      </c>
      <c r="G143" s="7">
        <f>SUMIFS('Leave Management'!$L:$L,'Leave Management'!$C:$C,Detail!$A143,'Leave Management'!$B:$B,Detail!G$1)</f>
        <v>0</v>
      </c>
      <c r="H143" s="7">
        <f>SUMIFS('Leave Management'!$L:$L,'Leave Management'!$C:$C,Detail!$A143,'Leave Management'!$B:$B,Detail!H$1)</f>
        <v>0</v>
      </c>
      <c r="I143" s="7">
        <f>SUMIFS('Leave Management'!$L:$L,'Leave Management'!$C:$C,Detail!$A143,'Leave Management'!$B:$B,Detail!I$1)</f>
        <v>0</v>
      </c>
      <c r="J143" s="7">
        <f>SUMIFS('Leave Management'!$L:$L,'Leave Management'!$C:$C,Detail!$A143,'Leave Management'!$B:$B,Detail!J$1)</f>
        <v>0</v>
      </c>
      <c r="K143" s="7">
        <f>SUMIFS('Leave Management'!$L:$L,'Leave Management'!$C:$C,Detail!$A143,'Leave Management'!$B:$B,Detail!K$1)</f>
        <v>0</v>
      </c>
      <c r="L143" s="7">
        <f>SUMIFS('Leave Management'!$L:$L,'Leave Management'!$C:$C,Detail!$A143,'Leave Management'!$B:$B,Detail!L$1)</f>
        <v>0</v>
      </c>
      <c r="M143" s="7">
        <f>SUMIFS('Leave Management'!$L:$L,'Leave Management'!$C:$C,Detail!$A143,'Leave Management'!$B:$B,Detail!M$1)</f>
        <v>0</v>
      </c>
      <c r="N143" s="7">
        <f>SUMIFS('Leave Management'!$L:$L,'Leave Management'!$C:$C,Detail!$A143,'Leave Management'!$B:$B,Detail!N$1)</f>
        <v>0</v>
      </c>
      <c r="O143" s="7">
        <f t="shared" si="6"/>
        <v>12</v>
      </c>
    </row>
    <row r="144" spans="1:15" x14ac:dyDescent="0.25">
      <c r="A144" s="24">
        <v>43242</v>
      </c>
      <c r="B144" s="2" t="str">
        <f t="shared" si="5"/>
        <v>Tue</v>
      </c>
      <c r="C144" s="7">
        <f>SUMIFS('Leave Management'!$L:$L,'Leave Management'!$C:$C,Detail!$A144,'Leave Management'!$B:$B,Detail!C$1)</f>
        <v>0</v>
      </c>
      <c r="D144" s="7">
        <f>SUMIFS('Leave Management'!$L:$L,'Leave Management'!$C:$C,Detail!$A144,'Leave Management'!$B:$B,Detail!D$1)</f>
        <v>0</v>
      </c>
      <c r="E144" s="7">
        <f>SUMIFS('Leave Management'!$L:$L,'Leave Management'!$C:$C,Detail!$A144,'Leave Management'!$B:$B,Detail!E$1)</f>
        <v>0</v>
      </c>
      <c r="F144" s="7">
        <f>SUMIFS('Leave Management'!$L:$L,'Leave Management'!$C:$C,Detail!$A144,'Leave Management'!$B:$B,Detail!F$1)</f>
        <v>0</v>
      </c>
      <c r="G144" s="7">
        <f>SUMIFS('Leave Management'!$L:$L,'Leave Management'!$C:$C,Detail!$A144,'Leave Management'!$B:$B,Detail!G$1)</f>
        <v>0</v>
      </c>
      <c r="H144" s="7">
        <f>SUMIFS('Leave Management'!$L:$L,'Leave Management'!$C:$C,Detail!$A144,'Leave Management'!$B:$B,Detail!H$1)</f>
        <v>0</v>
      </c>
      <c r="I144" s="7">
        <f>SUMIFS('Leave Management'!$L:$L,'Leave Management'!$C:$C,Detail!$A144,'Leave Management'!$B:$B,Detail!I$1)</f>
        <v>0</v>
      </c>
      <c r="J144" s="7">
        <f>SUMIFS('Leave Management'!$L:$L,'Leave Management'!$C:$C,Detail!$A144,'Leave Management'!$B:$B,Detail!J$1)</f>
        <v>0</v>
      </c>
      <c r="K144" s="7">
        <f>SUMIFS('Leave Management'!$L:$L,'Leave Management'!$C:$C,Detail!$A144,'Leave Management'!$B:$B,Detail!K$1)</f>
        <v>0</v>
      </c>
      <c r="L144" s="7">
        <f>SUMIFS('Leave Management'!$L:$L,'Leave Management'!$C:$C,Detail!$A144,'Leave Management'!$B:$B,Detail!L$1)</f>
        <v>0</v>
      </c>
      <c r="M144" s="7">
        <f>SUMIFS('Leave Management'!$L:$L,'Leave Management'!$C:$C,Detail!$A144,'Leave Management'!$B:$B,Detail!M$1)</f>
        <v>0</v>
      </c>
      <c r="N144" s="7">
        <f>SUMIFS('Leave Management'!$L:$L,'Leave Management'!$C:$C,Detail!$A144,'Leave Management'!$B:$B,Detail!N$1)</f>
        <v>0</v>
      </c>
      <c r="O144" s="7">
        <f t="shared" si="6"/>
        <v>12</v>
      </c>
    </row>
    <row r="145" spans="1:15" x14ac:dyDescent="0.25">
      <c r="A145" s="24">
        <v>43243</v>
      </c>
      <c r="B145" s="2" t="str">
        <f t="shared" si="5"/>
        <v>Wed</v>
      </c>
      <c r="C145" s="7">
        <f>SUMIFS('Leave Management'!$L:$L,'Leave Management'!$C:$C,Detail!$A145,'Leave Management'!$B:$B,Detail!C$1)</f>
        <v>0</v>
      </c>
      <c r="D145" s="7">
        <f>SUMIFS('Leave Management'!$L:$L,'Leave Management'!$C:$C,Detail!$A145,'Leave Management'!$B:$B,Detail!D$1)</f>
        <v>0</v>
      </c>
      <c r="E145" s="7">
        <f>SUMIFS('Leave Management'!$L:$L,'Leave Management'!$C:$C,Detail!$A145,'Leave Management'!$B:$B,Detail!E$1)</f>
        <v>0</v>
      </c>
      <c r="F145" s="7">
        <f>SUMIFS('Leave Management'!$L:$L,'Leave Management'!$C:$C,Detail!$A145,'Leave Management'!$B:$B,Detail!F$1)</f>
        <v>0</v>
      </c>
      <c r="G145" s="7">
        <f>SUMIFS('Leave Management'!$L:$L,'Leave Management'!$C:$C,Detail!$A145,'Leave Management'!$B:$B,Detail!G$1)</f>
        <v>0</v>
      </c>
      <c r="H145" s="7">
        <f>SUMIFS('Leave Management'!$L:$L,'Leave Management'!$C:$C,Detail!$A145,'Leave Management'!$B:$B,Detail!H$1)</f>
        <v>0</v>
      </c>
      <c r="I145" s="7">
        <f>SUMIFS('Leave Management'!$L:$L,'Leave Management'!$C:$C,Detail!$A145,'Leave Management'!$B:$B,Detail!I$1)</f>
        <v>0</v>
      </c>
      <c r="J145" s="7">
        <f>SUMIFS('Leave Management'!$L:$L,'Leave Management'!$C:$C,Detail!$A145,'Leave Management'!$B:$B,Detail!J$1)</f>
        <v>0</v>
      </c>
      <c r="K145" s="7">
        <f>SUMIFS('Leave Management'!$L:$L,'Leave Management'!$C:$C,Detail!$A145,'Leave Management'!$B:$B,Detail!K$1)</f>
        <v>0</v>
      </c>
      <c r="L145" s="7">
        <f>SUMIFS('Leave Management'!$L:$L,'Leave Management'!$C:$C,Detail!$A145,'Leave Management'!$B:$B,Detail!L$1)</f>
        <v>0</v>
      </c>
      <c r="M145" s="7">
        <f>SUMIFS('Leave Management'!$L:$L,'Leave Management'!$C:$C,Detail!$A145,'Leave Management'!$B:$B,Detail!M$1)</f>
        <v>0</v>
      </c>
      <c r="N145" s="7">
        <f>SUMIFS('Leave Management'!$L:$L,'Leave Management'!$C:$C,Detail!$A145,'Leave Management'!$B:$B,Detail!N$1)</f>
        <v>0</v>
      </c>
      <c r="O145" s="7">
        <f t="shared" si="6"/>
        <v>12</v>
      </c>
    </row>
    <row r="146" spans="1:15" x14ac:dyDescent="0.25">
      <c r="A146" s="24">
        <v>43244</v>
      </c>
      <c r="B146" s="2" t="str">
        <f t="shared" si="5"/>
        <v>Thu</v>
      </c>
      <c r="C146" s="7">
        <f>SUMIFS('Leave Management'!$L:$L,'Leave Management'!$C:$C,Detail!$A146,'Leave Management'!$B:$B,Detail!C$1)</f>
        <v>0</v>
      </c>
      <c r="D146" s="7">
        <f>SUMIFS('Leave Management'!$L:$L,'Leave Management'!$C:$C,Detail!$A146,'Leave Management'!$B:$B,Detail!D$1)</f>
        <v>0</v>
      </c>
      <c r="E146" s="7">
        <f>SUMIFS('Leave Management'!$L:$L,'Leave Management'!$C:$C,Detail!$A146,'Leave Management'!$B:$B,Detail!E$1)</f>
        <v>1</v>
      </c>
      <c r="F146" s="7">
        <f>SUMIFS('Leave Management'!$L:$L,'Leave Management'!$C:$C,Detail!$A146,'Leave Management'!$B:$B,Detail!F$1)</f>
        <v>0</v>
      </c>
      <c r="G146" s="7">
        <f>SUMIFS('Leave Management'!$L:$L,'Leave Management'!$C:$C,Detail!$A146,'Leave Management'!$B:$B,Detail!G$1)</f>
        <v>0</v>
      </c>
      <c r="H146" s="7">
        <f>SUMIFS('Leave Management'!$L:$L,'Leave Management'!$C:$C,Detail!$A146,'Leave Management'!$B:$B,Detail!H$1)</f>
        <v>0</v>
      </c>
      <c r="I146" s="7">
        <f>SUMIFS('Leave Management'!$L:$L,'Leave Management'!$C:$C,Detail!$A146,'Leave Management'!$B:$B,Detail!I$1)</f>
        <v>0</v>
      </c>
      <c r="J146" s="7">
        <f>SUMIFS('Leave Management'!$L:$L,'Leave Management'!$C:$C,Detail!$A146,'Leave Management'!$B:$B,Detail!J$1)</f>
        <v>0</v>
      </c>
      <c r="K146" s="7">
        <f>SUMIFS('Leave Management'!$L:$L,'Leave Management'!$C:$C,Detail!$A146,'Leave Management'!$B:$B,Detail!K$1)</f>
        <v>0</v>
      </c>
      <c r="L146" s="7">
        <f>SUMIFS('Leave Management'!$L:$L,'Leave Management'!$C:$C,Detail!$A146,'Leave Management'!$B:$B,Detail!L$1)</f>
        <v>0</v>
      </c>
      <c r="M146" s="7">
        <f>SUMIFS('Leave Management'!$L:$L,'Leave Management'!$C:$C,Detail!$A146,'Leave Management'!$B:$B,Detail!M$1)</f>
        <v>0</v>
      </c>
      <c r="N146" s="7">
        <f>SUMIFS('Leave Management'!$L:$L,'Leave Management'!$C:$C,Detail!$A146,'Leave Management'!$B:$B,Detail!N$1)</f>
        <v>0</v>
      </c>
      <c r="O146" s="7">
        <f t="shared" si="6"/>
        <v>11</v>
      </c>
    </row>
    <row r="147" spans="1:15" x14ac:dyDescent="0.25">
      <c r="A147" s="24">
        <v>43245</v>
      </c>
      <c r="B147" s="2" t="str">
        <f t="shared" si="5"/>
        <v>Fri</v>
      </c>
      <c r="C147" s="7">
        <f>SUMIFS('Leave Management'!$L:$L,'Leave Management'!$C:$C,Detail!$A147,'Leave Management'!$B:$B,Detail!C$1)</f>
        <v>0</v>
      </c>
      <c r="D147" s="7">
        <f>SUMIFS('Leave Management'!$L:$L,'Leave Management'!$C:$C,Detail!$A147,'Leave Management'!$B:$B,Detail!D$1)</f>
        <v>0</v>
      </c>
      <c r="E147" s="7">
        <f>SUMIFS('Leave Management'!$L:$L,'Leave Management'!$C:$C,Detail!$A147,'Leave Management'!$B:$B,Detail!E$1)</f>
        <v>1</v>
      </c>
      <c r="F147" s="7">
        <f>SUMIFS('Leave Management'!$L:$L,'Leave Management'!$C:$C,Detail!$A147,'Leave Management'!$B:$B,Detail!F$1)</f>
        <v>0</v>
      </c>
      <c r="G147" s="7">
        <f>SUMIFS('Leave Management'!$L:$L,'Leave Management'!$C:$C,Detail!$A147,'Leave Management'!$B:$B,Detail!G$1)</f>
        <v>0</v>
      </c>
      <c r="H147" s="7">
        <f>SUMIFS('Leave Management'!$L:$L,'Leave Management'!$C:$C,Detail!$A147,'Leave Management'!$B:$B,Detail!H$1)</f>
        <v>0</v>
      </c>
      <c r="I147" s="7">
        <f>SUMIFS('Leave Management'!$L:$L,'Leave Management'!$C:$C,Detail!$A147,'Leave Management'!$B:$B,Detail!I$1)</f>
        <v>0</v>
      </c>
      <c r="J147" s="7">
        <f>SUMIFS('Leave Management'!$L:$L,'Leave Management'!$C:$C,Detail!$A147,'Leave Management'!$B:$B,Detail!J$1)</f>
        <v>0</v>
      </c>
      <c r="K147" s="7">
        <f>SUMIFS('Leave Management'!$L:$L,'Leave Management'!$C:$C,Detail!$A147,'Leave Management'!$B:$B,Detail!K$1)</f>
        <v>0</v>
      </c>
      <c r="L147" s="7">
        <f>SUMIFS('Leave Management'!$L:$L,'Leave Management'!$C:$C,Detail!$A147,'Leave Management'!$B:$B,Detail!L$1)</f>
        <v>0</v>
      </c>
      <c r="M147" s="7">
        <f>SUMIFS('Leave Management'!$L:$L,'Leave Management'!$C:$C,Detail!$A147,'Leave Management'!$B:$B,Detail!M$1)</f>
        <v>0</v>
      </c>
      <c r="N147" s="7">
        <f>SUMIFS('Leave Management'!$L:$L,'Leave Management'!$C:$C,Detail!$A147,'Leave Management'!$B:$B,Detail!N$1)</f>
        <v>0</v>
      </c>
      <c r="O147" s="7">
        <f t="shared" si="6"/>
        <v>11</v>
      </c>
    </row>
    <row r="148" spans="1:15" x14ac:dyDescent="0.25">
      <c r="A148" s="24">
        <v>43246</v>
      </c>
      <c r="B148" s="2" t="str">
        <f t="shared" si="5"/>
        <v>Sat</v>
      </c>
      <c r="C148" s="7">
        <f>SUMIFS('Leave Management'!$L:$L,'Leave Management'!$C:$C,Detail!$A148,'Leave Management'!$B:$B,Detail!C$1)</f>
        <v>0</v>
      </c>
      <c r="D148" s="7">
        <f>SUMIFS('Leave Management'!$L:$L,'Leave Management'!$C:$C,Detail!$A148,'Leave Management'!$B:$B,Detail!D$1)</f>
        <v>0</v>
      </c>
      <c r="E148" s="7">
        <f>SUMIFS('Leave Management'!$L:$L,'Leave Management'!$C:$C,Detail!$A148,'Leave Management'!$B:$B,Detail!E$1)</f>
        <v>0</v>
      </c>
      <c r="F148" s="7">
        <f>SUMIFS('Leave Management'!$L:$L,'Leave Management'!$C:$C,Detail!$A148,'Leave Management'!$B:$B,Detail!F$1)</f>
        <v>2</v>
      </c>
      <c r="G148" s="7">
        <f>SUMIFS('Leave Management'!$L:$L,'Leave Management'!$C:$C,Detail!$A148,'Leave Management'!$B:$B,Detail!G$1)</f>
        <v>0</v>
      </c>
      <c r="H148" s="7">
        <f>SUMIFS('Leave Management'!$L:$L,'Leave Management'!$C:$C,Detail!$A148,'Leave Management'!$B:$B,Detail!H$1)</f>
        <v>0</v>
      </c>
      <c r="I148" s="7">
        <f>SUMIFS('Leave Management'!$L:$L,'Leave Management'!$C:$C,Detail!$A148,'Leave Management'!$B:$B,Detail!I$1)</f>
        <v>0</v>
      </c>
      <c r="J148" s="7">
        <f>SUMIFS('Leave Management'!$L:$L,'Leave Management'!$C:$C,Detail!$A148,'Leave Management'!$B:$B,Detail!J$1)</f>
        <v>0</v>
      </c>
      <c r="K148" s="7">
        <f>SUMIFS('Leave Management'!$L:$L,'Leave Management'!$C:$C,Detail!$A148,'Leave Management'!$B:$B,Detail!K$1)</f>
        <v>0</v>
      </c>
      <c r="L148" s="7">
        <f>SUMIFS('Leave Management'!$L:$L,'Leave Management'!$C:$C,Detail!$A148,'Leave Management'!$B:$B,Detail!L$1)</f>
        <v>0</v>
      </c>
      <c r="M148" s="7">
        <f>SUMIFS('Leave Management'!$L:$L,'Leave Management'!$C:$C,Detail!$A148,'Leave Management'!$B:$B,Detail!M$1)</f>
        <v>0</v>
      </c>
      <c r="N148" s="7">
        <f>SUMIFS('Leave Management'!$L:$L,'Leave Management'!$C:$C,Detail!$A148,'Leave Management'!$B:$B,Detail!N$1)</f>
        <v>0</v>
      </c>
      <c r="O148" s="7">
        <f t="shared" si="6"/>
        <v>10</v>
      </c>
    </row>
    <row r="149" spans="1:15" x14ac:dyDescent="0.25">
      <c r="A149" s="24">
        <v>43247</v>
      </c>
      <c r="B149" s="2" t="str">
        <f t="shared" si="5"/>
        <v>Sun</v>
      </c>
      <c r="C149" s="7">
        <f>SUMIFS('Leave Management'!$L:$L,'Leave Management'!$C:$C,Detail!$A149,'Leave Management'!$B:$B,Detail!C$1)</f>
        <v>0</v>
      </c>
      <c r="D149" s="7">
        <f>SUMIFS('Leave Management'!$L:$L,'Leave Management'!$C:$C,Detail!$A149,'Leave Management'!$B:$B,Detail!D$1)</f>
        <v>0</v>
      </c>
      <c r="E149" s="7">
        <f>SUMIFS('Leave Management'!$L:$L,'Leave Management'!$C:$C,Detail!$A149,'Leave Management'!$B:$B,Detail!E$1)</f>
        <v>0</v>
      </c>
      <c r="F149" s="7">
        <f>SUMIFS('Leave Management'!$L:$L,'Leave Management'!$C:$C,Detail!$A149,'Leave Management'!$B:$B,Detail!F$1)</f>
        <v>0</v>
      </c>
      <c r="G149" s="7">
        <f>SUMIFS('Leave Management'!$L:$L,'Leave Management'!$C:$C,Detail!$A149,'Leave Management'!$B:$B,Detail!G$1)</f>
        <v>0</v>
      </c>
      <c r="H149" s="7">
        <f>SUMIFS('Leave Management'!$L:$L,'Leave Management'!$C:$C,Detail!$A149,'Leave Management'!$B:$B,Detail!H$1)</f>
        <v>0</v>
      </c>
      <c r="I149" s="7">
        <f>SUMIFS('Leave Management'!$L:$L,'Leave Management'!$C:$C,Detail!$A149,'Leave Management'!$B:$B,Detail!I$1)</f>
        <v>0</v>
      </c>
      <c r="J149" s="7">
        <f>SUMIFS('Leave Management'!$L:$L,'Leave Management'!$C:$C,Detail!$A149,'Leave Management'!$B:$B,Detail!J$1)</f>
        <v>0</v>
      </c>
      <c r="K149" s="7">
        <f>SUMIFS('Leave Management'!$L:$L,'Leave Management'!$C:$C,Detail!$A149,'Leave Management'!$B:$B,Detail!K$1)</f>
        <v>0</v>
      </c>
      <c r="L149" s="7">
        <f>SUMIFS('Leave Management'!$L:$L,'Leave Management'!$C:$C,Detail!$A149,'Leave Management'!$B:$B,Detail!L$1)</f>
        <v>0</v>
      </c>
      <c r="M149" s="7">
        <f>SUMIFS('Leave Management'!$L:$L,'Leave Management'!$C:$C,Detail!$A149,'Leave Management'!$B:$B,Detail!M$1)</f>
        <v>0</v>
      </c>
      <c r="N149" s="7">
        <f>SUMIFS('Leave Management'!$L:$L,'Leave Management'!$C:$C,Detail!$A149,'Leave Management'!$B:$B,Detail!N$1)</f>
        <v>0</v>
      </c>
      <c r="O149" s="7">
        <f t="shared" si="6"/>
        <v>12</v>
      </c>
    </row>
    <row r="150" spans="1:15" x14ac:dyDescent="0.25">
      <c r="A150" s="24">
        <v>43248</v>
      </c>
      <c r="B150" s="2" t="str">
        <f t="shared" si="5"/>
        <v>Mon</v>
      </c>
      <c r="C150" s="7">
        <f>SUMIFS('Leave Management'!$L:$L,'Leave Management'!$C:$C,Detail!$A150,'Leave Management'!$B:$B,Detail!C$1)</f>
        <v>0</v>
      </c>
      <c r="D150" s="7">
        <f>SUMIFS('Leave Management'!$L:$L,'Leave Management'!$C:$C,Detail!$A150,'Leave Management'!$B:$B,Detail!D$1)</f>
        <v>0</v>
      </c>
      <c r="E150" s="7">
        <f>SUMIFS('Leave Management'!$L:$L,'Leave Management'!$C:$C,Detail!$A150,'Leave Management'!$B:$B,Detail!E$1)</f>
        <v>0</v>
      </c>
      <c r="F150" s="7">
        <f>SUMIFS('Leave Management'!$L:$L,'Leave Management'!$C:$C,Detail!$A150,'Leave Management'!$B:$B,Detail!F$1)</f>
        <v>0</v>
      </c>
      <c r="G150" s="7">
        <f>SUMIFS('Leave Management'!$L:$L,'Leave Management'!$C:$C,Detail!$A150,'Leave Management'!$B:$B,Detail!G$1)</f>
        <v>0</v>
      </c>
      <c r="H150" s="7">
        <f>SUMIFS('Leave Management'!$L:$L,'Leave Management'!$C:$C,Detail!$A150,'Leave Management'!$B:$B,Detail!H$1)</f>
        <v>0</v>
      </c>
      <c r="I150" s="7">
        <f>SUMIFS('Leave Management'!$L:$L,'Leave Management'!$C:$C,Detail!$A150,'Leave Management'!$B:$B,Detail!I$1)</f>
        <v>0</v>
      </c>
      <c r="J150" s="7">
        <f>SUMIFS('Leave Management'!$L:$L,'Leave Management'!$C:$C,Detail!$A150,'Leave Management'!$B:$B,Detail!J$1)</f>
        <v>0</v>
      </c>
      <c r="K150" s="7">
        <f>SUMIFS('Leave Management'!$L:$L,'Leave Management'!$C:$C,Detail!$A150,'Leave Management'!$B:$B,Detail!K$1)</f>
        <v>0</v>
      </c>
      <c r="L150" s="7">
        <f>SUMIFS('Leave Management'!$L:$L,'Leave Management'!$C:$C,Detail!$A150,'Leave Management'!$B:$B,Detail!L$1)</f>
        <v>0</v>
      </c>
      <c r="M150" s="7">
        <f>SUMIFS('Leave Management'!$L:$L,'Leave Management'!$C:$C,Detail!$A150,'Leave Management'!$B:$B,Detail!M$1)</f>
        <v>0</v>
      </c>
      <c r="N150" s="7">
        <f>SUMIFS('Leave Management'!$L:$L,'Leave Management'!$C:$C,Detail!$A150,'Leave Management'!$B:$B,Detail!N$1)</f>
        <v>0</v>
      </c>
      <c r="O150" s="7">
        <f t="shared" si="6"/>
        <v>12</v>
      </c>
    </row>
    <row r="151" spans="1:15" x14ac:dyDescent="0.25">
      <c r="A151" s="24">
        <v>43249</v>
      </c>
      <c r="B151" s="2" t="str">
        <f t="shared" si="5"/>
        <v>Tue</v>
      </c>
      <c r="C151" s="7">
        <f>SUMIFS('Leave Management'!$L:$L,'Leave Management'!$C:$C,Detail!$A151,'Leave Management'!$B:$B,Detail!C$1)</f>
        <v>0</v>
      </c>
      <c r="D151" s="7">
        <f>SUMIFS('Leave Management'!$L:$L,'Leave Management'!$C:$C,Detail!$A151,'Leave Management'!$B:$B,Detail!D$1)</f>
        <v>0</v>
      </c>
      <c r="E151" s="7">
        <f>SUMIFS('Leave Management'!$L:$L,'Leave Management'!$C:$C,Detail!$A151,'Leave Management'!$B:$B,Detail!E$1)</f>
        <v>0</v>
      </c>
      <c r="F151" s="7">
        <f>SUMIFS('Leave Management'!$L:$L,'Leave Management'!$C:$C,Detail!$A151,'Leave Management'!$B:$B,Detail!F$1)</f>
        <v>0</v>
      </c>
      <c r="G151" s="7">
        <f>SUMIFS('Leave Management'!$L:$L,'Leave Management'!$C:$C,Detail!$A151,'Leave Management'!$B:$B,Detail!G$1)</f>
        <v>0</v>
      </c>
      <c r="H151" s="7">
        <f>SUMIFS('Leave Management'!$L:$L,'Leave Management'!$C:$C,Detail!$A151,'Leave Management'!$B:$B,Detail!H$1)</f>
        <v>0</v>
      </c>
      <c r="I151" s="7">
        <f>SUMIFS('Leave Management'!$L:$L,'Leave Management'!$C:$C,Detail!$A151,'Leave Management'!$B:$B,Detail!I$1)</f>
        <v>0</v>
      </c>
      <c r="J151" s="7">
        <f>SUMIFS('Leave Management'!$L:$L,'Leave Management'!$C:$C,Detail!$A151,'Leave Management'!$B:$B,Detail!J$1)</f>
        <v>0</v>
      </c>
      <c r="K151" s="7">
        <f>SUMIFS('Leave Management'!$L:$L,'Leave Management'!$C:$C,Detail!$A151,'Leave Management'!$B:$B,Detail!K$1)</f>
        <v>0</v>
      </c>
      <c r="L151" s="7">
        <f>SUMIFS('Leave Management'!$L:$L,'Leave Management'!$C:$C,Detail!$A151,'Leave Management'!$B:$B,Detail!L$1)</f>
        <v>0</v>
      </c>
      <c r="M151" s="7">
        <f>SUMIFS('Leave Management'!$L:$L,'Leave Management'!$C:$C,Detail!$A151,'Leave Management'!$B:$B,Detail!M$1)</f>
        <v>0</v>
      </c>
      <c r="N151" s="7">
        <f>SUMIFS('Leave Management'!$L:$L,'Leave Management'!$C:$C,Detail!$A151,'Leave Management'!$B:$B,Detail!N$1)</f>
        <v>0</v>
      </c>
      <c r="O151" s="7">
        <f t="shared" si="6"/>
        <v>12</v>
      </c>
    </row>
    <row r="152" spans="1:15" x14ac:dyDescent="0.25">
      <c r="A152" s="24">
        <v>43250</v>
      </c>
      <c r="B152" s="2" t="str">
        <f t="shared" si="5"/>
        <v>Wed</v>
      </c>
      <c r="C152" s="7">
        <f>SUMIFS('Leave Management'!$L:$L,'Leave Management'!$C:$C,Detail!$A152,'Leave Management'!$B:$B,Detail!C$1)</f>
        <v>0</v>
      </c>
      <c r="D152" s="7">
        <f>SUMIFS('Leave Management'!$L:$L,'Leave Management'!$C:$C,Detail!$A152,'Leave Management'!$B:$B,Detail!D$1)</f>
        <v>0</v>
      </c>
      <c r="E152" s="7">
        <f>SUMIFS('Leave Management'!$L:$L,'Leave Management'!$C:$C,Detail!$A152,'Leave Management'!$B:$B,Detail!E$1)</f>
        <v>0</v>
      </c>
      <c r="F152" s="7">
        <f>SUMIFS('Leave Management'!$L:$L,'Leave Management'!$C:$C,Detail!$A152,'Leave Management'!$B:$B,Detail!F$1)</f>
        <v>0</v>
      </c>
      <c r="G152" s="7">
        <f>SUMIFS('Leave Management'!$L:$L,'Leave Management'!$C:$C,Detail!$A152,'Leave Management'!$B:$B,Detail!G$1)</f>
        <v>0</v>
      </c>
      <c r="H152" s="7">
        <f>SUMIFS('Leave Management'!$L:$L,'Leave Management'!$C:$C,Detail!$A152,'Leave Management'!$B:$B,Detail!H$1)</f>
        <v>0</v>
      </c>
      <c r="I152" s="7">
        <f>SUMIFS('Leave Management'!$L:$L,'Leave Management'!$C:$C,Detail!$A152,'Leave Management'!$B:$B,Detail!I$1)</f>
        <v>0</v>
      </c>
      <c r="J152" s="7">
        <f>SUMIFS('Leave Management'!$L:$L,'Leave Management'!$C:$C,Detail!$A152,'Leave Management'!$B:$B,Detail!J$1)</f>
        <v>0</v>
      </c>
      <c r="K152" s="7">
        <f>SUMIFS('Leave Management'!$L:$L,'Leave Management'!$C:$C,Detail!$A152,'Leave Management'!$B:$B,Detail!K$1)</f>
        <v>0</v>
      </c>
      <c r="L152" s="7">
        <f>SUMIFS('Leave Management'!$L:$L,'Leave Management'!$C:$C,Detail!$A152,'Leave Management'!$B:$B,Detail!L$1)</f>
        <v>0</v>
      </c>
      <c r="M152" s="7">
        <f>SUMIFS('Leave Management'!$L:$L,'Leave Management'!$C:$C,Detail!$A152,'Leave Management'!$B:$B,Detail!M$1)</f>
        <v>0</v>
      </c>
      <c r="N152" s="7">
        <f>SUMIFS('Leave Management'!$L:$L,'Leave Management'!$C:$C,Detail!$A152,'Leave Management'!$B:$B,Detail!N$1)</f>
        <v>0</v>
      </c>
      <c r="O152" s="7">
        <f t="shared" si="6"/>
        <v>12</v>
      </c>
    </row>
    <row r="153" spans="1:15" x14ac:dyDescent="0.25">
      <c r="A153" s="24">
        <v>43251</v>
      </c>
      <c r="B153" s="2" t="str">
        <f t="shared" si="5"/>
        <v>Thu</v>
      </c>
      <c r="C153" s="7">
        <f>SUMIFS('Leave Management'!$L:$L,'Leave Management'!$C:$C,Detail!$A153,'Leave Management'!$B:$B,Detail!C$1)</f>
        <v>0</v>
      </c>
      <c r="D153" s="7">
        <f>SUMIFS('Leave Management'!$L:$L,'Leave Management'!$C:$C,Detail!$A153,'Leave Management'!$B:$B,Detail!D$1)</f>
        <v>0</v>
      </c>
      <c r="E153" s="7">
        <f>SUMIFS('Leave Management'!$L:$L,'Leave Management'!$C:$C,Detail!$A153,'Leave Management'!$B:$B,Detail!E$1)</f>
        <v>0</v>
      </c>
      <c r="F153" s="7">
        <f>SUMIFS('Leave Management'!$L:$L,'Leave Management'!$C:$C,Detail!$A153,'Leave Management'!$B:$B,Detail!F$1)</f>
        <v>0</v>
      </c>
      <c r="G153" s="7">
        <f>SUMIFS('Leave Management'!$L:$L,'Leave Management'!$C:$C,Detail!$A153,'Leave Management'!$B:$B,Detail!G$1)</f>
        <v>0</v>
      </c>
      <c r="H153" s="7">
        <f>SUMIFS('Leave Management'!$L:$L,'Leave Management'!$C:$C,Detail!$A153,'Leave Management'!$B:$B,Detail!H$1)</f>
        <v>0</v>
      </c>
      <c r="I153" s="7">
        <f>SUMIFS('Leave Management'!$L:$L,'Leave Management'!$C:$C,Detail!$A153,'Leave Management'!$B:$B,Detail!I$1)</f>
        <v>0</v>
      </c>
      <c r="J153" s="7">
        <f>SUMIFS('Leave Management'!$L:$L,'Leave Management'!$C:$C,Detail!$A153,'Leave Management'!$B:$B,Detail!J$1)</f>
        <v>0</v>
      </c>
      <c r="K153" s="7">
        <f>SUMIFS('Leave Management'!$L:$L,'Leave Management'!$C:$C,Detail!$A153,'Leave Management'!$B:$B,Detail!K$1)</f>
        <v>0</v>
      </c>
      <c r="L153" s="7">
        <f>SUMIFS('Leave Management'!$L:$L,'Leave Management'!$C:$C,Detail!$A153,'Leave Management'!$B:$B,Detail!L$1)</f>
        <v>0</v>
      </c>
      <c r="M153" s="7">
        <f>SUMIFS('Leave Management'!$L:$L,'Leave Management'!$C:$C,Detail!$A153,'Leave Management'!$B:$B,Detail!M$1)</f>
        <v>0</v>
      </c>
      <c r="N153" s="7">
        <f>SUMIFS('Leave Management'!$L:$L,'Leave Management'!$C:$C,Detail!$A153,'Leave Management'!$B:$B,Detail!N$1)</f>
        <v>0</v>
      </c>
      <c r="O153" s="7">
        <f t="shared" si="6"/>
        <v>12</v>
      </c>
    </row>
    <row r="154" spans="1:15" x14ac:dyDescent="0.25">
      <c r="A154" s="24">
        <v>43252</v>
      </c>
      <c r="B154" s="2" t="str">
        <f t="shared" si="5"/>
        <v>Fri</v>
      </c>
      <c r="C154" s="7">
        <f>SUMIFS('Leave Management'!$L:$L,'Leave Management'!$C:$C,Detail!$A154,'Leave Management'!$B:$B,Detail!C$1)</f>
        <v>0</v>
      </c>
      <c r="D154" s="7">
        <f>SUMIFS('Leave Management'!$L:$L,'Leave Management'!$C:$C,Detail!$A154,'Leave Management'!$B:$B,Detail!D$1)</f>
        <v>0</v>
      </c>
      <c r="E154" s="7">
        <f>SUMIFS('Leave Management'!$L:$L,'Leave Management'!$C:$C,Detail!$A154,'Leave Management'!$B:$B,Detail!E$1)</f>
        <v>0</v>
      </c>
      <c r="F154" s="7">
        <f>SUMIFS('Leave Management'!$L:$L,'Leave Management'!$C:$C,Detail!$A154,'Leave Management'!$B:$B,Detail!F$1)</f>
        <v>0</v>
      </c>
      <c r="G154" s="7">
        <f>SUMIFS('Leave Management'!$L:$L,'Leave Management'!$C:$C,Detail!$A154,'Leave Management'!$B:$B,Detail!G$1)</f>
        <v>0</v>
      </c>
      <c r="H154" s="7">
        <f>SUMIFS('Leave Management'!$L:$L,'Leave Management'!$C:$C,Detail!$A154,'Leave Management'!$B:$B,Detail!H$1)</f>
        <v>0</v>
      </c>
      <c r="I154" s="7">
        <f>SUMIFS('Leave Management'!$L:$L,'Leave Management'!$C:$C,Detail!$A154,'Leave Management'!$B:$B,Detail!I$1)</f>
        <v>0</v>
      </c>
      <c r="J154" s="7">
        <f>SUMIFS('Leave Management'!$L:$L,'Leave Management'!$C:$C,Detail!$A154,'Leave Management'!$B:$B,Detail!J$1)</f>
        <v>0</v>
      </c>
      <c r="K154" s="7">
        <f>SUMIFS('Leave Management'!$L:$L,'Leave Management'!$C:$C,Detail!$A154,'Leave Management'!$B:$B,Detail!K$1)</f>
        <v>0</v>
      </c>
      <c r="L154" s="7">
        <f>SUMIFS('Leave Management'!$L:$L,'Leave Management'!$C:$C,Detail!$A154,'Leave Management'!$B:$B,Detail!L$1)</f>
        <v>0</v>
      </c>
      <c r="M154" s="7">
        <f>SUMIFS('Leave Management'!$L:$L,'Leave Management'!$C:$C,Detail!$A154,'Leave Management'!$B:$B,Detail!M$1)</f>
        <v>0</v>
      </c>
      <c r="N154" s="7">
        <f>SUMIFS('Leave Management'!$L:$L,'Leave Management'!$C:$C,Detail!$A154,'Leave Management'!$B:$B,Detail!N$1)</f>
        <v>0</v>
      </c>
      <c r="O154" s="7">
        <f t="shared" si="6"/>
        <v>12</v>
      </c>
    </row>
    <row r="155" spans="1:15" x14ac:dyDescent="0.25">
      <c r="A155" s="24">
        <v>43253</v>
      </c>
      <c r="B155" s="2" t="str">
        <f t="shared" si="5"/>
        <v>Sat</v>
      </c>
      <c r="C155" s="7">
        <f>SUMIFS('Leave Management'!$L:$L,'Leave Management'!$C:$C,Detail!$A155,'Leave Management'!$B:$B,Detail!C$1)</f>
        <v>0</v>
      </c>
      <c r="D155" s="7">
        <f>SUMIFS('Leave Management'!$L:$L,'Leave Management'!$C:$C,Detail!$A155,'Leave Management'!$B:$B,Detail!D$1)</f>
        <v>0</v>
      </c>
      <c r="E155" s="7">
        <f>SUMIFS('Leave Management'!$L:$L,'Leave Management'!$C:$C,Detail!$A155,'Leave Management'!$B:$B,Detail!E$1)</f>
        <v>0</v>
      </c>
      <c r="F155" s="7">
        <f>SUMIFS('Leave Management'!$L:$L,'Leave Management'!$C:$C,Detail!$A155,'Leave Management'!$B:$B,Detail!F$1)</f>
        <v>0</v>
      </c>
      <c r="G155" s="7">
        <f>SUMIFS('Leave Management'!$L:$L,'Leave Management'!$C:$C,Detail!$A155,'Leave Management'!$B:$B,Detail!G$1)</f>
        <v>0</v>
      </c>
      <c r="H155" s="7">
        <f>SUMIFS('Leave Management'!$L:$L,'Leave Management'!$C:$C,Detail!$A155,'Leave Management'!$B:$B,Detail!H$1)</f>
        <v>0</v>
      </c>
      <c r="I155" s="7">
        <f>SUMIFS('Leave Management'!$L:$L,'Leave Management'!$C:$C,Detail!$A155,'Leave Management'!$B:$B,Detail!I$1)</f>
        <v>0</v>
      </c>
      <c r="J155" s="7">
        <f>SUMIFS('Leave Management'!$L:$L,'Leave Management'!$C:$C,Detail!$A155,'Leave Management'!$B:$B,Detail!J$1)</f>
        <v>0</v>
      </c>
      <c r="K155" s="7">
        <f>SUMIFS('Leave Management'!$L:$L,'Leave Management'!$C:$C,Detail!$A155,'Leave Management'!$B:$B,Detail!K$1)</f>
        <v>0</v>
      </c>
      <c r="L155" s="7">
        <f>SUMIFS('Leave Management'!$L:$L,'Leave Management'!$C:$C,Detail!$A155,'Leave Management'!$B:$B,Detail!L$1)</f>
        <v>0</v>
      </c>
      <c r="M155" s="7">
        <f>SUMIFS('Leave Management'!$L:$L,'Leave Management'!$C:$C,Detail!$A155,'Leave Management'!$B:$B,Detail!M$1)</f>
        <v>0</v>
      </c>
      <c r="N155" s="7">
        <f>SUMIFS('Leave Management'!$L:$L,'Leave Management'!$C:$C,Detail!$A155,'Leave Management'!$B:$B,Detail!N$1)</f>
        <v>0</v>
      </c>
      <c r="O155" s="7">
        <f t="shared" si="6"/>
        <v>12</v>
      </c>
    </row>
    <row r="156" spans="1:15" x14ac:dyDescent="0.25">
      <c r="A156" s="24">
        <v>43254</v>
      </c>
      <c r="B156" s="2" t="str">
        <f t="shared" si="5"/>
        <v>Sun</v>
      </c>
      <c r="C156" s="7">
        <f>SUMIFS('Leave Management'!$L:$L,'Leave Management'!$C:$C,Detail!$A156,'Leave Management'!$B:$B,Detail!C$1)</f>
        <v>0</v>
      </c>
      <c r="D156" s="7">
        <f>SUMIFS('Leave Management'!$L:$L,'Leave Management'!$C:$C,Detail!$A156,'Leave Management'!$B:$B,Detail!D$1)</f>
        <v>0</v>
      </c>
      <c r="E156" s="7">
        <f>SUMIFS('Leave Management'!$L:$L,'Leave Management'!$C:$C,Detail!$A156,'Leave Management'!$B:$B,Detail!E$1)</f>
        <v>0</v>
      </c>
      <c r="F156" s="7">
        <f>SUMIFS('Leave Management'!$L:$L,'Leave Management'!$C:$C,Detail!$A156,'Leave Management'!$B:$B,Detail!F$1)</f>
        <v>0</v>
      </c>
      <c r="G156" s="7">
        <f>SUMIFS('Leave Management'!$L:$L,'Leave Management'!$C:$C,Detail!$A156,'Leave Management'!$B:$B,Detail!G$1)</f>
        <v>0</v>
      </c>
      <c r="H156" s="7">
        <f>SUMIFS('Leave Management'!$L:$L,'Leave Management'!$C:$C,Detail!$A156,'Leave Management'!$B:$B,Detail!H$1)</f>
        <v>0</v>
      </c>
      <c r="I156" s="7">
        <f>SUMIFS('Leave Management'!$L:$L,'Leave Management'!$C:$C,Detail!$A156,'Leave Management'!$B:$B,Detail!I$1)</f>
        <v>0</v>
      </c>
      <c r="J156" s="7">
        <f>SUMIFS('Leave Management'!$L:$L,'Leave Management'!$C:$C,Detail!$A156,'Leave Management'!$B:$B,Detail!J$1)</f>
        <v>0</v>
      </c>
      <c r="K156" s="7">
        <f>SUMIFS('Leave Management'!$L:$L,'Leave Management'!$C:$C,Detail!$A156,'Leave Management'!$B:$B,Detail!K$1)</f>
        <v>0</v>
      </c>
      <c r="L156" s="7">
        <f>SUMIFS('Leave Management'!$L:$L,'Leave Management'!$C:$C,Detail!$A156,'Leave Management'!$B:$B,Detail!L$1)</f>
        <v>0</v>
      </c>
      <c r="M156" s="7">
        <f>SUMIFS('Leave Management'!$L:$L,'Leave Management'!$C:$C,Detail!$A156,'Leave Management'!$B:$B,Detail!M$1)</f>
        <v>0</v>
      </c>
      <c r="N156" s="7">
        <f>SUMIFS('Leave Management'!$L:$L,'Leave Management'!$C:$C,Detail!$A156,'Leave Management'!$B:$B,Detail!N$1)</f>
        <v>0</v>
      </c>
      <c r="O156" s="7">
        <f t="shared" si="6"/>
        <v>12</v>
      </c>
    </row>
    <row r="157" spans="1:15" x14ac:dyDescent="0.25">
      <c r="A157" s="24">
        <v>43255</v>
      </c>
      <c r="B157" s="2" t="str">
        <f t="shared" si="5"/>
        <v>Mon</v>
      </c>
      <c r="C157" s="7">
        <f>SUMIFS('Leave Management'!$L:$L,'Leave Management'!$C:$C,Detail!$A157,'Leave Management'!$B:$B,Detail!C$1)</f>
        <v>0</v>
      </c>
      <c r="D157" s="7">
        <f>SUMIFS('Leave Management'!$L:$L,'Leave Management'!$C:$C,Detail!$A157,'Leave Management'!$B:$B,Detail!D$1)</f>
        <v>0</v>
      </c>
      <c r="E157" s="7">
        <f>SUMIFS('Leave Management'!$L:$L,'Leave Management'!$C:$C,Detail!$A157,'Leave Management'!$B:$B,Detail!E$1)</f>
        <v>0</v>
      </c>
      <c r="F157" s="7">
        <f>SUMIFS('Leave Management'!$L:$L,'Leave Management'!$C:$C,Detail!$A157,'Leave Management'!$B:$B,Detail!F$1)</f>
        <v>0</v>
      </c>
      <c r="G157" s="7">
        <f>SUMIFS('Leave Management'!$L:$L,'Leave Management'!$C:$C,Detail!$A157,'Leave Management'!$B:$B,Detail!G$1)</f>
        <v>0</v>
      </c>
      <c r="H157" s="7">
        <f>SUMIFS('Leave Management'!$L:$L,'Leave Management'!$C:$C,Detail!$A157,'Leave Management'!$B:$B,Detail!H$1)</f>
        <v>0</v>
      </c>
      <c r="I157" s="7">
        <f>SUMIFS('Leave Management'!$L:$L,'Leave Management'!$C:$C,Detail!$A157,'Leave Management'!$B:$B,Detail!I$1)</f>
        <v>0</v>
      </c>
      <c r="J157" s="7">
        <f>SUMIFS('Leave Management'!$L:$L,'Leave Management'!$C:$C,Detail!$A157,'Leave Management'!$B:$B,Detail!J$1)</f>
        <v>0</v>
      </c>
      <c r="K157" s="7">
        <f>SUMIFS('Leave Management'!$L:$L,'Leave Management'!$C:$C,Detail!$A157,'Leave Management'!$B:$B,Detail!K$1)</f>
        <v>0</v>
      </c>
      <c r="L157" s="7">
        <f>SUMIFS('Leave Management'!$L:$L,'Leave Management'!$C:$C,Detail!$A157,'Leave Management'!$B:$B,Detail!L$1)</f>
        <v>0</v>
      </c>
      <c r="M157" s="7">
        <f>SUMIFS('Leave Management'!$L:$L,'Leave Management'!$C:$C,Detail!$A157,'Leave Management'!$B:$B,Detail!M$1)</f>
        <v>0</v>
      </c>
      <c r="N157" s="7">
        <f>SUMIFS('Leave Management'!$L:$L,'Leave Management'!$C:$C,Detail!$A157,'Leave Management'!$B:$B,Detail!N$1)</f>
        <v>0</v>
      </c>
      <c r="O157" s="7">
        <f t="shared" si="6"/>
        <v>12</v>
      </c>
    </row>
    <row r="158" spans="1:15" x14ac:dyDescent="0.25">
      <c r="A158" s="24">
        <v>43256</v>
      </c>
      <c r="B158" s="2" t="str">
        <f t="shared" si="5"/>
        <v>Tue</v>
      </c>
      <c r="C158" s="7">
        <f>SUMIFS('Leave Management'!$L:$L,'Leave Management'!$C:$C,Detail!$A158,'Leave Management'!$B:$B,Detail!C$1)</f>
        <v>0</v>
      </c>
      <c r="D158" s="7">
        <f>SUMIFS('Leave Management'!$L:$L,'Leave Management'!$C:$C,Detail!$A158,'Leave Management'!$B:$B,Detail!D$1)</f>
        <v>0</v>
      </c>
      <c r="E158" s="7">
        <f>SUMIFS('Leave Management'!$L:$L,'Leave Management'!$C:$C,Detail!$A158,'Leave Management'!$B:$B,Detail!E$1)</f>
        <v>0</v>
      </c>
      <c r="F158" s="7">
        <f>SUMIFS('Leave Management'!$L:$L,'Leave Management'!$C:$C,Detail!$A158,'Leave Management'!$B:$B,Detail!F$1)</f>
        <v>0</v>
      </c>
      <c r="G158" s="7">
        <f>SUMIFS('Leave Management'!$L:$L,'Leave Management'!$C:$C,Detail!$A158,'Leave Management'!$B:$B,Detail!G$1)</f>
        <v>0</v>
      </c>
      <c r="H158" s="7">
        <f>SUMIFS('Leave Management'!$L:$L,'Leave Management'!$C:$C,Detail!$A158,'Leave Management'!$B:$B,Detail!H$1)</f>
        <v>0</v>
      </c>
      <c r="I158" s="7">
        <f>SUMIFS('Leave Management'!$L:$L,'Leave Management'!$C:$C,Detail!$A158,'Leave Management'!$B:$B,Detail!I$1)</f>
        <v>0</v>
      </c>
      <c r="J158" s="7">
        <f>SUMIFS('Leave Management'!$L:$L,'Leave Management'!$C:$C,Detail!$A158,'Leave Management'!$B:$B,Detail!J$1)</f>
        <v>0</v>
      </c>
      <c r="K158" s="7">
        <f>SUMIFS('Leave Management'!$L:$L,'Leave Management'!$C:$C,Detail!$A158,'Leave Management'!$B:$B,Detail!K$1)</f>
        <v>0</v>
      </c>
      <c r="L158" s="7">
        <f>SUMIFS('Leave Management'!$L:$L,'Leave Management'!$C:$C,Detail!$A158,'Leave Management'!$B:$B,Detail!L$1)</f>
        <v>0</v>
      </c>
      <c r="M158" s="7">
        <f>SUMIFS('Leave Management'!$L:$L,'Leave Management'!$C:$C,Detail!$A158,'Leave Management'!$B:$B,Detail!M$1)</f>
        <v>0</v>
      </c>
      <c r="N158" s="7">
        <f>SUMIFS('Leave Management'!$L:$L,'Leave Management'!$C:$C,Detail!$A158,'Leave Management'!$B:$B,Detail!N$1)</f>
        <v>0</v>
      </c>
      <c r="O158" s="7">
        <f t="shared" si="6"/>
        <v>12</v>
      </c>
    </row>
    <row r="159" spans="1:15" x14ac:dyDescent="0.25">
      <c r="A159" s="24">
        <v>43257</v>
      </c>
      <c r="B159" s="2" t="str">
        <f t="shared" si="5"/>
        <v>Wed</v>
      </c>
      <c r="C159" s="7">
        <f>SUMIFS('Leave Management'!$L:$L,'Leave Management'!$C:$C,Detail!$A159,'Leave Management'!$B:$B,Detail!C$1)</f>
        <v>0</v>
      </c>
      <c r="D159" s="7">
        <f>SUMIFS('Leave Management'!$L:$L,'Leave Management'!$C:$C,Detail!$A159,'Leave Management'!$B:$B,Detail!D$1)</f>
        <v>1</v>
      </c>
      <c r="E159" s="7">
        <f>SUMIFS('Leave Management'!$L:$L,'Leave Management'!$C:$C,Detail!$A159,'Leave Management'!$B:$B,Detail!E$1)</f>
        <v>0</v>
      </c>
      <c r="F159" s="7">
        <f>SUMIFS('Leave Management'!$L:$L,'Leave Management'!$C:$C,Detail!$A159,'Leave Management'!$B:$B,Detail!F$1)</f>
        <v>0</v>
      </c>
      <c r="G159" s="7">
        <f>SUMIFS('Leave Management'!$L:$L,'Leave Management'!$C:$C,Detail!$A159,'Leave Management'!$B:$B,Detail!G$1)</f>
        <v>0</v>
      </c>
      <c r="H159" s="7">
        <f>SUMIFS('Leave Management'!$L:$L,'Leave Management'!$C:$C,Detail!$A159,'Leave Management'!$B:$B,Detail!H$1)</f>
        <v>0</v>
      </c>
      <c r="I159" s="7">
        <f>SUMIFS('Leave Management'!$L:$L,'Leave Management'!$C:$C,Detail!$A159,'Leave Management'!$B:$B,Detail!I$1)</f>
        <v>0</v>
      </c>
      <c r="J159" s="7">
        <f>SUMIFS('Leave Management'!$L:$L,'Leave Management'!$C:$C,Detail!$A159,'Leave Management'!$B:$B,Detail!J$1)</f>
        <v>0</v>
      </c>
      <c r="K159" s="7">
        <f>SUMIFS('Leave Management'!$L:$L,'Leave Management'!$C:$C,Detail!$A159,'Leave Management'!$B:$B,Detail!K$1)</f>
        <v>0</v>
      </c>
      <c r="L159" s="7">
        <f>SUMIFS('Leave Management'!$L:$L,'Leave Management'!$C:$C,Detail!$A159,'Leave Management'!$B:$B,Detail!L$1)</f>
        <v>0</v>
      </c>
      <c r="M159" s="7">
        <f>SUMIFS('Leave Management'!$L:$L,'Leave Management'!$C:$C,Detail!$A159,'Leave Management'!$B:$B,Detail!M$1)</f>
        <v>0</v>
      </c>
      <c r="N159" s="7">
        <f>SUMIFS('Leave Management'!$L:$L,'Leave Management'!$C:$C,Detail!$A159,'Leave Management'!$B:$B,Detail!N$1)</f>
        <v>0</v>
      </c>
      <c r="O159" s="7">
        <f t="shared" si="6"/>
        <v>11</v>
      </c>
    </row>
    <row r="160" spans="1:15" x14ac:dyDescent="0.25">
      <c r="A160" s="24">
        <v>43258</v>
      </c>
      <c r="B160" s="2" t="str">
        <f t="shared" si="5"/>
        <v>Thu</v>
      </c>
      <c r="C160" s="7">
        <f>SUMIFS('Leave Management'!$L:$L,'Leave Management'!$C:$C,Detail!$A160,'Leave Management'!$B:$B,Detail!C$1)</f>
        <v>0</v>
      </c>
      <c r="D160" s="7">
        <f>SUMIFS('Leave Management'!$L:$L,'Leave Management'!$C:$C,Detail!$A160,'Leave Management'!$B:$B,Detail!D$1)</f>
        <v>1</v>
      </c>
      <c r="E160" s="7">
        <f>SUMIFS('Leave Management'!$L:$L,'Leave Management'!$C:$C,Detail!$A160,'Leave Management'!$B:$B,Detail!E$1)</f>
        <v>1</v>
      </c>
      <c r="F160" s="7">
        <f>SUMIFS('Leave Management'!$L:$L,'Leave Management'!$C:$C,Detail!$A160,'Leave Management'!$B:$B,Detail!F$1)</f>
        <v>1</v>
      </c>
      <c r="G160" s="7">
        <f>SUMIFS('Leave Management'!$L:$L,'Leave Management'!$C:$C,Detail!$A160,'Leave Management'!$B:$B,Detail!G$1)</f>
        <v>0</v>
      </c>
      <c r="H160" s="7">
        <f>SUMIFS('Leave Management'!$L:$L,'Leave Management'!$C:$C,Detail!$A160,'Leave Management'!$B:$B,Detail!H$1)</f>
        <v>0</v>
      </c>
      <c r="I160" s="7">
        <f>SUMIFS('Leave Management'!$L:$L,'Leave Management'!$C:$C,Detail!$A160,'Leave Management'!$B:$B,Detail!I$1)</f>
        <v>0</v>
      </c>
      <c r="J160" s="7">
        <f>SUMIFS('Leave Management'!$L:$L,'Leave Management'!$C:$C,Detail!$A160,'Leave Management'!$B:$B,Detail!J$1)</f>
        <v>0</v>
      </c>
      <c r="K160" s="7">
        <f>SUMIFS('Leave Management'!$L:$L,'Leave Management'!$C:$C,Detail!$A160,'Leave Management'!$B:$B,Detail!K$1)</f>
        <v>0</v>
      </c>
      <c r="L160" s="7">
        <f>SUMIFS('Leave Management'!$L:$L,'Leave Management'!$C:$C,Detail!$A160,'Leave Management'!$B:$B,Detail!L$1)</f>
        <v>0</v>
      </c>
      <c r="M160" s="7">
        <f>SUMIFS('Leave Management'!$L:$L,'Leave Management'!$C:$C,Detail!$A160,'Leave Management'!$B:$B,Detail!M$1)</f>
        <v>0</v>
      </c>
      <c r="N160" s="7">
        <f>SUMIFS('Leave Management'!$L:$L,'Leave Management'!$C:$C,Detail!$A160,'Leave Management'!$B:$B,Detail!N$1)</f>
        <v>0</v>
      </c>
      <c r="O160" s="7">
        <f t="shared" si="6"/>
        <v>9</v>
      </c>
    </row>
    <row r="161" spans="1:15" x14ac:dyDescent="0.25">
      <c r="A161" s="24">
        <v>43259</v>
      </c>
      <c r="B161" s="2" t="str">
        <f t="shared" si="5"/>
        <v>Fri</v>
      </c>
      <c r="C161" s="7">
        <f>SUMIFS('Leave Management'!$L:$L,'Leave Management'!$C:$C,Detail!$A161,'Leave Management'!$B:$B,Detail!C$1)</f>
        <v>0</v>
      </c>
      <c r="D161" s="7">
        <f>SUMIFS('Leave Management'!$L:$L,'Leave Management'!$C:$C,Detail!$A161,'Leave Management'!$B:$B,Detail!D$1)</f>
        <v>1</v>
      </c>
      <c r="E161" s="7">
        <f>SUMIFS('Leave Management'!$L:$L,'Leave Management'!$C:$C,Detail!$A161,'Leave Management'!$B:$B,Detail!E$1)</f>
        <v>1</v>
      </c>
      <c r="F161" s="7">
        <f>SUMIFS('Leave Management'!$L:$L,'Leave Management'!$C:$C,Detail!$A161,'Leave Management'!$B:$B,Detail!F$1)</f>
        <v>1</v>
      </c>
      <c r="G161" s="7">
        <f>SUMIFS('Leave Management'!$L:$L,'Leave Management'!$C:$C,Detail!$A161,'Leave Management'!$B:$B,Detail!G$1)</f>
        <v>0</v>
      </c>
      <c r="H161" s="7">
        <f>SUMIFS('Leave Management'!$L:$L,'Leave Management'!$C:$C,Detail!$A161,'Leave Management'!$B:$B,Detail!H$1)</f>
        <v>0</v>
      </c>
      <c r="I161" s="7">
        <f>SUMIFS('Leave Management'!$L:$L,'Leave Management'!$C:$C,Detail!$A161,'Leave Management'!$B:$B,Detail!I$1)</f>
        <v>0</v>
      </c>
      <c r="J161" s="7">
        <f>SUMIFS('Leave Management'!$L:$L,'Leave Management'!$C:$C,Detail!$A161,'Leave Management'!$B:$B,Detail!J$1)</f>
        <v>0</v>
      </c>
      <c r="K161" s="7">
        <f>SUMIFS('Leave Management'!$L:$L,'Leave Management'!$C:$C,Detail!$A161,'Leave Management'!$B:$B,Detail!K$1)</f>
        <v>0</v>
      </c>
      <c r="L161" s="7">
        <f>SUMIFS('Leave Management'!$L:$L,'Leave Management'!$C:$C,Detail!$A161,'Leave Management'!$B:$B,Detail!L$1)</f>
        <v>0</v>
      </c>
      <c r="M161" s="7">
        <f>SUMIFS('Leave Management'!$L:$L,'Leave Management'!$C:$C,Detail!$A161,'Leave Management'!$B:$B,Detail!M$1)</f>
        <v>0</v>
      </c>
      <c r="N161" s="7">
        <f>SUMIFS('Leave Management'!$L:$L,'Leave Management'!$C:$C,Detail!$A161,'Leave Management'!$B:$B,Detail!N$1)</f>
        <v>0</v>
      </c>
      <c r="O161" s="7">
        <f t="shared" si="6"/>
        <v>9</v>
      </c>
    </row>
    <row r="162" spans="1:15" x14ac:dyDescent="0.25">
      <c r="A162" s="24">
        <v>43260</v>
      </c>
      <c r="B162" s="2" t="str">
        <f t="shared" si="5"/>
        <v>Sat</v>
      </c>
      <c r="C162" s="7">
        <f>SUMIFS('Leave Management'!$L:$L,'Leave Management'!$C:$C,Detail!$A162,'Leave Management'!$B:$B,Detail!C$1)</f>
        <v>0</v>
      </c>
      <c r="D162" s="7">
        <f>SUMIFS('Leave Management'!$L:$L,'Leave Management'!$C:$C,Detail!$A162,'Leave Management'!$B:$B,Detail!D$1)</f>
        <v>0</v>
      </c>
      <c r="E162" s="7">
        <f>SUMIFS('Leave Management'!$L:$L,'Leave Management'!$C:$C,Detail!$A162,'Leave Management'!$B:$B,Detail!E$1)</f>
        <v>0</v>
      </c>
      <c r="F162" s="7">
        <f>SUMIFS('Leave Management'!$L:$L,'Leave Management'!$C:$C,Detail!$A162,'Leave Management'!$B:$B,Detail!F$1)</f>
        <v>0</v>
      </c>
      <c r="G162" s="7">
        <f>SUMIFS('Leave Management'!$L:$L,'Leave Management'!$C:$C,Detail!$A162,'Leave Management'!$B:$B,Detail!G$1)</f>
        <v>0</v>
      </c>
      <c r="H162" s="7">
        <f>SUMIFS('Leave Management'!$L:$L,'Leave Management'!$C:$C,Detail!$A162,'Leave Management'!$B:$B,Detail!H$1)</f>
        <v>0</v>
      </c>
      <c r="I162" s="7">
        <f>SUMIFS('Leave Management'!$L:$L,'Leave Management'!$C:$C,Detail!$A162,'Leave Management'!$B:$B,Detail!I$1)</f>
        <v>0</v>
      </c>
      <c r="J162" s="7">
        <f>SUMIFS('Leave Management'!$L:$L,'Leave Management'!$C:$C,Detail!$A162,'Leave Management'!$B:$B,Detail!J$1)</f>
        <v>0</v>
      </c>
      <c r="K162" s="7">
        <f>SUMIFS('Leave Management'!$L:$L,'Leave Management'!$C:$C,Detail!$A162,'Leave Management'!$B:$B,Detail!K$1)</f>
        <v>0</v>
      </c>
      <c r="L162" s="7">
        <f>SUMIFS('Leave Management'!$L:$L,'Leave Management'!$C:$C,Detail!$A162,'Leave Management'!$B:$B,Detail!L$1)</f>
        <v>0</v>
      </c>
      <c r="M162" s="7">
        <f>SUMIFS('Leave Management'!$L:$L,'Leave Management'!$C:$C,Detail!$A162,'Leave Management'!$B:$B,Detail!M$1)</f>
        <v>0</v>
      </c>
      <c r="N162" s="7">
        <f>SUMIFS('Leave Management'!$L:$L,'Leave Management'!$C:$C,Detail!$A162,'Leave Management'!$B:$B,Detail!N$1)</f>
        <v>0</v>
      </c>
      <c r="O162" s="7">
        <f t="shared" si="6"/>
        <v>12</v>
      </c>
    </row>
    <row r="163" spans="1:15" x14ac:dyDescent="0.25">
      <c r="A163" s="24">
        <v>43261</v>
      </c>
      <c r="B163" s="2" t="str">
        <f t="shared" si="5"/>
        <v>Sun</v>
      </c>
      <c r="C163" s="7">
        <f>SUMIFS('Leave Management'!$L:$L,'Leave Management'!$C:$C,Detail!$A163,'Leave Management'!$B:$B,Detail!C$1)</f>
        <v>0</v>
      </c>
      <c r="D163" s="7">
        <f>SUMIFS('Leave Management'!$L:$L,'Leave Management'!$C:$C,Detail!$A163,'Leave Management'!$B:$B,Detail!D$1)</f>
        <v>0</v>
      </c>
      <c r="E163" s="7">
        <f>SUMIFS('Leave Management'!$L:$L,'Leave Management'!$C:$C,Detail!$A163,'Leave Management'!$B:$B,Detail!E$1)</f>
        <v>0</v>
      </c>
      <c r="F163" s="7">
        <f>SUMIFS('Leave Management'!$L:$L,'Leave Management'!$C:$C,Detail!$A163,'Leave Management'!$B:$B,Detail!F$1)</f>
        <v>0</v>
      </c>
      <c r="G163" s="7">
        <f>SUMIFS('Leave Management'!$L:$L,'Leave Management'!$C:$C,Detail!$A163,'Leave Management'!$B:$B,Detail!G$1)</f>
        <v>0</v>
      </c>
      <c r="H163" s="7">
        <f>SUMIFS('Leave Management'!$L:$L,'Leave Management'!$C:$C,Detail!$A163,'Leave Management'!$B:$B,Detail!H$1)</f>
        <v>0</v>
      </c>
      <c r="I163" s="7">
        <f>SUMIFS('Leave Management'!$L:$L,'Leave Management'!$C:$C,Detail!$A163,'Leave Management'!$B:$B,Detail!I$1)</f>
        <v>0</v>
      </c>
      <c r="J163" s="7">
        <f>SUMIFS('Leave Management'!$L:$L,'Leave Management'!$C:$C,Detail!$A163,'Leave Management'!$B:$B,Detail!J$1)</f>
        <v>0</v>
      </c>
      <c r="K163" s="7">
        <f>SUMIFS('Leave Management'!$L:$L,'Leave Management'!$C:$C,Detail!$A163,'Leave Management'!$B:$B,Detail!K$1)</f>
        <v>0</v>
      </c>
      <c r="L163" s="7">
        <f>SUMIFS('Leave Management'!$L:$L,'Leave Management'!$C:$C,Detail!$A163,'Leave Management'!$B:$B,Detail!L$1)</f>
        <v>0</v>
      </c>
      <c r="M163" s="7">
        <f>SUMIFS('Leave Management'!$L:$L,'Leave Management'!$C:$C,Detail!$A163,'Leave Management'!$B:$B,Detail!M$1)</f>
        <v>0</v>
      </c>
      <c r="N163" s="7">
        <f>SUMIFS('Leave Management'!$L:$L,'Leave Management'!$C:$C,Detail!$A163,'Leave Management'!$B:$B,Detail!N$1)</f>
        <v>0</v>
      </c>
      <c r="O163" s="7">
        <f t="shared" si="6"/>
        <v>12</v>
      </c>
    </row>
    <row r="164" spans="1:15" x14ac:dyDescent="0.25">
      <c r="A164" s="24">
        <v>43262</v>
      </c>
      <c r="B164" s="2" t="str">
        <f t="shared" si="5"/>
        <v>Mon</v>
      </c>
      <c r="C164" s="7">
        <f>SUMIFS('Leave Management'!$L:$L,'Leave Management'!$C:$C,Detail!$A164,'Leave Management'!$B:$B,Detail!C$1)</f>
        <v>0</v>
      </c>
      <c r="D164" s="7">
        <f>SUMIFS('Leave Management'!$L:$L,'Leave Management'!$C:$C,Detail!$A164,'Leave Management'!$B:$B,Detail!D$1)</f>
        <v>1</v>
      </c>
      <c r="E164" s="7">
        <f>SUMIFS('Leave Management'!$L:$L,'Leave Management'!$C:$C,Detail!$A164,'Leave Management'!$B:$B,Detail!E$1)</f>
        <v>1</v>
      </c>
      <c r="F164" s="7">
        <f>SUMIFS('Leave Management'!$L:$L,'Leave Management'!$C:$C,Detail!$A164,'Leave Management'!$B:$B,Detail!F$1)</f>
        <v>0</v>
      </c>
      <c r="G164" s="7">
        <f>SUMIFS('Leave Management'!$L:$L,'Leave Management'!$C:$C,Detail!$A164,'Leave Management'!$B:$B,Detail!G$1)</f>
        <v>0</v>
      </c>
      <c r="H164" s="7">
        <f>SUMIFS('Leave Management'!$L:$L,'Leave Management'!$C:$C,Detail!$A164,'Leave Management'!$B:$B,Detail!H$1)</f>
        <v>0</v>
      </c>
      <c r="I164" s="7">
        <f>SUMIFS('Leave Management'!$L:$L,'Leave Management'!$C:$C,Detail!$A164,'Leave Management'!$B:$B,Detail!I$1)</f>
        <v>0</v>
      </c>
      <c r="J164" s="7">
        <f>SUMIFS('Leave Management'!$L:$L,'Leave Management'!$C:$C,Detail!$A164,'Leave Management'!$B:$B,Detail!J$1)</f>
        <v>0</v>
      </c>
      <c r="K164" s="7">
        <f>SUMIFS('Leave Management'!$L:$L,'Leave Management'!$C:$C,Detail!$A164,'Leave Management'!$B:$B,Detail!K$1)</f>
        <v>0</v>
      </c>
      <c r="L164" s="7">
        <f>SUMIFS('Leave Management'!$L:$L,'Leave Management'!$C:$C,Detail!$A164,'Leave Management'!$B:$B,Detail!L$1)</f>
        <v>0</v>
      </c>
      <c r="M164" s="7">
        <f>SUMIFS('Leave Management'!$L:$L,'Leave Management'!$C:$C,Detail!$A164,'Leave Management'!$B:$B,Detail!M$1)</f>
        <v>0</v>
      </c>
      <c r="N164" s="7">
        <f>SUMIFS('Leave Management'!$L:$L,'Leave Management'!$C:$C,Detail!$A164,'Leave Management'!$B:$B,Detail!N$1)</f>
        <v>0</v>
      </c>
      <c r="O164" s="7">
        <f t="shared" si="6"/>
        <v>10</v>
      </c>
    </row>
    <row r="165" spans="1:15" x14ac:dyDescent="0.25">
      <c r="A165" s="24">
        <v>43263</v>
      </c>
      <c r="B165" s="2" t="str">
        <f t="shared" si="5"/>
        <v>Tue</v>
      </c>
      <c r="C165" s="7">
        <f>SUMIFS('Leave Management'!$L:$L,'Leave Management'!$C:$C,Detail!$A165,'Leave Management'!$B:$B,Detail!C$1)</f>
        <v>0</v>
      </c>
      <c r="D165" s="7">
        <f>SUMIFS('Leave Management'!$L:$L,'Leave Management'!$C:$C,Detail!$A165,'Leave Management'!$B:$B,Detail!D$1)</f>
        <v>1</v>
      </c>
      <c r="E165" s="7">
        <f>SUMIFS('Leave Management'!$L:$L,'Leave Management'!$C:$C,Detail!$A165,'Leave Management'!$B:$B,Detail!E$1)</f>
        <v>0</v>
      </c>
      <c r="F165" s="7">
        <f>SUMIFS('Leave Management'!$L:$L,'Leave Management'!$C:$C,Detail!$A165,'Leave Management'!$B:$B,Detail!F$1)</f>
        <v>0</v>
      </c>
      <c r="G165" s="7">
        <f>SUMIFS('Leave Management'!$L:$L,'Leave Management'!$C:$C,Detail!$A165,'Leave Management'!$B:$B,Detail!G$1)</f>
        <v>0</v>
      </c>
      <c r="H165" s="7">
        <f>SUMIFS('Leave Management'!$L:$L,'Leave Management'!$C:$C,Detail!$A165,'Leave Management'!$B:$B,Detail!H$1)</f>
        <v>0</v>
      </c>
      <c r="I165" s="7">
        <f>SUMIFS('Leave Management'!$L:$L,'Leave Management'!$C:$C,Detail!$A165,'Leave Management'!$B:$B,Detail!I$1)</f>
        <v>0</v>
      </c>
      <c r="J165" s="7">
        <f>SUMIFS('Leave Management'!$L:$L,'Leave Management'!$C:$C,Detail!$A165,'Leave Management'!$B:$B,Detail!J$1)</f>
        <v>0</v>
      </c>
      <c r="K165" s="7">
        <f>SUMIFS('Leave Management'!$L:$L,'Leave Management'!$C:$C,Detail!$A165,'Leave Management'!$B:$B,Detail!K$1)</f>
        <v>0</v>
      </c>
      <c r="L165" s="7">
        <f>SUMIFS('Leave Management'!$L:$L,'Leave Management'!$C:$C,Detail!$A165,'Leave Management'!$B:$B,Detail!L$1)</f>
        <v>0</v>
      </c>
      <c r="M165" s="7">
        <f>SUMIFS('Leave Management'!$L:$L,'Leave Management'!$C:$C,Detail!$A165,'Leave Management'!$B:$B,Detail!M$1)</f>
        <v>0</v>
      </c>
      <c r="N165" s="7">
        <f>SUMIFS('Leave Management'!$L:$L,'Leave Management'!$C:$C,Detail!$A165,'Leave Management'!$B:$B,Detail!N$1)</f>
        <v>0</v>
      </c>
      <c r="O165" s="7">
        <f t="shared" si="6"/>
        <v>11</v>
      </c>
    </row>
    <row r="166" spans="1:15" x14ac:dyDescent="0.25">
      <c r="A166" s="24">
        <v>43264</v>
      </c>
      <c r="B166" s="2" t="str">
        <f t="shared" si="5"/>
        <v>Wed</v>
      </c>
      <c r="C166" s="7">
        <f>SUMIFS('Leave Management'!$L:$L,'Leave Management'!$C:$C,Detail!$A166,'Leave Management'!$B:$B,Detail!C$1)</f>
        <v>0</v>
      </c>
      <c r="D166" s="7">
        <f>SUMIFS('Leave Management'!$L:$L,'Leave Management'!$C:$C,Detail!$A166,'Leave Management'!$B:$B,Detail!D$1)</f>
        <v>0</v>
      </c>
      <c r="E166" s="7">
        <f>SUMIFS('Leave Management'!$L:$L,'Leave Management'!$C:$C,Detail!$A166,'Leave Management'!$B:$B,Detail!E$1)</f>
        <v>0</v>
      </c>
      <c r="F166" s="7">
        <f>SUMIFS('Leave Management'!$L:$L,'Leave Management'!$C:$C,Detail!$A166,'Leave Management'!$B:$B,Detail!F$1)</f>
        <v>0</v>
      </c>
      <c r="G166" s="7">
        <f>SUMIFS('Leave Management'!$L:$L,'Leave Management'!$C:$C,Detail!$A166,'Leave Management'!$B:$B,Detail!G$1)</f>
        <v>0</v>
      </c>
      <c r="H166" s="7">
        <f>SUMIFS('Leave Management'!$L:$L,'Leave Management'!$C:$C,Detail!$A166,'Leave Management'!$B:$B,Detail!H$1)</f>
        <v>0</v>
      </c>
      <c r="I166" s="7">
        <f>SUMIFS('Leave Management'!$L:$L,'Leave Management'!$C:$C,Detail!$A166,'Leave Management'!$B:$B,Detail!I$1)</f>
        <v>0</v>
      </c>
      <c r="J166" s="7">
        <f>SUMIFS('Leave Management'!$L:$L,'Leave Management'!$C:$C,Detail!$A166,'Leave Management'!$B:$B,Detail!J$1)</f>
        <v>0</v>
      </c>
      <c r="K166" s="7">
        <f>SUMIFS('Leave Management'!$L:$L,'Leave Management'!$C:$C,Detail!$A166,'Leave Management'!$B:$B,Detail!K$1)</f>
        <v>0</v>
      </c>
      <c r="L166" s="7">
        <f>SUMIFS('Leave Management'!$L:$L,'Leave Management'!$C:$C,Detail!$A166,'Leave Management'!$B:$B,Detail!L$1)</f>
        <v>0</v>
      </c>
      <c r="M166" s="7">
        <f>SUMIFS('Leave Management'!$L:$L,'Leave Management'!$C:$C,Detail!$A166,'Leave Management'!$B:$B,Detail!M$1)</f>
        <v>0</v>
      </c>
      <c r="N166" s="7">
        <f>SUMIFS('Leave Management'!$L:$L,'Leave Management'!$C:$C,Detail!$A166,'Leave Management'!$B:$B,Detail!N$1)</f>
        <v>0</v>
      </c>
      <c r="O166" s="7">
        <f t="shared" si="6"/>
        <v>12</v>
      </c>
    </row>
    <row r="167" spans="1:15" x14ac:dyDescent="0.25">
      <c r="A167" s="24">
        <v>43265</v>
      </c>
      <c r="B167" s="2" t="str">
        <f t="shared" si="5"/>
        <v>Thu</v>
      </c>
      <c r="C167" s="7">
        <f>SUMIFS('Leave Management'!$L:$L,'Leave Management'!$C:$C,Detail!$A167,'Leave Management'!$B:$B,Detail!C$1)</f>
        <v>0</v>
      </c>
      <c r="D167" s="7">
        <f>SUMIFS('Leave Management'!$L:$L,'Leave Management'!$C:$C,Detail!$A167,'Leave Management'!$B:$B,Detail!D$1)</f>
        <v>0</v>
      </c>
      <c r="E167" s="7">
        <f>SUMIFS('Leave Management'!$L:$L,'Leave Management'!$C:$C,Detail!$A167,'Leave Management'!$B:$B,Detail!E$1)</f>
        <v>0</v>
      </c>
      <c r="F167" s="7">
        <f>SUMIFS('Leave Management'!$L:$L,'Leave Management'!$C:$C,Detail!$A167,'Leave Management'!$B:$B,Detail!F$1)</f>
        <v>0</v>
      </c>
      <c r="G167" s="7">
        <f>SUMIFS('Leave Management'!$L:$L,'Leave Management'!$C:$C,Detail!$A167,'Leave Management'!$B:$B,Detail!G$1)</f>
        <v>0</v>
      </c>
      <c r="H167" s="7">
        <f>SUMIFS('Leave Management'!$L:$L,'Leave Management'!$C:$C,Detail!$A167,'Leave Management'!$B:$B,Detail!H$1)</f>
        <v>0</v>
      </c>
      <c r="I167" s="7">
        <f>SUMIFS('Leave Management'!$L:$L,'Leave Management'!$C:$C,Detail!$A167,'Leave Management'!$B:$B,Detail!I$1)</f>
        <v>0</v>
      </c>
      <c r="J167" s="7">
        <f>SUMIFS('Leave Management'!$L:$L,'Leave Management'!$C:$C,Detail!$A167,'Leave Management'!$B:$B,Detail!J$1)</f>
        <v>0</v>
      </c>
      <c r="K167" s="7">
        <f>SUMIFS('Leave Management'!$L:$L,'Leave Management'!$C:$C,Detail!$A167,'Leave Management'!$B:$B,Detail!K$1)</f>
        <v>0</v>
      </c>
      <c r="L167" s="7">
        <f>SUMIFS('Leave Management'!$L:$L,'Leave Management'!$C:$C,Detail!$A167,'Leave Management'!$B:$B,Detail!L$1)</f>
        <v>0</v>
      </c>
      <c r="M167" s="7">
        <f>SUMIFS('Leave Management'!$L:$L,'Leave Management'!$C:$C,Detail!$A167,'Leave Management'!$B:$B,Detail!M$1)</f>
        <v>0</v>
      </c>
      <c r="N167" s="7">
        <f>SUMIFS('Leave Management'!$L:$L,'Leave Management'!$C:$C,Detail!$A167,'Leave Management'!$B:$B,Detail!N$1)</f>
        <v>0</v>
      </c>
      <c r="O167" s="7">
        <f t="shared" si="6"/>
        <v>12</v>
      </c>
    </row>
    <row r="168" spans="1:15" x14ac:dyDescent="0.25">
      <c r="A168" s="24">
        <v>43266</v>
      </c>
      <c r="B168" s="2" t="str">
        <f t="shared" si="5"/>
        <v>Fri</v>
      </c>
      <c r="C168" s="7">
        <f>SUMIFS('Leave Management'!$L:$L,'Leave Management'!$C:$C,Detail!$A168,'Leave Management'!$B:$B,Detail!C$1)</f>
        <v>1</v>
      </c>
      <c r="D168" s="7">
        <f>SUMIFS('Leave Management'!$L:$L,'Leave Management'!$C:$C,Detail!$A168,'Leave Management'!$B:$B,Detail!D$1)</f>
        <v>0</v>
      </c>
      <c r="E168" s="7">
        <f>SUMIFS('Leave Management'!$L:$L,'Leave Management'!$C:$C,Detail!$A168,'Leave Management'!$B:$B,Detail!E$1)</f>
        <v>0</v>
      </c>
      <c r="F168" s="7">
        <f>SUMIFS('Leave Management'!$L:$L,'Leave Management'!$C:$C,Detail!$A168,'Leave Management'!$B:$B,Detail!F$1)</f>
        <v>0</v>
      </c>
      <c r="G168" s="7">
        <f>SUMIFS('Leave Management'!$L:$L,'Leave Management'!$C:$C,Detail!$A168,'Leave Management'!$B:$B,Detail!G$1)</f>
        <v>0</v>
      </c>
      <c r="H168" s="7">
        <f>SUMIFS('Leave Management'!$L:$L,'Leave Management'!$C:$C,Detail!$A168,'Leave Management'!$B:$B,Detail!H$1)</f>
        <v>0</v>
      </c>
      <c r="I168" s="7">
        <f>SUMIFS('Leave Management'!$L:$L,'Leave Management'!$C:$C,Detail!$A168,'Leave Management'!$B:$B,Detail!I$1)</f>
        <v>0</v>
      </c>
      <c r="J168" s="7">
        <f>SUMIFS('Leave Management'!$L:$L,'Leave Management'!$C:$C,Detail!$A168,'Leave Management'!$B:$B,Detail!J$1)</f>
        <v>0</v>
      </c>
      <c r="K168" s="7">
        <f>SUMIFS('Leave Management'!$L:$L,'Leave Management'!$C:$C,Detail!$A168,'Leave Management'!$B:$B,Detail!K$1)</f>
        <v>0</v>
      </c>
      <c r="L168" s="7">
        <f>SUMIFS('Leave Management'!$L:$L,'Leave Management'!$C:$C,Detail!$A168,'Leave Management'!$B:$B,Detail!L$1)</f>
        <v>0</v>
      </c>
      <c r="M168" s="7">
        <f>SUMIFS('Leave Management'!$L:$L,'Leave Management'!$C:$C,Detail!$A168,'Leave Management'!$B:$B,Detail!M$1)</f>
        <v>0</v>
      </c>
      <c r="N168" s="7">
        <f>SUMIFS('Leave Management'!$L:$L,'Leave Management'!$C:$C,Detail!$A168,'Leave Management'!$B:$B,Detail!N$1)</f>
        <v>0</v>
      </c>
      <c r="O168" s="7">
        <f t="shared" si="6"/>
        <v>11</v>
      </c>
    </row>
    <row r="169" spans="1:15" x14ac:dyDescent="0.25">
      <c r="A169" s="24">
        <v>43267</v>
      </c>
      <c r="B169" s="2" t="str">
        <f t="shared" si="5"/>
        <v>Sat</v>
      </c>
      <c r="C169" s="7">
        <f>SUMIFS('Leave Management'!$L:$L,'Leave Management'!$C:$C,Detail!$A169,'Leave Management'!$B:$B,Detail!C$1)</f>
        <v>0</v>
      </c>
      <c r="D169" s="7">
        <f>SUMIFS('Leave Management'!$L:$L,'Leave Management'!$C:$C,Detail!$A169,'Leave Management'!$B:$B,Detail!D$1)</f>
        <v>0</v>
      </c>
      <c r="E169" s="7">
        <f>SUMIFS('Leave Management'!$L:$L,'Leave Management'!$C:$C,Detail!$A169,'Leave Management'!$B:$B,Detail!E$1)</f>
        <v>0</v>
      </c>
      <c r="F169" s="7">
        <f>SUMIFS('Leave Management'!$L:$L,'Leave Management'!$C:$C,Detail!$A169,'Leave Management'!$B:$B,Detail!F$1)</f>
        <v>0</v>
      </c>
      <c r="G169" s="7">
        <f>SUMIFS('Leave Management'!$L:$L,'Leave Management'!$C:$C,Detail!$A169,'Leave Management'!$B:$B,Detail!G$1)</f>
        <v>0</v>
      </c>
      <c r="H169" s="7">
        <f>SUMIFS('Leave Management'!$L:$L,'Leave Management'!$C:$C,Detail!$A169,'Leave Management'!$B:$B,Detail!H$1)</f>
        <v>0</v>
      </c>
      <c r="I169" s="7">
        <f>SUMIFS('Leave Management'!$L:$L,'Leave Management'!$C:$C,Detail!$A169,'Leave Management'!$B:$B,Detail!I$1)</f>
        <v>0</v>
      </c>
      <c r="J169" s="7">
        <f>SUMIFS('Leave Management'!$L:$L,'Leave Management'!$C:$C,Detail!$A169,'Leave Management'!$B:$B,Detail!J$1)</f>
        <v>0</v>
      </c>
      <c r="K169" s="7">
        <f>SUMIFS('Leave Management'!$L:$L,'Leave Management'!$C:$C,Detail!$A169,'Leave Management'!$B:$B,Detail!K$1)</f>
        <v>0</v>
      </c>
      <c r="L169" s="7">
        <f>SUMIFS('Leave Management'!$L:$L,'Leave Management'!$C:$C,Detail!$A169,'Leave Management'!$B:$B,Detail!L$1)</f>
        <v>0</v>
      </c>
      <c r="M169" s="7">
        <f>SUMIFS('Leave Management'!$L:$L,'Leave Management'!$C:$C,Detail!$A169,'Leave Management'!$B:$B,Detail!M$1)</f>
        <v>0</v>
      </c>
      <c r="N169" s="7">
        <f>SUMIFS('Leave Management'!$L:$L,'Leave Management'!$C:$C,Detail!$A169,'Leave Management'!$B:$B,Detail!N$1)</f>
        <v>0</v>
      </c>
      <c r="O169" s="7">
        <f t="shared" si="6"/>
        <v>12</v>
      </c>
    </row>
    <row r="170" spans="1:15" x14ac:dyDescent="0.25">
      <c r="A170" s="24">
        <v>43268</v>
      </c>
      <c r="B170" s="2" t="str">
        <f t="shared" si="5"/>
        <v>Sun</v>
      </c>
      <c r="C170" s="7">
        <f>SUMIFS('Leave Management'!$L:$L,'Leave Management'!$C:$C,Detail!$A170,'Leave Management'!$B:$B,Detail!C$1)</f>
        <v>0</v>
      </c>
      <c r="D170" s="7">
        <f>SUMIFS('Leave Management'!$L:$L,'Leave Management'!$C:$C,Detail!$A170,'Leave Management'!$B:$B,Detail!D$1)</f>
        <v>0</v>
      </c>
      <c r="E170" s="7">
        <f>SUMIFS('Leave Management'!$L:$L,'Leave Management'!$C:$C,Detail!$A170,'Leave Management'!$B:$B,Detail!E$1)</f>
        <v>0</v>
      </c>
      <c r="F170" s="7">
        <f>SUMIFS('Leave Management'!$L:$L,'Leave Management'!$C:$C,Detail!$A170,'Leave Management'!$B:$B,Detail!F$1)</f>
        <v>0</v>
      </c>
      <c r="G170" s="7">
        <f>SUMIFS('Leave Management'!$L:$L,'Leave Management'!$C:$C,Detail!$A170,'Leave Management'!$B:$B,Detail!G$1)</f>
        <v>0</v>
      </c>
      <c r="H170" s="7">
        <f>SUMIFS('Leave Management'!$L:$L,'Leave Management'!$C:$C,Detail!$A170,'Leave Management'!$B:$B,Detail!H$1)</f>
        <v>0</v>
      </c>
      <c r="I170" s="7">
        <f>SUMIFS('Leave Management'!$L:$L,'Leave Management'!$C:$C,Detail!$A170,'Leave Management'!$B:$B,Detail!I$1)</f>
        <v>0</v>
      </c>
      <c r="J170" s="7">
        <f>SUMIFS('Leave Management'!$L:$L,'Leave Management'!$C:$C,Detail!$A170,'Leave Management'!$B:$B,Detail!J$1)</f>
        <v>0</v>
      </c>
      <c r="K170" s="7">
        <f>SUMIFS('Leave Management'!$L:$L,'Leave Management'!$C:$C,Detail!$A170,'Leave Management'!$B:$B,Detail!K$1)</f>
        <v>0</v>
      </c>
      <c r="L170" s="7">
        <f>SUMIFS('Leave Management'!$L:$L,'Leave Management'!$C:$C,Detail!$A170,'Leave Management'!$B:$B,Detail!L$1)</f>
        <v>0</v>
      </c>
      <c r="M170" s="7">
        <f>SUMIFS('Leave Management'!$L:$L,'Leave Management'!$C:$C,Detail!$A170,'Leave Management'!$B:$B,Detail!M$1)</f>
        <v>0</v>
      </c>
      <c r="N170" s="7">
        <f>SUMIFS('Leave Management'!$L:$L,'Leave Management'!$C:$C,Detail!$A170,'Leave Management'!$B:$B,Detail!N$1)</f>
        <v>0</v>
      </c>
      <c r="O170" s="7">
        <f t="shared" si="6"/>
        <v>12</v>
      </c>
    </row>
    <row r="171" spans="1:15" x14ac:dyDescent="0.25">
      <c r="A171" s="24">
        <v>43269</v>
      </c>
      <c r="B171" s="2" t="str">
        <f t="shared" si="5"/>
        <v>Mon</v>
      </c>
      <c r="C171" s="7">
        <f>SUMIFS('Leave Management'!$L:$L,'Leave Management'!$C:$C,Detail!$A171,'Leave Management'!$B:$B,Detail!C$1)</f>
        <v>0</v>
      </c>
      <c r="D171" s="7">
        <f>SUMIFS('Leave Management'!$L:$L,'Leave Management'!$C:$C,Detail!$A171,'Leave Management'!$B:$B,Detail!D$1)</f>
        <v>0</v>
      </c>
      <c r="E171" s="7">
        <f>SUMIFS('Leave Management'!$L:$L,'Leave Management'!$C:$C,Detail!$A171,'Leave Management'!$B:$B,Detail!E$1)</f>
        <v>0</v>
      </c>
      <c r="F171" s="7">
        <f>SUMIFS('Leave Management'!$L:$L,'Leave Management'!$C:$C,Detail!$A171,'Leave Management'!$B:$B,Detail!F$1)</f>
        <v>0</v>
      </c>
      <c r="G171" s="7">
        <f>SUMIFS('Leave Management'!$L:$L,'Leave Management'!$C:$C,Detail!$A171,'Leave Management'!$B:$B,Detail!G$1)</f>
        <v>0</v>
      </c>
      <c r="H171" s="7">
        <f>SUMIFS('Leave Management'!$L:$L,'Leave Management'!$C:$C,Detail!$A171,'Leave Management'!$B:$B,Detail!H$1)</f>
        <v>0</v>
      </c>
      <c r="I171" s="7">
        <f>SUMIFS('Leave Management'!$L:$L,'Leave Management'!$C:$C,Detail!$A171,'Leave Management'!$B:$B,Detail!I$1)</f>
        <v>0</v>
      </c>
      <c r="J171" s="7">
        <f>SUMIFS('Leave Management'!$L:$L,'Leave Management'!$C:$C,Detail!$A171,'Leave Management'!$B:$B,Detail!J$1)</f>
        <v>0</v>
      </c>
      <c r="K171" s="7">
        <f>SUMIFS('Leave Management'!$L:$L,'Leave Management'!$C:$C,Detail!$A171,'Leave Management'!$B:$B,Detail!K$1)</f>
        <v>0</v>
      </c>
      <c r="L171" s="7">
        <f>SUMIFS('Leave Management'!$L:$L,'Leave Management'!$C:$C,Detail!$A171,'Leave Management'!$B:$B,Detail!L$1)</f>
        <v>0</v>
      </c>
      <c r="M171" s="7">
        <f>SUMIFS('Leave Management'!$L:$L,'Leave Management'!$C:$C,Detail!$A171,'Leave Management'!$B:$B,Detail!M$1)</f>
        <v>0</v>
      </c>
      <c r="N171" s="7">
        <f>SUMIFS('Leave Management'!$L:$L,'Leave Management'!$C:$C,Detail!$A171,'Leave Management'!$B:$B,Detail!N$1)</f>
        <v>0</v>
      </c>
      <c r="O171" s="7">
        <f t="shared" si="6"/>
        <v>12</v>
      </c>
    </row>
    <row r="172" spans="1:15" x14ac:dyDescent="0.25">
      <c r="A172" s="24">
        <v>43270</v>
      </c>
      <c r="B172" s="2" t="str">
        <f t="shared" si="5"/>
        <v>Tue</v>
      </c>
      <c r="C172" s="7">
        <f>SUMIFS('Leave Management'!$L:$L,'Leave Management'!$C:$C,Detail!$A172,'Leave Management'!$B:$B,Detail!C$1)</f>
        <v>0</v>
      </c>
      <c r="D172" s="7">
        <f>SUMIFS('Leave Management'!$L:$L,'Leave Management'!$C:$C,Detail!$A172,'Leave Management'!$B:$B,Detail!D$1)</f>
        <v>0</v>
      </c>
      <c r="E172" s="7">
        <f>SUMIFS('Leave Management'!$L:$L,'Leave Management'!$C:$C,Detail!$A172,'Leave Management'!$B:$B,Detail!E$1)</f>
        <v>0</v>
      </c>
      <c r="F172" s="7">
        <f>SUMIFS('Leave Management'!$L:$L,'Leave Management'!$C:$C,Detail!$A172,'Leave Management'!$B:$B,Detail!F$1)</f>
        <v>0</v>
      </c>
      <c r="G172" s="7">
        <f>SUMIFS('Leave Management'!$L:$L,'Leave Management'!$C:$C,Detail!$A172,'Leave Management'!$B:$B,Detail!G$1)</f>
        <v>0</v>
      </c>
      <c r="H172" s="7">
        <f>SUMIFS('Leave Management'!$L:$L,'Leave Management'!$C:$C,Detail!$A172,'Leave Management'!$B:$B,Detail!H$1)</f>
        <v>0</v>
      </c>
      <c r="I172" s="7">
        <f>SUMIFS('Leave Management'!$L:$L,'Leave Management'!$C:$C,Detail!$A172,'Leave Management'!$B:$B,Detail!I$1)</f>
        <v>0</v>
      </c>
      <c r="J172" s="7">
        <f>SUMIFS('Leave Management'!$L:$L,'Leave Management'!$C:$C,Detail!$A172,'Leave Management'!$B:$B,Detail!J$1)</f>
        <v>0</v>
      </c>
      <c r="K172" s="7">
        <f>SUMIFS('Leave Management'!$L:$L,'Leave Management'!$C:$C,Detail!$A172,'Leave Management'!$B:$B,Detail!K$1)</f>
        <v>0</v>
      </c>
      <c r="L172" s="7">
        <f>SUMIFS('Leave Management'!$L:$L,'Leave Management'!$C:$C,Detail!$A172,'Leave Management'!$B:$B,Detail!L$1)</f>
        <v>0</v>
      </c>
      <c r="M172" s="7">
        <f>SUMIFS('Leave Management'!$L:$L,'Leave Management'!$C:$C,Detail!$A172,'Leave Management'!$B:$B,Detail!M$1)</f>
        <v>0</v>
      </c>
      <c r="N172" s="7">
        <f>SUMIFS('Leave Management'!$L:$L,'Leave Management'!$C:$C,Detail!$A172,'Leave Management'!$B:$B,Detail!N$1)</f>
        <v>0</v>
      </c>
      <c r="O172" s="7">
        <f t="shared" si="6"/>
        <v>12</v>
      </c>
    </row>
    <row r="173" spans="1:15" x14ac:dyDescent="0.25">
      <c r="A173" s="24">
        <v>43271</v>
      </c>
      <c r="B173" s="2" t="str">
        <f t="shared" si="5"/>
        <v>Wed</v>
      </c>
      <c r="C173" s="7">
        <f>SUMIFS('Leave Management'!$L:$L,'Leave Management'!$C:$C,Detail!$A173,'Leave Management'!$B:$B,Detail!C$1)</f>
        <v>0</v>
      </c>
      <c r="D173" s="7">
        <f>SUMIFS('Leave Management'!$L:$L,'Leave Management'!$C:$C,Detail!$A173,'Leave Management'!$B:$B,Detail!D$1)</f>
        <v>0</v>
      </c>
      <c r="E173" s="7">
        <f>SUMIFS('Leave Management'!$L:$L,'Leave Management'!$C:$C,Detail!$A173,'Leave Management'!$B:$B,Detail!E$1)</f>
        <v>0</v>
      </c>
      <c r="F173" s="7">
        <f>SUMIFS('Leave Management'!$L:$L,'Leave Management'!$C:$C,Detail!$A173,'Leave Management'!$B:$B,Detail!F$1)</f>
        <v>0</v>
      </c>
      <c r="G173" s="7">
        <f>SUMIFS('Leave Management'!$L:$L,'Leave Management'!$C:$C,Detail!$A173,'Leave Management'!$B:$B,Detail!G$1)</f>
        <v>0</v>
      </c>
      <c r="H173" s="7">
        <f>SUMIFS('Leave Management'!$L:$L,'Leave Management'!$C:$C,Detail!$A173,'Leave Management'!$B:$B,Detail!H$1)</f>
        <v>0</v>
      </c>
      <c r="I173" s="7">
        <f>SUMIFS('Leave Management'!$L:$L,'Leave Management'!$C:$C,Detail!$A173,'Leave Management'!$B:$B,Detail!I$1)</f>
        <v>0</v>
      </c>
      <c r="J173" s="7">
        <f>SUMIFS('Leave Management'!$L:$L,'Leave Management'!$C:$C,Detail!$A173,'Leave Management'!$B:$B,Detail!J$1)</f>
        <v>0</v>
      </c>
      <c r="K173" s="7">
        <f>SUMIFS('Leave Management'!$L:$L,'Leave Management'!$C:$C,Detail!$A173,'Leave Management'!$B:$B,Detail!K$1)</f>
        <v>0</v>
      </c>
      <c r="L173" s="7">
        <f>SUMIFS('Leave Management'!$L:$L,'Leave Management'!$C:$C,Detail!$A173,'Leave Management'!$B:$B,Detail!L$1)</f>
        <v>0</v>
      </c>
      <c r="M173" s="7">
        <f>SUMIFS('Leave Management'!$L:$L,'Leave Management'!$C:$C,Detail!$A173,'Leave Management'!$B:$B,Detail!M$1)</f>
        <v>0</v>
      </c>
      <c r="N173" s="7">
        <f>SUMIFS('Leave Management'!$L:$L,'Leave Management'!$C:$C,Detail!$A173,'Leave Management'!$B:$B,Detail!N$1)</f>
        <v>0</v>
      </c>
      <c r="O173" s="7">
        <f t="shared" si="6"/>
        <v>12</v>
      </c>
    </row>
    <row r="174" spans="1:15" x14ac:dyDescent="0.25">
      <c r="A174" s="24">
        <v>43272</v>
      </c>
      <c r="B174" s="2" t="str">
        <f t="shared" si="5"/>
        <v>Thu</v>
      </c>
      <c r="C174" s="7">
        <f>SUMIFS('Leave Management'!$L:$L,'Leave Management'!$C:$C,Detail!$A174,'Leave Management'!$B:$B,Detail!C$1)</f>
        <v>0</v>
      </c>
      <c r="D174" s="7">
        <f>SUMIFS('Leave Management'!$L:$L,'Leave Management'!$C:$C,Detail!$A174,'Leave Management'!$B:$B,Detail!D$1)</f>
        <v>0</v>
      </c>
      <c r="E174" s="7">
        <f>SUMIFS('Leave Management'!$L:$L,'Leave Management'!$C:$C,Detail!$A174,'Leave Management'!$B:$B,Detail!E$1)</f>
        <v>0</v>
      </c>
      <c r="F174" s="7">
        <f>SUMIFS('Leave Management'!$L:$L,'Leave Management'!$C:$C,Detail!$A174,'Leave Management'!$B:$B,Detail!F$1)</f>
        <v>0</v>
      </c>
      <c r="G174" s="7">
        <f>SUMIFS('Leave Management'!$L:$L,'Leave Management'!$C:$C,Detail!$A174,'Leave Management'!$B:$B,Detail!G$1)</f>
        <v>0</v>
      </c>
      <c r="H174" s="7">
        <f>SUMIFS('Leave Management'!$L:$L,'Leave Management'!$C:$C,Detail!$A174,'Leave Management'!$B:$B,Detail!H$1)</f>
        <v>0</v>
      </c>
      <c r="I174" s="7">
        <f>SUMIFS('Leave Management'!$L:$L,'Leave Management'!$C:$C,Detail!$A174,'Leave Management'!$B:$B,Detail!I$1)</f>
        <v>0</v>
      </c>
      <c r="J174" s="7">
        <f>SUMIFS('Leave Management'!$L:$L,'Leave Management'!$C:$C,Detail!$A174,'Leave Management'!$B:$B,Detail!J$1)</f>
        <v>0</v>
      </c>
      <c r="K174" s="7">
        <f>SUMIFS('Leave Management'!$L:$L,'Leave Management'!$C:$C,Detail!$A174,'Leave Management'!$B:$B,Detail!K$1)</f>
        <v>0</v>
      </c>
      <c r="L174" s="7">
        <f>SUMIFS('Leave Management'!$L:$L,'Leave Management'!$C:$C,Detail!$A174,'Leave Management'!$B:$B,Detail!L$1)</f>
        <v>0</v>
      </c>
      <c r="M174" s="7">
        <f>SUMIFS('Leave Management'!$L:$L,'Leave Management'!$C:$C,Detail!$A174,'Leave Management'!$B:$B,Detail!M$1)</f>
        <v>0</v>
      </c>
      <c r="N174" s="7">
        <f>SUMIFS('Leave Management'!$L:$L,'Leave Management'!$C:$C,Detail!$A174,'Leave Management'!$B:$B,Detail!N$1)</f>
        <v>0</v>
      </c>
      <c r="O174" s="7">
        <f t="shared" si="6"/>
        <v>12</v>
      </c>
    </row>
    <row r="175" spans="1:15" x14ac:dyDescent="0.25">
      <c r="A175" s="24">
        <v>43273</v>
      </c>
      <c r="B175" s="2" t="str">
        <f t="shared" si="5"/>
        <v>Fri</v>
      </c>
      <c r="C175" s="7">
        <f>SUMIFS('Leave Management'!$L:$L,'Leave Management'!$C:$C,Detail!$A175,'Leave Management'!$B:$B,Detail!C$1)</f>
        <v>0</v>
      </c>
      <c r="D175" s="7">
        <f>SUMIFS('Leave Management'!$L:$L,'Leave Management'!$C:$C,Detail!$A175,'Leave Management'!$B:$B,Detail!D$1)</f>
        <v>0</v>
      </c>
      <c r="E175" s="7">
        <f>SUMIFS('Leave Management'!$L:$L,'Leave Management'!$C:$C,Detail!$A175,'Leave Management'!$B:$B,Detail!E$1)</f>
        <v>0</v>
      </c>
      <c r="F175" s="7">
        <f>SUMIFS('Leave Management'!$L:$L,'Leave Management'!$C:$C,Detail!$A175,'Leave Management'!$B:$B,Detail!F$1)</f>
        <v>0</v>
      </c>
      <c r="G175" s="7">
        <f>SUMIFS('Leave Management'!$L:$L,'Leave Management'!$C:$C,Detail!$A175,'Leave Management'!$B:$B,Detail!G$1)</f>
        <v>0</v>
      </c>
      <c r="H175" s="7">
        <f>SUMIFS('Leave Management'!$L:$L,'Leave Management'!$C:$C,Detail!$A175,'Leave Management'!$B:$B,Detail!H$1)</f>
        <v>0</v>
      </c>
      <c r="I175" s="7">
        <f>SUMIFS('Leave Management'!$L:$L,'Leave Management'!$C:$C,Detail!$A175,'Leave Management'!$B:$B,Detail!I$1)</f>
        <v>0</v>
      </c>
      <c r="J175" s="7">
        <f>SUMIFS('Leave Management'!$L:$L,'Leave Management'!$C:$C,Detail!$A175,'Leave Management'!$B:$B,Detail!J$1)</f>
        <v>0</v>
      </c>
      <c r="K175" s="7">
        <f>SUMIFS('Leave Management'!$L:$L,'Leave Management'!$C:$C,Detail!$A175,'Leave Management'!$B:$B,Detail!K$1)</f>
        <v>0</v>
      </c>
      <c r="L175" s="7">
        <f>SUMIFS('Leave Management'!$L:$L,'Leave Management'!$C:$C,Detail!$A175,'Leave Management'!$B:$B,Detail!L$1)</f>
        <v>0</v>
      </c>
      <c r="M175" s="7">
        <f>SUMIFS('Leave Management'!$L:$L,'Leave Management'!$C:$C,Detail!$A175,'Leave Management'!$B:$B,Detail!M$1)</f>
        <v>0</v>
      </c>
      <c r="N175" s="7">
        <f>SUMIFS('Leave Management'!$L:$L,'Leave Management'!$C:$C,Detail!$A175,'Leave Management'!$B:$B,Detail!N$1)</f>
        <v>0</v>
      </c>
      <c r="O175" s="7">
        <f t="shared" si="6"/>
        <v>12</v>
      </c>
    </row>
    <row r="176" spans="1:15" x14ac:dyDescent="0.25">
      <c r="A176" s="24">
        <v>43274</v>
      </c>
      <c r="B176" s="2" t="str">
        <f t="shared" si="5"/>
        <v>Sat</v>
      </c>
      <c r="C176" s="7">
        <f>SUMIFS('Leave Management'!$L:$L,'Leave Management'!$C:$C,Detail!$A176,'Leave Management'!$B:$B,Detail!C$1)</f>
        <v>0</v>
      </c>
      <c r="D176" s="7">
        <f>SUMIFS('Leave Management'!$L:$L,'Leave Management'!$C:$C,Detail!$A176,'Leave Management'!$B:$B,Detail!D$1)</f>
        <v>0</v>
      </c>
      <c r="E176" s="7">
        <f>SUMIFS('Leave Management'!$L:$L,'Leave Management'!$C:$C,Detail!$A176,'Leave Management'!$B:$B,Detail!E$1)</f>
        <v>0</v>
      </c>
      <c r="F176" s="7">
        <f>SUMIFS('Leave Management'!$L:$L,'Leave Management'!$C:$C,Detail!$A176,'Leave Management'!$B:$B,Detail!F$1)</f>
        <v>0</v>
      </c>
      <c r="G176" s="7">
        <f>SUMIFS('Leave Management'!$L:$L,'Leave Management'!$C:$C,Detail!$A176,'Leave Management'!$B:$B,Detail!G$1)</f>
        <v>0</v>
      </c>
      <c r="H176" s="7">
        <f>SUMIFS('Leave Management'!$L:$L,'Leave Management'!$C:$C,Detail!$A176,'Leave Management'!$B:$B,Detail!H$1)</f>
        <v>0</v>
      </c>
      <c r="I176" s="7">
        <f>SUMIFS('Leave Management'!$L:$L,'Leave Management'!$C:$C,Detail!$A176,'Leave Management'!$B:$B,Detail!I$1)</f>
        <v>0</v>
      </c>
      <c r="J176" s="7">
        <f>SUMIFS('Leave Management'!$L:$L,'Leave Management'!$C:$C,Detail!$A176,'Leave Management'!$B:$B,Detail!J$1)</f>
        <v>0</v>
      </c>
      <c r="K176" s="7">
        <f>SUMIFS('Leave Management'!$L:$L,'Leave Management'!$C:$C,Detail!$A176,'Leave Management'!$B:$B,Detail!K$1)</f>
        <v>0</v>
      </c>
      <c r="L176" s="7">
        <f>SUMIFS('Leave Management'!$L:$L,'Leave Management'!$C:$C,Detail!$A176,'Leave Management'!$B:$B,Detail!L$1)</f>
        <v>0</v>
      </c>
      <c r="M176" s="7">
        <f>SUMIFS('Leave Management'!$L:$L,'Leave Management'!$C:$C,Detail!$A176,'Leave Management'!$B:$B,Detail!M$1)</f>
        <v>0</v>
      </c>
      <c r="N176" s="7">
        <f>SUMIFS('Leave Management'!$L:$L,'Leave Management'!$C:$C,Detail!$A176,'Leave Management'!$B:$B,Detail!N$1)</f>
        <v>0</v>
      </c>
      <c r="O176" s="7">
        <f t="shared" si="6"/>
        <v>12</v>
      </c>
    </row>
    <row r="177" spans="1:15" x14ac:dyDescent="0.25">
      <c r="A177" s="24">
        <v>43275</v>
      </c>
      <c r="B177" s="2" t="str">
        <f t="shared" si="5"/>
        <v>Sun</v>
      </c>
      <c r="C177" s="7">
        <f>SUMIFS('Leave Management'!$L:$L,'Leave Management'!$C:$C,Detail!$A177,'Leave Management'!$B:$B,Detail!C$1)</f>
        <v>0</v>
      </c>
      <c r="D177" s="7">
        <f>SUMIFS('Leave Management'!$L:$L,'Leave Management'!$C:$C,Detail!$A177,'Leave Management'!$B:$B,Detail!D$1)</f>
        <v>0</v>
      </c>
      <c r="E177" s="7">
        <f>SUMIFS('Leave Management'!$L:$L,'Leave Management'!$C:$C,Detail!$A177,'Leave Management'!$B:$B,Detail!E$1)</f>
        <v>0</v>
      </c>
      <c r="F177" s="7">
        <f>SUMIFS('Leave Management'!$L:$L,'Leave Management'!$C:$C,Detail!$A177,'Leave Management'!$B:$B,Detail!F$1)</f>
        <v>0</v>
      </c>
      <c r="G177" s="7">
        <f>SUMIFS('Leave Management'!$L:$L,'Leave Management'!$C:$C,Detail!$A177,'Leave Management'!$B:$B,Detail!G$1)</f>
        <v>0</v>
      </c>
      <c r="H177" s="7">
        <f>SUMIFS('Leave Management'!$L:$L,'Leave Management'!$C:$C,Detail!$A177,'Leave Management'!$B:$B,Detail!H$1)</f>
        <v>0</v>
      </c>
      <c r="I177" s="7">
        <f>SUMIFS('Leave Management'!$L:$L,'Leave Management'!$C:$C,Detail!$A177,'Leave Management'!$B:$B,Detail!I$1)</f>
        <v>0</v>
      </c>
      <c r="J177" s="7">
        <f>SUMIFS('Leave Management'!$L:$L,'Leave Management'!$C:$C,Detail!$A177,'Leave Management'!$B:$B,Detail!J$1)</f>
        <v>0</v>
      </c>
      <c r="K177" s="7">
        <f>SUMIFS('Leave Management'!$L:$L,'Leave Management'!$C:$C,Detail!$A177,'Leave Management'!$B:$B,Detail!K$1)</f>
        <v>0</v>
      </c>
      <c r="L177" s="7">
        <f>SUMIFS('Leave Management'!$L:$L,'Leave Management'!$C:$C,Detail!$A177,'Leave Management'!$B:$B,Detail!L$1)</f>
        <v>0</v>
      </c>
      <c r="M177" s="7">
        <f>SUMIFS('Leave Management'!$L:$L,'Leave Management'!$C:$C,Detail!$A177,'Leave Management'!$B:$B,Detail!M$1)</f>
        <v>0</v>
      </c>
      <c r="N177" s="7">
        <f>SUMIFS('Leave Management'!$L:$L,'Leave Management'!$C:$C,Detail!$A177,'Leave Management'!$B:$B,Detail!N$1)</f>
        <v>0</v>
      </c>
      <c r="O177" s="7">
        <f t="shared" si="6"/>
        <v>12</v>
      </c>
    </row>
    <row r="178" spans="1:15" x14ac:dyDescent="0.25">
      <c r="A178" s="24">
        <v>43276</v>
      </c>
      <c r="B178" s="2" t="str">
        <f t="shared" si="5"/>
        <v>Mon</v>
      </c>
      <c r="C178" s="7">
        <f>SUMIFS('Leave Management'!$L:$L,'Leave Management'!$C:$C,Detail!$A178,'Leave Management'!$B:$B,Detail!C$1)</f>
        <v>0</v>
      </c>
      <c r="D178" s="7">
        <f>SUMIFS('Leave Management'!$L:$L,'Leave Management'!$C:$C,Detail!$A178,'Leave Management'!$B:$B,Detail!D$1)</f>
        <v>0</v>
      </c>
      <c r="E178" s="7">
        <f>SUMIFS('Leave Management'!$L:$L,'Leave Management'!$C:$C,Detail!$A178,'Leave Management'!$B:$B,Detail!E$1)</f>
        <v>0</v>
      </c>
      <c r="F178" s="7">
        <f>SUMIFS('Leave Management'!$L:$L,'Leave Management'!$C:$C,Detail!$A178,'Leave Management'!$B:$B,Detail!F$1)</f>
        <v>0</v>
      </c>
      <c r="G178" s="7">
        <f>SUMIFS('Leave Management'!$L:$L,'Leave Management'!$C:$C,Detail!$A178,'Leave Management'!$B:$B,Detail!G$1)</f>
        <v>0</v>
      </c>
      <c r="H178" s="7">
        <f>SUMIFS('Leave Management'!$L:$L,'Leave Management'!$C:$C,Detail!$A178,'Leave Management'!$B:$B,Detail!H$1)</f>
        <v>0</v>
      </c>
      <c r="I178" s="7">
        <f>SUMIFS('Leave Management'!$L:$L,'Leave Management'!$C:$C,Detail!$A178,'Leave Management'!$B:$B,Detail!I$1)</f>
        <v>0</v>
      </c>
      <c r="J178" s="7">
        <f>SUMIFS('Leave Management'!$L:$L,'Leave Management'!$C:$C,Detail!$A178,'Leave Management'!$B:$B,Detail!J$1)</f>
        <v>0</v>
      </c>
      <c r="K178" s="7">
        <f>SUMIFS('Leave Management'!$L:$L,'Leave Management'!$C:$C,Detail!$A178,'Leave Management'!$B:$B,Detail!K$1)</f>
        <v>0</v>
      </c>
      <c r="L178" s="7">
        <f>SUMIFS('Leave Management'!$L:$L,'Leave Management'!$C:$C,Detail!$A178,'Leave Management'!$B:$B,Detail!L$1)</f>
        <v>0</v>
      </c>
      <c r="M178" s="7">
        <f>SUMIFS('Leave Management'!$L:$L,'Leave Management'!$C:$C,Detail!$A178,'Leave Management'!$B:$B,Detail!M$1)</f>
        <v>0</v>
      </c>
      <c r="N178" s="7">
        <f>SUMIFS('Leave Management'!$L:$L,'Leave Management'!$C:$C,Detail!$A178,'Leave Management'!$B:$B,Detail!N$1)</f>
        <v>0</v>
      </c>
      <c r="O178" s="7">
        <f t="shared" si="6"/>
        <v>12</v>
      </c>
    </row>
    <row r="179" spans="1:15" x14ac:dyDescent="0.25">
      <c r="A179" s="24">
        <v>43277</v>
      </c>
      <c r="B179" s="2" t="str">
        <f t="shared" si="5"/>
        <v>Tue</v>
      </c>
      <c r="C179" s="7">
        <f>SUMIFS('Leave Management'!$L:$L,'Leave Management'!$C:$C,Detail!$A179,'Leave Management'!$B:$B,Detail!C$1)</f>
        <v>0</v>
      </c>
      <c r="D179" s="7">
        <f>SUMIFS('Leave Management'!$L:$L,'Leave Management'!$C:$C,Detail!$A179,'Leave Management'!$B:$B,Detail!D$1)</f>
        <v>0</v>
      </c>
      <c r="E179" s="7">
        <f>SUMIFS('Leave Management'!$L:$L,'Leave Management'!$C:$C,Detail!$A179,'Leave Management'!$B:$B,Detail!E$1)</f>
        <v>0</v>
      </c>
      <c r="F179" s="7">
        <f>SUMIFS('Leave Management'!$L:$L,'Leave Management'!$C:$C,Detail!$A179,'Leave Management'!$B:$B,Detail!F$1)</f>
        <v>0</v>
      </c>
      <c r="G179" s="7">
        <f>SUMIFS('Leave Management'!$L:$L,'Leave Management'!$C:$C,Detail!$A179,'Leave Management'!$B:$B,Detail!G$1)</f>
        <v>0</v>
      </c>
      <c r="H179" s="7">
        <f>SUMIFS('Leave Management'!$L:$L,'Leave Management'!$C:$C,Detail!$A179,'Leave Management'!$B:$B,Detail!H$1)</f>
        <v>0</v>
      </c>
      <c r="I179" s="7">
        <f>SUMIFS('Leave Management'!$L:$L,'Leave Management'!$C:$C,Detail!$A179,'Leave Management'!$B:$B,Detail!I$1)</f>
        <v>0</v>
      </c>
      <c r="J179" s="7">
        <f>SUMIFS('Leave Management'!$L:$L,'Leave Management'!$C:$C,Detail!$A179,'Leave Management'!$B:$B,Detail!J$1)</f>
        <v>0</v>
      </c>
      <c r="K179" s="7">
        <f>SUMIFS('Leave Management'!$L:$L,'Leave Management'!$C:$C,Detail!$A179,'Leave Management'!$B:$B,Detail!K$1)</f>
        <v>0</v>
      </c>
      <c r="L179" s="7">
        <f>SUMIFS('Leave Management'!$L:$L,'Leave Management'!$C:$C,Detail!$A179,'Leave Management'!$B:$B,Detail!L$1)</f>
        <v>0</v>
      </c>
      <c r="M179" s="7">
        <f>SUMIFS('Leave Management'!$L:$L,'Leave Management'!$C:$C,Detail!$A179,'Leave Management'!$B:$B,Detail!M$1)</f>
        <v>0</v>
      </c>
      <c r="N179" s="7">
        <f>SUMIFS('Leave Management'!$L:$L,'Leave Management'!$C:$C,Detail!$A179,'Leave Management'!$B:$B,Detail!N$1)</f>
        <v>0</v>
      </c>
      <c r="O179" s="7">
        <f t="shared" si="6"/>
        <v>12</v>
      </c>
    </row>
    <row r="180" spans="1:15" x14ac:dyDescent="0.25">
      <c r="A180" s="24">
        <v>43278</v>
      </c>
      <c r="B180" s="2" t="str">
        <f t="shared" si="5"/>
        <v>Wed</v>
      </c>
      <c r="C180" s="7">
        <f>SUMIFS('Leave Management'!$L:$L,'Leave Management'!$C:$C,Detail!$A180,'Leave Management'!$B:$B,Detail!C$1)</f>
        <v>0</v>
      </c>
      <c r="D180" s="7">
        <f>SUMIFS('Leave Management'!$L:$L,'Leave Management'!$C:$C,Detail!$A180,'Leave Management'!$B:$B,Detail!D$1)</f>
        <v>0</v>
      </c>
      <c r="E180" s="7">
        <f>SUMIFS('Leave Management'!$L:$L,'Leave Management'!$C:$C,Detail!$A180,'Leave Management'!$B:$B,Detail!E$1)</f>
        <v>0</v>
      </c>
      <c r="F180" s="7">
        <f>SUMIFS('Leave Management'!$L:$L,'Leave Management'!$C:$C,Detail!$A180,'Leave Management'!$B:$B,Detail!F$1)</f>
        <v>0</v>
      </c>
      <c r="G180" s="7">
        <f>SUMIFS('Leave Management'!$L:$L,'Leave Management'!$C:$C,Detail!$A180,'Leave Management'!$B:$B,Detail!G$1)</f>
        <v>0</v>
      </c>
      <c r="H180" s="7">
        <f>SUMIFS('Leave Management'!$L:$L,'Leave Management'!$C:$C,Detail!$A180,'Leave Management'!$B:$B,Detail!H$1)</f>
        <v>0</v>
      </c>
      <c r="I180" s="7">
        <f>SUMIFS('Leave Management'!$L:$L,'Leave Management'!$C:$C,Detail!$A180,'Leave Management'!$B:$B,Detail!I$1)</f>
        <v>0</v>
      </c>
      <c r="J180" s="7">
        <f>SUMIFS('Leave Management'!$L:$L,'Leave Management'!$C:$C,Detail!$A180,'Leave Management'!$B:$B,Detail!J$1)</f>
        <v>0</v>
      </c>
      <c r="K180" s="7">
        <f>SUMIFS('Leave Management'!$L:$L,'Leave Management'!$C:$C,Detail!$A180,'Leave Management'!$B:$B,Detail!K$1)</f>
        <v>0</v>
      </c>
      <c r="L180" s="7">
        <f>SUMIFS('Leave Management'!$L:$L,'Leave Management'!$C:$C,Detail!$A180,'Leave Management'!$B:$B,Detail!L$1)</f>
        <v>0</v>
      </c>
      <c r="M180" s="7">
        <f>SUMIFS('Leave Management'!$L:$L,'Leave Management'!$C:$C,Detail!$A180,'Leave Management'!$B:$B,Detail!M$1)</f>
        <v>0</v>
      </c>
      <c r="N180" s="7">
        <f>SUMIFS('Leave Management'!$L:$L,'Leave Management'!$C:$C,Detail!$A180,'Leave Management'!$B:$B,Detail!N$1)</f>
        <v>0</v>
      </c>
      <c r="O180" s="7">
        <f t="shared" si="6"/>
        <v>12</v>
      </c>
    </row>
    <row r="181" spans="1:15" x14ac:dyDescent="0.25">
      <c r="A181" s="24">
        <v>43279</v>
      </c>
      <c r="B181" s="2" t="str">
        <f t="shared" si="5"/>
        <v>Thu</v>
      </c>
      <c r="C181" s="7">
        <f>SUMIFS('Leave Management'!$L:$L,'Leave Management'!$C:$C,Detail!$A181,'Leave Management'!$B:$B,Detail!C$1)</f>
        <v>0</v>
      </c>
      <c r="D181" s="7">
        <f>SUMIFS('Leave Management'!$L:$L,'Leave Management'!$C:$C,Detail!$A181,'Leave Management'!$B:$B,Detail!D$1)</f>
        <v>0</v>
      </c>
      <c r="E181" s="7">
        <f>SUMIFS('Leave Management'!$L:$L,'Leave Management'!$C:$C,Detail!$A181,'Leave Management'!$B:$B,Detail!E$1)</f>
        <v>0</v>
      </c>
      <c r="F181" s="7">
        <f>SUMIFS('Leave Management'!$L:$L,'Leave Management'!$C:$C,Detail!$A181,'Leave Management'!$B:$B,Detail!F$1)</f>
        <v>0</v>
      </c>
      <c r="G181" s="7">
        <f>SUMIFS('Leave Management'!$L:$L,'Leave Management'!$C:$C,Detail!$A181,'Leave Management'!$B:$B,Detail!G$1)</f>
        <v>0</v>
      </c>
      <c r="H181" s="7">
        <f>SUMIFS('Leave Management'!$L:$L,'Leave Management'!$C:$C,Detail!$A181,'Leave Management'!$B:$B,Detail!H$1)</f>
        <v>0</v>
      </c>
      <c r="I181" s="7">
        <f>SUMIFS('Leave Management'!$L:$L,'Leave Management'!$C:$C,Detail!$A181,'Leave Management'!$B:$B,Detail!I$1)</f>
        <v>0</v>
      </c>
      <c r="J181" s="7">
        <f>SUMIFS('Leave Management'!$L:$L,'Leave Management'!$C:$C,Detail!$A181,'Leave Management'!$B:$B,Detail!J$1)</f>
        <v>0</v>
      </c>
      <c r="K181" s="7">
        <f>SUMIFS('Leave Management'!$L:$L,'Leave Management'!$C:$C,Detail!$A181,'Leave Management'!$B:$B,Detail!K$1)</f>
        <v>0</v>
      </c>
      <c r="L181" s="7">
        <f>SUMIFS('Leave Management'!$L:$L,'Leave Management'!$C:$C,Detail!$A181,'Leave Management'!$B:$B,Detail!L$1)</f>
        <v>0</v>
      </c>
      <c r="M181" s="7">
        <f>SUMIFS('Leave Management'!$L:$L,'Leave Management'!$C:$C,Detail!$A181,'Leave Management'!$B:$B,Detail!M$1)</f>
        <v>0</v>
      </c>
      <c r="N181" s="7">
        <f>SUMIFS('Leave Management'!$L:$L,'Leave Management'!$C:$C,Detail!$A181,'Leave Management'!$B:$B,Detail!N$1)</f>
        <v>0</v>
      </c>
      <c r="O181" s="7">
        <f t="shared" si="6"/>
        <v>12</v>
      </c>
    </row>
    <row r="182" spans="1:15" x14ac:dyDescent="0.25">
      <c r="A182" s="24">
        <v>43280</v>
      </c>
      <c r="B182" s="2" t="str">
        <f t="shared" si="5"/>
        <v>Fri</v>
      </c>
      <c r="C182" s="7">
        <f>SUMIFS('Leave Management'!$L:$L,'Leave Management'!$C:$C,Detail!$A182,'Leave Management'!$B:$B,Detail!C$1)</f>
        <v>0</v>
      </c>
      <c r="D182" s="7">
        <f>SUMIFS('Leave Management'!$L:$L,'Leave Management'!$C:$C,Detail!$A182,'Leave Management'!$B:$B,Detail!D$1)</f>
        <v>0</v>
      </c>
      <c r="E182" s="7">
        <f>SUMIFS('Leave Management'!$L:$L,'Leave Management'!$C:$C,Detail!$A182,'Leave Management'!$B:$B,Detail!E$1)</f>
        <v>0</v>
      </c>
      <c r="F182" s="7">
        <f>SUMIFS('Leave Management'!$L:$L,'Leave Management'!$C:$C,Detail!$A182,'Leave Management'!$B:$B,Detail!F$1)</f>
        <v>0</v>
      </c>
      <c r="G182" s="7">
        <f>SUMIFS('Leave Management'!$L:$L,'Leave Management'!$C:$C,Detail!$A182,'Leave Management'!$B:$B,Detail!G$1)</f>
        <v>0</v>
      </c>
      <c r="H182" s="7">
        <f>SUMIFS('Leave Management'!$L:$L,'Leave Management'!$C:$C,Detail!$A182,'Leave Management'!$B:$B,Detail!H$1)</f>
        <v>0</v>
      </c>
      <c r="I182" s="7">
        <f>SUMIFS('Leave Management'!$L:$L,'Leave Management'!$C:$C,Detail!$A182,'Leave Management'!$B:$B,Detail!I$1)</f>
        <v>0</v>
      </c>
      <c r="J182" s="7">
        <f>SUMIFS('Leave Management'!$L:$L,'Leave Management'!$C:$C,Detail!$A182,'Leave Management'!$B:$B,Detail!J$1)</f>
        <v>0</v>
      </c>
      <c r="K182" s="7">
        <f>SUMIFS('Leave Management'!$L:$L,'Leave Management'!$C:$C,Detail!$A182,'Leave Management'!$B:$B,Detail!K$1)</f>
        <v>0</v>
      </c>
      <c r="L182" s="7">
        <f>SUMIFS('Leave Management'!$L:$L,'Leave Management'!$C:$C,Detail!$A182,'Leave Management'!$B:$B,Detail!L$1)</f>
        <v>0</v>
      </c>
      <c r="M182" s="7">
        <f>SUMIFS('Leave Management'!$L:$L,'Leave Management'!$C:$C,Detail!$A182,'Leave Management'!$B:$B,Detail!M$1)</f>
        <v>0</v>
      </c>
      <c r="N182" s="7">
        <f>SUMIFS('Leave Management'!$L:$L,'Leave Management'!$C:$C,Detail!$A182,'Leave Management'!$B:$B,Detail!N$1)</f>
        <v>0</v>
      </c>
      <c r="O182" s="7">
        <f t="shared" si="6"/>
        <v>12</v>
      </c>
    </row>
    <row r="183" spans="1:15" x14ac:dyDescent="0.25">
      <c r="A183" s="24">
        <v>43281</v>
      </c>
      <c r="B183" s="2" t="str">
        <f t="shared" si="5"/>
        <v>Sat</v>
      </c>
      <c r="C183" s="7">
        <f>SUMIFS('Leave Management'!$L:$L,'Leave Management'!$C:$C,Detail!$A183,'Leave Management'!$B:$B,Detail!C$1)</f>
        <v>0</v>
      </c>
      <c r="D183" s="7">
        <f>SUMIFS('Leave Management'!$L:$L,'Leave Management'!$C:$C,Detail!$A183,'Leave Management'!$B:$B,Detail!D$1)</f>
        <v>0</v>
      </c>
      <c r="E183" s="7">
        <f>SUMIFS('Leave Management'!$L:$L,'Leave Management'!$C:$C,Detail!$A183,'Leave Management'!$B:$B,Detail!E$1)</f>
        <v>0</v>
      </c>
      <c r="F183" s="7">
        <f>SUMIFS('Leave Management'!$L:$L,'Leave Management'!$C:$C,Detail!$A183,'Leave Management'!$B:$B,Detail!F$1)</f>
        <v>0</v>
      </c>
      <c r="G183" s="7">
        <f>SUMIFS('Leave Management'!$L:$L,'Leave Management'!$C:$C,Detail!$A183,'Leave Management'!$B:$B,Detail!G$1)</f>
        <v>0</v>
      </c>
      <c r="H183" s="7">
        <f>SUMIFS('Leave Management'!$L:$L,'Leave Management'!$C:$C,Detail!$A183,'Leave Management'!$B:$B,Detail!H$1)</f>
        <v>0</v>
      </c>
      <c r="I183" s="7">
        <f>SUMIFS('Leave Management'!$L:$L,'Leave Management'!$C:$C,Detail!$A183,'Leave Management'!$B:$B,Detail!I$1)</f>
        <v>0</v>
      </c>
      <c r="J183" s="7">
        <f>SUMIFS('Leave Management'!$L:$L,'Leave Management'!$C:$C,Detail!$A183,'Leave Management'!$B:$B,Detail!J$1)</f>
        <v>0</v>
      </c>
      <c r="K183" s="7">
        <f>SUMIFS('Leave Management'!$L:$L,'Leave Management'!$C:$C,Detail!$A183,'Leave Management'!$B:$B,Detail!K$1)</f>
        <v>0</v>
      </c>
      <c r="L183" s="7">
        <f>SUMIFS('Leave Management'!$L:$L,'Leave Management'!$C:$C,Detail!$A183,'Leave Management'!$B:$B,Detail!L$1)</f>
        <v>0</v>
      </c>
      <c r="M183" s="7">
        <f>SUMIFS('Leave Management'!$L:$L,'Leave Management'!$C:$C,Detail!$A183,'Leave Management'!$B:$B,Detail!M$1)</f>
        <v>0</v>
      </c>
      <c r="N183" s="7">
        <f>SUMIFS('Leave Management'!$L:$L,'Leave Management'!$C:$C,Detail!$A183,'Leave Management'!$B:$B,Detail!N$1)</f>
        <v>0</v>
      </c>
      <c r="O183" s="7">
        <f t="shared" si="6"/>
        <v>12</v>
      </c>
    </row>
    <row r="184" spans="1:15" x14ac:dyDescent="0.25">
      <c r="A184" s="24">
        <v>43282</v>
      </c>
      <c r="B184" s="2" t="str">
        <f t="shared" si="5"/>
        <v>Sun</v>
      </c>
      <c r="C184" s="7">
        <f>SUMIFS('Leave Management'!$L:$L,'Leave Management'!$C:$C,Detail!$A184,'Leave Management'!$B:$B,Detail!C$1)</f>
        <v>0</v>
      </c>
      <c r="D184" s="7">
        <f>SUMIFS('Leave Management'!$L:$L,'Leave Management'!$C:$C,Detail!$A184,'Leave Management'!$B:$B,Detail!D$1)</f>
        <v>0</v>
      </c>
      <c r="E184" s="7">
        <f>SUMIFS('Leave Management'!$L:$L,'Leave Management'!$C:$C,Detail!$A184,'Leave Management'!$B:$B,Detail!E$1)</f>
        <v>0</v>
      </c>
      <c r="F184" s="7">
        <f>SUMIFS('Leave Management'!$L:$L,'Leave Management'!$C:$C,Detail!$A184,'Leave Management'!$B:$B,Detail!F$1)</f>
        <v>0</v>
      </c>
      <c r="G184" s="7">
        <f>SUMIFS('Leave Management'!$L:$L,'Leave Management'!$C:$C,Detail!$A184,'Leave Management'!$B:$B,Detail!G$1)</f>
        <v>0</v>
      </c>
      <c r="H184" s="7">
        <f>SUMIFS('Leave Management'!$L:$L,'Leave Management'!$C:$C,Detail!$A184,'Leave Management'!$B:$B,Detail!H$1)</f>
        <v>0</v>
      </c>
      <c r="I184" s="7">
        <f>SUMIFS('Leave Management'!$L:$L,'Leave Management'!$C:$C,Detail!$A184,'Leave Management'!$B:$B,Detail!I$1)</f>
        <v>0</v>
      </c>
      <c r="J184" s="7">
        <f>SUMIFS('Leave Management'!$L:$L,'Leave Management'!$C:$C,Detail!$A184,'Leave Management'!$B:$B,Detail!J$1)</f>
        <v>0</v>
      </c>
      <c r="K184" s="7">
        <f>SUMIFS('Leave Management'!$L:$L,'Leave Management'!$C:$C,Detail!$A184,'Leave Management'!$B:$B,Detail!K$1)</f>
        <v>0</v>
      </c>
      <c r="L184" s="7">
        <f>SUMIFS('Leave Management'!$L:$L,'Leave Management'!$C:$C,Detail!$A184,'Leave Management'!$B:$B,Detail!L$1)</f>
        <v>0</v>
      </c>
      <c r="M184" s="7">
        <f>SUMIFS('Leave Management'!$L:$L,'Leave Management'!$C:$C,Detail!$A184,'Leave Management'!$B:$B,Detail!M$1)</f>
        <v>0</v>
      </c>
      <c r="N184" s="7">
        <f>SUMIFS('Leave Management'!$L:$L,'Leave Management'!$C:$C,Detail!$A184,'Leave Management'!$B:$B,Detail!N$1)</f>
        <v>0</v>
      </c>
      <c r="O184" s="7">
        <f t="shared" si="6"/>
        <v>12</v>
      </c>
    </row>
    <row r="185" spans="1:15" x14ac:dyDescent="0.25">
      <c r="A185" s="24">
        <v>43283</v>
      </c>
      <c r="B185" s="2" t="str">
        <f t="shared" si="5"/>
        <v>Mon</v>
      </c>
      <c r="C185" s="7">
        <f>SUMIFS('Leave Management'!$L:$L,'Leave Management'!$C:$C,Detail!$A185,'Leave Management'!$B:$B,Detail!C$1)</f>
        <v>0</v>
      </c>
      <c r="D185" s="7">
        <f>SUMIFS('Leave Management'!$L:$L,'Leave Management'!$C:$C,Detail!$A185,'Leave Management'!$B:$B,Detail!D$1)</f>
        <v>0</v>
      </c>
      <c r="E185" s="7">
        <f>SUMIFS('Leave Management'!$L:$L,'Leave Management'!$C:$C,Detail!$A185,'Leave Management'!$B:$B,Detail!E$1)</f>
        <v>0</v>
      </c>
      <c r="F185" s="7">
        <f>SUMIFS('Leave Management'!$L:$L,'Leave Management'!$C:$C,Detail!$A185,'Leave Management'!$B:$B,Detail!F$1)</f>
        <v>0</v>
      </c>
      <c r="G185" s="7">
        <f>SUMIFS('Leave Management'!$L:$L,'Leave Management'!$C:$C,Detail!$A185,'Leave Management'!$B:$B,Detail!G$1)</f>
        <v>0</v>
      </c>
      <c r="H185" s="7">
        <f>SUMIFS('Leave Management'!$L:$L,'Leave Management'!$C:$C,Detail!$A185,'Leave Management'!$B:$B,Detail!H$1)</f>
        <v>0</v>
      </c>
      <c r="I185" s="7">
        <f>SUMIFS('Leave Management'!$L:$L,'Leave Management'!$C:$C,Detail!$A185,'Leave Management'!$B:$B,Detail!I$1)</f>
        <v>0</v>
      </c>
      <c r="J185" s="7">
        <f>SUMIFS('Leave Management'!$L:$L,'Leave Management'!$C:$C,Detail!$A185,'Leave Management'!$B:$B,Detail!J$1)</f>
        <v>0</v>
      </c>
      <c r="K185" s="7">
        <f>SUMIFS('Leave Management'!$L:$L,'Leave Management'!$C:$C,Detail!$A185,'Leave Management'!$B:$B,Detail!K$1)</f>
        <v>0</v>
      </c>
      <c r="L185" s="7">
        <f>SUMIFS('Leave Management'!$L:$L,'Leave Management'!$C:$C,Detail!$A185,'Leave Management'!$B:$B,Detail!L$1)</f>
        <v>0</v>
      </c>
      <c r="M185" s="7">
        <f>SUMIFS('Leave Management'!$L:$L,'Leave Management'!$C:$C,Detail!$A185,'Leave Management'!$B:$B,Detail!M$1)</f>
        <v>0</v>
      </c>
      <c r="N185" s="7">
        <f>SUMIFS('Leave Management'!$L:$L,'Leave Management'!$C:$C,Detail!$A185,'Leave Management'!$B:$B,Detail!N$1)</f>
        <v>0</v>
      </c>
      <c r="O185" s="7">
        <f t="shared" si="6"/>
        <v>12</v>
      </c>
    </row>
    <row r="186" spans="1:15" x14ac:dyDescent="0.25">
      <c r="A186" s="24">
        <v>43284</v>
      </c>
      <c r="B186" s="2" t="str">
        <f t="shared" si="5"/>
        <v>Tue</v>
      </c>
      <c r="C186" s="7">
        <f>SUMIFS('Leave Management'!$L:$L,'Leave Management'!$C:$C,Detail!$A186,'Leave Management'!$B:$B,Detail!C$1)</f>
        <v>0</v>
      </c>
      <c r="D186" s="7">
        <f>SUMIFS('Leave Management'!$L:$L,'Leave Management'!$C:$C,Detail!$A186,'Leave Management'!$B:$B,Detail!D$1)</f>
        <v>0</v>
      </c>
      <c r="E186" s="7">
        <f>SUMIFS('Leave Management'!$L:$L,'Leave Management'!$C:$C,Detail!$A186,'Leave Management'!$B:$B,Detail!E$1)</f>
        <v>0</v>
      </c>
      <c r="F186" s="7">
        <f>SUMIFS('Leave Management'!$L:$L,'Leave Management'!$C:$C,Detail!$A186,'Leave Management'!$B:$B,Detail!F$1)</f>
        <v>0</v>
      </c>
      <c r="G186" s="7">
        <f>SUMIFS('Leave Management'!$L:$L,'Leave Management'!$C:$C,Detail!$A186,'Leave Management'!$B:$B,Detail!G$1)</f>
        <v>0</v>
      </c>
      <c r="H186" s="7">
        <f>SUMIFS('Leave Management'!$L:$L,'Leave Management'!$C:$C,Detail!$A186,'Leave Management'!$B:$B,Detail!H$1)</f>
        <v>0</v>
      </c>
      <c r="I186" s="7">
        <f>SUMIFS('Leave Management'!$L:$L,'Leave Management'!$C:$C,Detail!$A186,'Leave Management'!$B:$B,Detail!I$1)</f>
        <v>0</v>
      </c>
      <c r="J186" s="7">
        <f>SUMIFS('Leave Management'!$L:$L,'Leave Management'!$C:$C,Detail!$A186,'Leave Management'!$B:$B,Detail!J$1)</f>
        <v>0</v>
      </c>
      <c r="K186" s="7">
        <f>SUMIFS('Leave Management'!$L:$L,'Leave Management'!$C:$C,Detail!$A186,'Leave Management'!$B:$B,Detail!K$1)</f>
        <v>0</v>
      </c>
      <c r="L186" s="7">
        <f>SUMIFS('Leave Management'!$L:$L,'Leave Management'!$C:$C,Detail!$A186,'Leave Management'!$B:$B,Detail!L$1)</f>
        <v>0</v>
      </c>
      <c r="M186" s="7">
        <f>SUMIFS('Leave Management'!$L:$L,'Leave Management'!$C:$C,Detail!$A186,'Leave Management'!$B:$B,Detail!M$1)</f>
        <v>0</v>
      </c>
      <c r="N186" s="7">
        <f>SUMIFS('Leave Management'!$L:$L,'Leave Management'!$C:$C,Detail!$A186,'Leave Management'!$B:$B,Detail!N$1)</f>
        <v>0</v>
      </c>
      <c r="O186" s="7">
        <f t="shared" si="6"/>
        <v>12</v>
      </c>
    </row>
    <row r="187" spans="1:15" x14ac:dyDescent="0.25">
      <c r="A187" s="24">
        <v>43285</v>
      </c>
      <c r="B187" s="2" t="str">
        <f t="shared" si="5"/>
        <v>Wed</v>
      </c>
      <c r="C187" s="7">
        <f>SUMIFS('Leave Management'!$L:$L,'Leave Management'!$C:$C,Detail!$A187,'Leave Management'!$B:$B,Detail!C$1)</f>
        <v>0</v>
      </c>
      <c r="D187" s="7">
        <f>SUMIFS('Leave Management'!$L:$L,'Leave Management'!$C:$C,Detail!$A187,'Leave Management'!$B:$B,Detail!D$1)</f>
        <v>0</v>
      </c>
      <c r="E187" s="7">
        <f>SUMIFS('Leave Management'!$L:$L,'Leave Management'!$C:$C,Detail!$A187,'Leave Management'!$B:$B,Detail!E$1)</f>
        <v>0</v>
      </c>
      <c r="F187" s="7">
        <f>SUMIFS('Leave Management'!$L:$L,'Leave Management'!$C:$C,Detail!$A187,'Leave Management'!$B:$B,Detail!F$1)</f>
        <v>0</v>
      </c>
      <c r="G187" s="7">
        <f>SUMIFS('Leave Management'!$L:$L,'Leave Management'!$C:$C,Detail!$A187,'Leave Management'!$B:$B,Detail!G$1)</f>
        <v>0</v>
      </c>
      <c r="H187" s="7">
        <f>SUMIFS('Leave Management'!$L:$L,'Leave Management'!$C:$C,Detail!$A187,'Leave Management'!$B:$B,Detail!H$1)</f>
        <v>0</v>
      </c>
      <c r="I187" s="7">
        <f>SUMIFS('Leave Management'!$L:$L,'Leave Management'!$C:$C,Detail!$A187,'Leave Management'!$B:$B,Detail!I$1)</f>
        <v>0</v>
      </c>
      <c r="J187" s="7">
        <f>SUMIFS('Leave Management'!$L:$L,'Leave Management'!$C:$C,Detail!$A187,'Leave Management'!$B:$B,Detail!J$1)</f>
        <v>0</v>
      </c>
      <c r="K187" s="7">
        <f>SUMIFS('Leave Management'!$L:$L,'Leave Management'!$C:$C,Detail!$A187,'Leave Management'!$B:$B,Detail!K$1)</f>
        <v>0</v>
      </c>
      <c r="L187" s="7">
        <f>SUMIFS('Leave Management'!$L:$L,'Leave Management'!$C:$C,Detail!$A187,'Leave Management'!$B:$B,Detail!L$1)</f>
        <v>0</v>
      </c>
      <c r="M187" s="7">
        <f>SUMIFS('Leave Management'!$L:$L,'Leave Management'!$C:$C,Detail!$A187,'Leave Management'!$B:$B,Detail!M$1)</f>
        <v>0</v>
      </c>
      <c r="N187" s="7">
        <f>SUMIFS('Leave Management'!$L:$L,'Leave Management'!$C:$C,Detail!$A187,'Leave Management'!$B:$B,Detail!N$1)</f>
        <v>0</v>
      </c>
      <c r="O187" s="7">
        <f t="shared" si="6"/>
        <v>12</v>
      </c>
    </row>
    <row r="188" spans="1:15" x14ac:dyDescent="0.25">
      <c r="A188" s="24">
        <v>43286</v>
      </c>
      <c r="B188" s="2" t="str">
        <f t="shared" si="5"/>
        <v>Thu</v>
      </c>
      <c r="C188" s="7">
        <f>SUMIFS('Leave Management'!$L:$L,'Leave Management'!$C:$C,Detail!$A188,'Leave Management'!$B:$B,Detail!C$1)</f>
        <v>0</v>
      </c>
      <c r="D188" s="7">
        <f>SUMIFS('Leave Management'!$L:$L,'Leave Management'!$C:$C,Detail!$A188,'Leave Management'!$B:$B,Detail!D$1)</f>
        <v>0</v>
      </c>
      <c r="E188" s="7">
        <f>SUMIFS('Leave Management'!$L:$L,'Leave Management'!$C:$C,Detail!$A188,'Leave Management'!$B:$B,Detail!E$1)</f>
        <v>0</v>
      </c>
      <c r="F188" s="7">
        <f>SUMIFS('Leave Management'!$L:$L,'Leave Management'!$C:$C,Detail!$A188,'Leave Management'!$B:$B,Detail!F$1)</f>
        <v>0</v>
      </c>
      <c r="G188" s="7">
        <f>SUMIFS('Leave Management'!$L:$L,'Leave Management'!$C:$C,Detail!$A188,'Leave Management'!$B:$B,Detail!G$1)</f>
        <v>0</v>
      </c>
      <c r="H188" s="7">
        <f>SUMIFS('Leave Management'!$L:$L,'Leave Management'!$C:$C,Detail!$A188,'Leave Management'!$B:$B,Detail!H$1)</f>
        <v>0</v>
      </c>
      <c r="I188" s="7">
        <f>SUMIFS('Leave Management'!$L:$L,'Leave Management'!$C:$C,Detail!$A188,'Leave Management'!$B:$B,Detail!I$1)</f>
        <v>0</v>
      </c>
      <c r="J188" s="7">
        <f>SUMIFS('Leave Management'!$L:$L,'Leave Management'!$C:$C,Detail!$A188,'Leave Management'!$B:$B,Detail!J$1)</f>
        <v>0</v>
      </c>
      <c r="K188" s="7">
        <f>SUMIFS('Leave Management'!$L:$L,'Leave Management'!$C:$C,Detail!$A188,'Leave Management'!$B:$B,Detail!K$1)</f>
        <v>0</v>
      </c>
      <c r="L188" s="7">
        <f>SUMIFS('Leave Management'!$L:$L,'Leave Management'!$C:$C,Detail!$A188,'Leave Management'!$B:$B,Detail!L$1)</f>
        <v>0</v>
      </c>
      <c r="M188" s="7">
        <f>SUMIFS('Leave Management'!$L:$L,'Leave Management'!$C:$C,Detail!$A188,'Leave Management'!$B:$B,Detail!M$1)</f>
        <v>0</v>
      </c>
      <c r="N188" s="7">
        <f>SUMIFS('Leave Management'!$L:$L,'Leave Management'!$C:$C,Detail!$A188,'Leave Management'!$B:$B,Detail!N$1)</f>
        <v>0</v>
      </c>
      <c r="O188" s="7">
        <f t="shared" si="6"/>
        <v>12</v>
      </c>
    </row>
    <row r="189" spans="1:15" x14ac:dyDescent="0.25">
      <c r="A189" s="24">
        <v>43287</v>
      </c>
      <c r="B189" s="2" t="str">
        <f t="shared" si="5"/>
        <v>Fri</v>
      </c>
      <c r="C189" s="7">
        <f>SUMIFS('Leave Management'!$L:$L,'Leave Management'!$C:$C,Detail!$A189,'Leave Management'!$B:$B,Detail!C$1)</f>
        <v>0</v>
      </c>
      <c r="D189" s="7">
        <f>SUMIFS('Leave Management'!$L:$L,'Leave Management'!$C:$C,Detail!$A189,'Leave Management'!$B:$B,Detail!D$1)</f>
        <v>0</v>
      </c>
      <c r="E189" s="7">
        <f>SUMIFS('Leave Management'!$L:$L,'Leave Management'!$C:$C,Detail!$A189,'Leave Management'!$B:$B,Detail!E$1)</f>
        <v>0</v>
      </c>
      <c r="F189" s="7">
        <f>SUMIFS('Leave Management'!$L:$L,'Leave Management'!$C:$C,Detail!$A189,'Leave Management'!$B:$B,Detail!F$1)</f>
        <v>0</v>
      </c>
      <c r="G189" s="7">
        <f>SUMIFS('Leave Management'!$L:$L,'Leave Management'!$C:$C,Detail!$A189,'Leave Management'!$B:$B,Detail!G$1)</f>
        <v>0</v>
      </c>
      <c r="H189" s="7">
        <f>SUMIFS('Leave Management'!$L:$L,'Leave Management'!$C:$C,Detail!$A189,'Leave Management'!$B:$B,Detail!H$1)</f>
        <v>0</v>
      </c>
      <c r="I189" s="7">
        <f>SUMIFS('Leave Management'!$L:$L,'Leave Management'!$C:$C,Detail!$A189,'Leave Management'!$B:$B,Detail!I$1)</f>
        <v>0</v>
      </c>
      <c r="J189" s="7">
        <f>SUMIFS('Leave Management'!$L:$L,'Leave Management'!$C:$C,Detail!$A189,'Leave Management'!$B:$B,Detail!J$1)</f>
        <v>0</v>
      </c>
      <c r="K189" s="7">
        <f>SUMIFS('Leave Management'!$L:$L,'Leave Management'!$C:$C,Detail!$A189,'Leave Management'!$B:$B,Detail!K$1)</f>
        <v>0</v>
      </c>
      <c r="L189" s="7">
        <f>SUMIFS('Leave Management'!$L:$L,'Leave Management'!$C:$C,Detail!$A189,'Leave Management'!$B:$B,Detail!L$1)</f>
        <v>0</v>
      </c>
      <c r="M189" s="7">
        <f>SUMIFS('Leave Management'!$L:$L,'Leave Management'!$C:$C,Detail!$A189,'Leave Management'!$B:$B,Detail!M$1)</f>
        <v>0</v>
      </c>
      <c r="N189" s="7">
        <f>SUMIFS('Leave Management'!$L:$L,'Leave Management'!$C:$C,Detail!$A189,'Leave Management'!$B:$B,Detail!N$1)</f>
        <v>0</v>
      </c>
      <c r="O189" s="7">
        <f t="shared" si="6"/>
        <v>12</v>
      </c>
    </row>
    <row r="190" spans="1:15" x14ac:dyDescent="0.25">
      <c r="A190" s="24">
        <v>43288</v>
      </c>
      <c r="B190" s="2" t="str">
        <f t="shared" si="5"/>
        <v>Sat</v>
      </c>
      <c r="C190" s="7">
        <f>SUMIFS('Leave Management'!$L:$L,'Leave Management'!$C:$C,Detail!$A190,'Leave Management'!$B:$B,Detail!C$1)</f>
        <v>0</v>
      </c>
      <c r="D190" s="7">
        <f>SUMIFS('Leave Management'!$L:$L,'Leave Management'!$C:$C,Detail!$A190,'Leave Management'!$B:$B,Detail!D$1)</f>
        <v>0</v>
      </c>
      <c r="E190" s="7">
        <f>SUMIFS('Leave Management'!$L:$L,'Leave Management'!$C:$C,Detail!$A190,'Leave Management'!$B:$B,Detail!E$1)</f>
        <v>0</v>
      </c>
      <c r="F190" s="7">
        <f>SUMIFS('Leave Management'!$L:$L,'Leave Management'!$C:$C,Detail!$A190,'Leave Management'!$B:$B,Detail!F$1)</f>
        <v>0</v>
      </c>
      <c r="G190" s="7">
        <f>SUMIFS('Leave Management'!$L:$L,'Leave Management'!$C:$C,Detail!$A190,'Leave Management'!$B:$B,Detail!G$1)</f>
        <v>1</v>
      </c>
      <c r="H190" s="7">
        <f>SUMIFS('Leave Management'!$L:$L,'Leave Management'!$C:$C,Detail!$A190,'Leave Management'!$B:$B,Detail!H$1)</f>
        <v>0</v>
      </c>
      <c r="I190" s="7">
        <f>SUMIFS('Leave Management'!$L:$L,'Leave Management'!$C:$C,Detail!$A190,'Leave Management'!$B:$B,Detail!I$1)</f>
        <v>0</v>
      </c>
      <c r="J190" s="7">
        <f>SUMIFS('Leave Management'!$L:$L,'Leave Management'!$C:$C,Detail!$A190,'Leave Management'!$B:$B,Detail!J$1)</f>
        <v>0</v>
      </c>
      <c r="K190" s="7">
        <f>SUMIFS('Leave Management'!$L:$L,'Leave Management'!$C:$C,Detail!$A190,'Leave Management'!$B:$B,Detail!K$1)</f>
        <v>0</v>
      </c>
      <c r="L190" s="7">
        <f>SUMIFS('Leave Management'!$L:$L,'Leave Management'!$C:$C,Detail!$A190,'Leave Management'!$B:$B,Detail!L$1)</f>
        <v>0</v>
      </c>
      <c r="M190" s="7">
        <f>SUMIFS('Leave Management'!$L:$L,'Leave Management'!$C:$C,Detail!$A190,'Leave Management'!$B:$B,Detail!M$1)</f>
        <v>0</v>
      </c>
      <c r="N190" s="7">
        <f>SUMIFS('Leave Management'!$L:$L,'Leave Management'!$C:$C,Detail!$A190,'Leave Management'!$B:$B,Detail!N$1)</f>
        <v>0</v>
      </c>
      <c r="O190" s="7">
        <f t="shared" si="6"/>
        <v>11</v>
      </c>
    </row>
    <row r="191" spans="1:15" x14ac:dyDescent="0.25">
      <c r="A191" s="24">
        <v>43289</v>
      </c>
      <c r="B191" s="2" t="str">
        <f t="shared" si="5"/>
        <v>Sun</v>
      </c>
      <c r="C191" s="7">
        <f>SUMIFS('Leave Management'!$L:$L,'Leave Management'!$C:$C,Detail!$A191,'Leave Management'!$B:$B,Detail!C$1)</f>
        <v>0</v>
      </c>
      <c r="D191" s="7">
        <f>SUMIFS('Leave Management'!$L:$L,'Leave Management'!$C:$C,Detail!$A191,'Leave Management'!$B:$B,Detail!D$1)</f>
        <v>0</v>
      </c>
      <c r="E191" s="7">
        <f>SUMIFS('Leave Management'!$L:$L,'Leave Management'!$C:$C,Detail!$A191,'Leave Management'!$B:$B,Detail!E$1)</f>
        <v>0</v>
      </c>
      <c r="F191" s="7">
        <f>SUMIFS('Leave Management'!$L:$L,'Leave Management'!$C:$C,Detail!$A191,'Leave Management'!$B:$B,Detail!F$1)</f>
        <v>0</v>
      </c>
      <c r="G191" s="7">
        <f>SUMIFS('Leave Management'!$L:$L,'Leave Management'!$C:$C,Detail!$A191,'Leave Management'!$B:$B,Detail!G$1)</f>
        <v>0</v>
      </c>
      <c r="H191" s="7">
        <f>SUMIFS('Leave Management'!$L:$L,'Leave Management'!$C:$C,Detail!$A191,'Leave Management'!$B:$B,Detail!H$1)</f>
        <v>0</v>
      </c>
      <c r="I191" s="7">
        <f>SUMIFS('Leave Management'!$L:$L,'Leave Management'!$C:$C,Detail!$A191,'Leave Management'!$B:$B,Detail!I$1)</f>
        <v>0</v>
      </c>
      <c r="J191" s="7">
        <f>SUMIFS('Leave Management'!$L:$L,'Leave Management'!$C:$C,Detail!$A191,'Leave Management'!$B:$B,Detail!J$1)</f>
        <v>0</v>
      </c>
      <c r="K191" s="7">
        <f>SUMIFS('Leave Management'!$L:$L,'Leave Management'!$C:$C,Detail!$A191,'Leave Management'!$B:$B,Detail!K$1)</f>
        <v>0</v>
      </c>
      <c r="L191" s="7">
        <f>SUMIFS('Leave Management'!$L:$L,'Leave Management'!$C:$C,Detail!$A191,'Leave Management'!$B:$B,Detail!L$1)</f>
        <v>0</v>
      </c>
      <c r="M191" s="7">
        <f>SUMIFS('Leave Management'!$L:$L,'Leave Management'!$C:$C,Detail!$A191,'Leave Management'!$B:$B,Detail!M$1)</f>
        <v>0</v>
      </c>
      <c r="N191" s="7">
        <f>SUMIFS('Leave Management'!$L:$L,'Leave Management'!$C:$C,Detail!$A191,'Leave Management'!$B:$B,Detail!N$1)</f>
        <v>0</v>
      </c>
      <c r="O191" s="7">
        <f t="shared" si="6"/>
        <v>12</v>
      </c>
    </row>
    <row r="192" spans="1:15" x14ac:dyDescent="0.25">
      <c r="A192" s="24">
        <v>43290</v>
      </c>
      <c r="B192" s="2" t="str">
        <f t="shared" si="5"/>
        <v>Mon</v>
      </c>
      <c r="C192" s="7">
        <f>SUMIFS('Leave Management'!$L:$L,'Leave Management'!$C:$C,Detail!$A192,'Leave Management'!$B:$B,Detail!C$1)</f>
        <v>0</v>
      </c>
      <c r="D192" s="7">
        <f>SUMIFS('Leave Management'!$L:$L,'Leave Management'!$C:$C,Detail!$A192,'Leave Management'!$B:$B,Detail!D$1)</f>
        <v>0</v>
      </c>
      <c r="E192" s="7">
        <f>SUMIFS('Leave Management'!$L:$L,'Leave Management'!$C:$C,Detail!$A192,'Leave Management'!$B:$B,Detail!E$1)</f>
        <v>0</v>
      </c>
      <c r="F192" s="7">
        <f>SUMIFS('Leave Management'!$L:$L,'Leave Management'!$C:$C,Detail!$A192,'Leave Management'!$B:$B,Detail!F$1)</f>
        <v>0</v>
      </c>
      <c r="G192" s="7">
        <f>SUMIFS('Leave Management'!$L:$L,'Leave Management'!$C:$C,Detail!$A192,'Leave Management'!$B:$B,Detail!G$1)</f>
        <v>0</v>
      </c>
      <c r="H192" s="7">
        <f>SUMIFS('Leave Management'!$L:$L,'Leave Management'!$C:$C,Detail!$A192,'Leave Management'!$B:$B,Detail!H$1)</f>
        <v>0</v>
      </c>
      <c r="I192" s="7">
        <f>SUMIFS('Leave Management'!$L:$L,'Leave Management'!$C:$C,Detail!$A192,'Leave Management'!$B:$B,Detail!I$1)</f>
        <v>0</v>
      </c>
      <c r="J192" s="7">
        <f>SUMIFS('Leave Management'!$L:$L,'Leave Management'!$C:$C,Detail!$A192,'Leave Management'!$B:$B,Detail!J$1)</f>
        <v>0</v>
      </c>
      <c r="K192" s="7">
        <f>SUMIFS('Leave Management'!$L:$L,'Leave Management'!$C:$C,Detail!$A192,'Leave Management'!$B:$B,Detail!K$1)</f>
        <v>0</v>
      </c>
      <c r="L192" s="7">
        <f>SUMIFS('Leave Management'!$L:$L,'Leave Management'!$C:$C,Detail!$A192,'Leave Management'!$B:$B,Detail!L$1)</f>
        <v>0</v>
      </c>
      <c r="M192" s="7">
        <f>SUMIFS('Leave Management'!$L:$L,'Leave Management'!$C:$C,Detail!$A192,'Leave Management'!$B:$B,Detail!M$1)</f>
        <v>0</v>
      </c>
      <c r="N192" s="7">
        <f>SUMIFS('Leave Management'!$L:$L,'Leave Management'!$C:$C,Detail!$A192,'Leave Management'!$B:$B,Detail!N$1)</f>
        <v>0</v>
      </c>
      <c r="O192" s="7">
        <f t="shared" si="6"/>
        <v>12</v>
      </c>
    </row>
    <row r="193" spans="1:15" x14ac:dyDescent="0.25">
      <c r="A193" s="24">
        <v>43291</v>
      </c>
      <c r="B193" s="2" t="str">
        <f t="shared" si="5"/>
        <v>Tue</v>
      </c>
      <c r="C193" s="7">
        <f>SUMIFS('Leave Management'!$L:$L,'Leave Management'!$C:$C,Detail!$A193,'Leave Management'!$B:$B,Detail!C$1)</f>
        <v>0</v>
      </c>
      <c r="D193" s="7">
        <f>SUMIFS('Leave Management'!$L:$L,'Leave Management'!$C:$C,Detail!$A193,'Leave Management'!$B:$B,Detail!D$1)</f>
        <v>0</v>
      </c>
      <c r="E193" s="7">
        <f>SUMIFS('Leave Management'!$L:$L,'Leave Management'!$C:$C,Detail!$A193,'Leave Management'!$B:$B,Detail!E$1)</f>
        <v>0</v>
      </c>
      <c r="F193" s="7">
        <f>SUMIFS('Leave Management'!$L:$L,'Leave Management'!$C:$C,Detail!$A193,'Leave Management'!$B:$B,Detail!F$1)</f>
        <v>0</v>
      </c>
      <c r="G193" s="7">
        <f>SUMIFS('Leave Management'!$L:$L,'Leave Management'!$C:$C,Detail!$A193,'Leave Management'!$B:$B,Detail!G$1)</f>
        <v>0</v>
      </c>
      <c r="H193" s="7">
        <f>SUMIFS('Leave Management'!$L:$L,'Leave Management'!$C:$C,Detail!$A193,'Leave Management'!$B:$B,Detail!H$1)</f>
        <v>0</v>
      </c>
      <c r="I193" s="7">
        <f>SUMIFS('Leave Management'!$L:$L,'Leave Management'!$C:$C,Detail!$A193,'Leave Management'!$B:$B,Detail!I$1)</f>
        <v>0</v>
      </c>
      <c r="J193" s="7">
        <f>SUMIFS('Leave Management'!$L:$L,'Leave Management'!$C:$C,Detail!$A193,'Leave Management'!$B:$B,Detail!J$1)</f>
        <v>0</v>
      </c>
      <c r="K193" s="7">
        <f>SUMIFS('Leave Management'!$L:$L,'Leave Management'!$C:$C,Detail!$A193,'Leave Management'!$B:$B,Detail!K$1)</f>
        <v>0</v>
      </c>
      <c r="L193" s="7">
        <f>SUMIFS('Leave Management'!$L:$L,'Leave Management'!$C:$C,Detail!$A193,'Leave Management'!$B:$B,Detail!L$1)</f>
        <v>0</v>
      </c>
      <c r="M193" s="7">
        <f>SUMIFS('Leave Management'!$L:$L,'Leave Management'!$C:$C,Detail!$A193,'Leave Management'!$B:$B,Detail!M$1)</f>
        <v>0</v>
      </c>
      <c r="N193" s="7">
        <f>SUMIFS('Leave Management'!$L:$L,'Leave Management'!$C:$C,Detail!$A193,'Leave Management'!$B:$B,Detail!N$1)</f>
        <v>0</v>
      </c>
      <c r="O193" s="7">
        <f t="shared" si="6"/>
        <v>12</v>
      </c>
    </row>
    <row r="194" spans="1:15" x14ac:dyDescent="0.25">
      <c r="A194" s="24">
        <v>43292</v>
      </c>
      <c r="B194" s="2" t="str">
        <f t="shared" si="5"/>
        <v>Wed</v>
      </c>
      <c r="C194" s="7">
        <f>SUMIFS('Leave Management'!$L:$L,'Leave Management'!$C:$C,Detail!$A194,'Leave Management'!$B:$B,Detail!C$1)</f>
        <v>0</v>
      </c>
      <c r="D194" s="7">
        <f>SUMIFS('Leave Management'!$L:$L,'Leave Management'!$C:$C,Detail!$A194,'Leave Management'!$B:$B,Detail!D$1)</f>
        <v>0</v>
      </c>
      <c r="E194" s="7">
        <f>SUMIFS('Leave Management'!$L:$L,'Leave Management'!$C:$C,Detail!$A194,'Leave Management'!$B:$B,Detail!E$1)</f>
        <v>0</v>
      </c>
      <c r="F194" s="7">
        <f>SUMIFS('Leave Management'!$L:$L,'Leave Management'!$C:$C,Detail!$A194,'Leave Management'!$B:$B,Detail!F$1)</f>
        <v>0</v>
      </c>
      <c r="G194" s="7">
        <f>SUMIFS('Leave Management'!$L:$L,'Leave Management'!$C:$C,Detail!$A194,'Leave Management'!$B:$B,Detail!G$1)</f>
        <v>0</v>
      </c>
      <c r="H194" s="7">
        <f>SUMIFS('Leave Management'!$L:$L,'Leave Management'!$C:$C,Detail!$A194,'Leave Management'!$B:$B,Detail!H$1)</f>
        <v>0</v>
      </c>
      <c r="I194" s="7">
        <f>SUMIFS('Leave Management'!$L:$L,'Leave Management'!$C:$C,Detail!$A194,'Leave Management'!$B:$B,Detail!I$1)</f>
        <v>0</v>
      </c>
      <c r="J194" s="7">
        <f>SUMIFS('Leave Management'!$L:$L,'Leave Management'!$C:$C,Detail!$A194,'Leave Management'!$B:$B,Detail!J$1)</f>
        <v>0</v>
      </c>
      <c r="K194" s="7">
        <f>SUMIFS('Leave Management'!$L:$L,'Leave Management'!$C:$C,Detail!$A194,'Leave Management'!$B:$B,Detail!K$1)</f>
        <v>0</v>
      </c>
      <c r="L194" s="7">
        <f>SUMIFS('Leave Management'!$L:$L,'Leave Management'!$C:$C,Detail!$A194,'Leave Management'!$B:$B,Detail!L$1)</f>
        <v>0</v>
      </c>
      <c r="M194" s="7">
        <f>SUMIFS('Leave Management'!$L:$L,'Leave Management'!$C:$C,Detail!$A194,'Leave Management'!$B:$B,Detail!M$1)</f>
        <v>0</v>
      </c>
      <c r="N194" s="7">
        <f>SUMIFS('Leave Management'!$L:$L,'Leave Management'!$C:$C,Detail!$A194,'Leave Management'!$B:$B,Detail!N$1)</f>
        <v>0</v>
      </c>
      <c r="O194" s="7">
        <f t="shared" si="6"/>
        <v>12</v>
      </c>
    </row>
    <row r="195" spans="1:15" x14ac:dyDescent="0.25">
      <c r="A195" s="24">
        <v>43293</v>
      </c>
      <c r="B195" s="2" t="str">
        <f t="shared" si="5"/>
        <v>Thu</v>
      </c>
      <c r="C195" s="7">
        <f>SUMIFS('Leave Management'!$L:$L,'Leave Management'!$C:$C,Detail!$A195,'Leave Management'!$B:$B,Detail!C$1)</f>
        <v>0</v>
      </c>
      <c r="D195" s="7">
        <f>SUMIFS('Leave Management'!$L:$L,'Leave Management'!$C:$C,Detail!$A195,'Leave Management'!$B:$B,Detail!D$1)</f>
        <v>0</v>
      </c>
      <c r="E195" s="7">
        <f>SUMIFS('Leave Management'!$L:$L,'Leave Management'!$C:$C,Detail!$A195,'Leave Management'!$B:$B,Detail!E$1)</f>
        <v>0</v>
      </c>
      <c r="F195" s="7">
        <f>SUMIFS('Leave Management'!$L:$L,'Leave Management'!$C:$C,Detail!$A195,'Leave Management'!$B:$B,Detail!F$1)</f>
        <v>0</v>
      </c>
      <c r="G195" s="7">
        <f>SUMIFS('Leave Management'!$L:$L,'Leave Management'!$C:$C,Detail!$A195,'Leave Management'!$B:$B,Detail!G$1)</f>
        <v>0</v>
      </c>
      <c r="H195" s="7">
        <f>SUMIFS('Leave Management'!$L:$L,'Leave Management'!$C:$C,Detail!$A195,'Leave Management'!$B:$B,Detail!H$1)</f>
        <v>0</v>
      </c>
      <c r="I195" s="7">
        <f>SUMIFS('Leave Management'!$L:$L,'Leave Management'!$C:$C,Detail!$A195,'Leave Management'!$B:$B,Detail!I$1)</f>
        <v>0</v>
      </c>
      <c r="J195" s="7">
        <f>SUMIFS('Leave Management'!$L:$L,'Leave Management'!$C:$C,Detail!$A195,'Leave Management'!$B:$B,Detail!J$1)</f>
        <v>0</v>
      </c>
      <c r="K195" s="7">
        <f>SUMIFS('Leave Management'!$L:$L,'Leave Management'!$C:$C,Detail!$A195,'Leave Management'!$B:$B,Detail!K$1)</f>
        <v>0</v>
      </c>
      <c r="L195" s="7">
        <f>SUMIFS('Leave Management'!$L:$L,'Leave Management'!$C:$C,Detail!$A195,'Leave Management'!$B:$B,Detail!L$1)</f>
        <v>0</v>
      </c>
      <c r="M195" s="7">
        <f>SUMIFS('Leave Management'!$L:$L,'Leave Management'!$C:$C,Detail!$A195,'Leave Management'!$B:$B,Detail!M$1)</f>
        <v>0</v>
      </c>
      <c r="N195" s="7">
        <f>SUMIFS('Leave Management'!$L:$L,'Leave Management'!$C:$C,Detail!$A195,'Leave Management'!$B:$B,Detail!N$1)</f>
        <v>0</v>
      </c>
      <c r="O195" s="7">
        <f t="shared" si="6"/>
        <v>12</v>
      </c>
    </row>
    <row r="196" spans="1:15" x14ac:dyDescent="0.25">
      <c r="A196" s="24">
        <v>43294</v>
      </c>
      <c r="B196" s="2" t="str">
        <f t="shared" ref="B196:B259" si="7">CHOOSE(WEEKDAY(A196),"Sun","Mon","Tue","Wed","Thu","Fri","Sat")</f>
        <v>Fri</v>
      </c>
      <c r="C196" s="7">
        <f>SUMIFS('Leave Management'!$L:$L,'Leave Management'!$C:$C,Detail!$A196,'Leave Management'!$B:$B,Detail!C$1)</f>
        <v>0</v>
      </c>
      <c r="D196" s="7">
        <f>SUMIFS('Leave Management'!$L:$L,'Leave Management'!$C:$C,Detail!$A196,'Leave Management'!$B:$B,Detail!D$1)</f>
        <v>0</v>
      </c>
      <c r="E196" s="7">
        <f>SUMIFS('Leave Management'!$L:$L,'Leave Management'!$C:$C,Detail!$A196,'Leave Management'!$B:$B,Detail!E$1)</f>
        <v>0</v>
      </c>
      <c r="F196" s="7">
        <f>SUMIFS('Leave Management'!$L:$L,'Leave Management'!$C:$C,Detail!$A196,'Leave Management'!$B:$B,Detail!F$1)</f>
        <v>0</v>
      </c>
      <c r="G196" s="7">
        <f>SUMIFS('Leave Management'!$L:$L,'Leave Management'!$C:$C,Detail!$A196,'Leave Management'!$B:$B,Detail!G$1)</f>
        <v>0</v>
      </c>
      <c r="H196" s="7">
        <f>SUMIFS('Leave Management'!$L:$L,'Leave Management'!$C:$C,Detail!$A196,'Leave Management'!$B:$B,Detail!H$1)</f>
        <v>0</v>
      </c>
      <c r="I196" s="7">
        <f>SUMIFS('Leave Management'!$L:$L,'Leave Management'!$C:$C,Detail!$A196,'Leave Management'!$B:$B,Detail!I$1)</f>
        <v>0</v>
      </c>
      <c r="J196" s="7">
        <f>SUMIFS('Leave Management'!$L:$L,'Leave Management'!$C:$C,Detail!$A196,'Leave Management'!$B:$B,Detail!J$1)</f>
        <v>0</v>
      </c>
      <c r="K196" s="7">
        <f>SUMIFS('Leave Management'!$L:$L,'Leave Management'!$C:$C,Detail!$A196,'Leave Management'!$B:$B,Detail!K$1)</f>
        <v>0</v>
      </c>
      <c r="L196" s="7">
        <f>SUMIFS('Leave Management'!$L:$L,'Leave Management'!$C:$C,Detail!$A196,'Leave Management'!$B:$B,Detail!L$1)</f>
        <v>0</v>
      </c>
      <c r="M196" s="7">
        <f>SUMIFS('Leave Management'!$L:$L,'Leave Management'!$C:$C,Detail!$A196,'Leave Management'!$B:$B,Detail!M$1)</f>
        <v>0</v>
      </c>
      <c r="N196" s="7">
        <f>SUMIFS('Leave Management'!$L:$L,'Leave Management'!$C:$C,Detail!$A196,'Leave Management'!$B:$B,Detail!N$1)</f>
        <v>0</v>
      </c>
      <c r="O196" s="7">
        <f t="shared" ref="O196:O259" si="8">COUNTA($C$1:$N$1)-SUM($C196:$N196)</f>
        <v>12</v>
      </c>
    </row>
    <row r="197" spans="1:15" x14ac:dyDescent="0.25">
      <c r="A197" s="24">
        <v>43295</v>
      </c>
      <c r="B197" s="2" t="str">
        <f t="shared" si="7"/>
        <v>Sat</v>
      </c>
      <c r="C197" s="7">
        <f>SUMIFS('Leave Management'!$L:$L,'Leave Management'!$C:$C,Detail!$A197,'Leave Management'!$B:$B,Detail!C$1)</f>
        <v>0</v>
      </c>
      <c r="D197" s="7">
        <f>SUMIFS('Leave Management'!$L:$L,'Leave Management'!$C:$C,Detail!$A197,'Leave Management'!$B:$B,Detail!D$1)</f>
        <v>0</v>
      </c>
      <c r="E197" s="7">
        <f>SUMIFS('Leave Management'!$L:$L,'Leave Management'!$C:$C,Detail!$A197,'Leave Management'!$B:$B,Detail!E$1)</f>
        <v>0</v>
      </c>
      <c r="F197" s="7">
        <f>SUMIFS('Leave Management'!$L:$L,'Leave Management'!$C:$C,Detail!$A197,'Leave Management'!$B:$B,Detail!F$1)</f>
        <v>0</v>
      </c>
      <c r="G197" s="7">
        <f>SUMIFS('Leave Management'!$L:$L,'Leave Management'!$C:$C,Detail!$A197,'Leave Management'!$B:$B,Detail!G$1)</f>
        <v>0</v>
      </c>
      <c r="H197" s="7">
        <f>SUMIFS('Leave Management'!$L:$L,'Leave Management'!$C:$C,Detail!$A197,'Leave Management'!$B:$B,Detail!H$1)</f>
        <v>0</v>
      </c>
      <c r="I197" s="7">
        <f>SUMIFS('Leave Management'!$L:$L,'Leave Management'!$C:$C,Detail!$A197,'Leave Management'!$B:$B,Detail!I$1)</f>
        <v>0</v>
      </c>
      <c r="J197" s="7">
        <f>SUMIFS('Leave Management'!$L:$L,'Leave Management'!$C:$C,Detail!$A197,'Leave Management'!$B:$B,Detail!J$1)</f>
        <v>0</v>
      </c>
      <c r="K197" s="7">
        <f>SUMIFS('Leave Management'!$L:$L,'Leave Management'!$C:$C,Detail!$A197,'Leave Management'!$B:$B,Detail!K$1)</f>
        <v>0</v>
      </c>
      <c r="L197" s="7">
        <f>SUMIFS('Leave Management'!$L:$L,'Leave Management'!$C:$C,Detail!$A197,'Leave Management'!$B:$B,Detail!L$1)</f>
        <v>0</v>
      </c>
      <c r="M197" s="7">
        <f>SUMIFS('Leave Management'!$L:$L,'Leave Management'!$C:$C,Detail!$A197,'Leave Management'!$B:$B,Detail!M$1)</f>
        <v>0</v>
      </c>
      <c r="N197" s="7">
        <f>SUMIFS('Leave Management'!$L:$L,'Leave Management'!$C:$C,Detail!$A197,'Leave Management'!$B:$B,Detail!N$1)</f>
        <v>0</v>
      </c>
      <c r="O197" s="7">
        <f t="shared" si="8"/>
        <v>12</v>
      </c>
    </row>
    <row r="198" spans="1:15" x14ac:dyDescent="0.25">
      <c r="A198" s="24">
        <v>43296</v>
      </c>
      <c r="B198" s="2" t="str">
        <f t="shared" si="7"/>
        <v>Sun</v>
      </c>
      <c r="C198" s="7">
        <f>SUMIFS('Leave Management'!$L:$L,'Leave Management'!$C:$C,Detail!$A198,'Leave Management'!$B:$B,Detail!C$1)</f>
        <v>0</v>
      </c>
      <c r="D198" s="7">
        <f>SUMIFS('Leave Management'!$L:$L,'Leave Management'!$C:$C,Detail!$A198,'Leave Management'!$B:$B,Detail!D$1)</f>
        <v>0</v>
      </c>
      <c r="E198" s="7">
        <f>SUMIFS('Leave Management'!$L:$L,'Leave Management'!$C:$C,Detail!$A198,'Leave Management'!$B:$B,Detail!E$1)</f>
        <v>0</v>
      </c>
      <c r="F198" s="7">
        <f>SUMIFS('Leave Management'!$L:$L,'Leave Management'!$C:$C,Detail!$A198,'Leave Management'!$B:$B,Detail!F$1)</f>
        <v>0</v>
      </c>
      <c r="G198" s="7">
        <f>SUMIFS('Leave Management'!$L:$L,'Leave Management'!$C:$C,Detail!$A198,'Leave Management'!$B:$B,Detail!G$1)</f>
        <v>0</v>
      </c>
      <c r="H198" s="7">
        <f>SUMIFS('Leave Management'!$L:$L,'Leave Management'!$C:$C,Detail!$A198,'Leave Management'!$B:$B,Detail!H$1)</f>
        <v>0</v>
      </c>
      <c r="I198" s="7">
        <f>SUMIFS('Leave Management'!$L:$L,'Leave Management'!$C:$C,Detail!$A198,'Leave Management'!$B:$B,Detail!I$1)</f>
        <v>0</v>
      </c>
      <c r="J198" s="7">
        <f>SUMIFS('Leave Management'!$L:$L,'Leave Management'!$C:$C,Detail!$A198,'Leave Management'!$B:$B,Detail!J$1)</f>
        <v>0</v>
      </c>
      <c r="K198" s="7">
        <f>SUMIFS('Leave Management'!$L:$L,'Leave Management'!$C:$C,Detail!$A198,'Leave Management'!$B:$B,Detail!K$1)</f>
        <v>0</v>
      </c>
      <c r="L198" s="7">
        <f>SUMIFS('Leave Management'!$L:$L,'Leave Management'!$C:$C,Detail!$A198,'Leave Management'!$B:$B,Detail!L$1)</f>
        <v>0</v>
      </c>
      <c r="M198" s="7">
        <f>SUMIFS('Leave Management'!$L:$L,'Leave Management'!$C:$C,Detail!$A198,'Leave Management'!$B:$B,Detail!M$1)</f>
        <v>0</v>
      </c>
      <c r="N198" s="7">
        <f>SUMIFS('Leave Management'!$L:$L,'Leave Management'!$C:$C,Detail!$A198,'Leave Management'!$B:$B,Detail!N$1)</f>
        <v>0</v>
      </c>
      <c r="O198" s="7">
        <f t="shared" si="8"/>
        <v>12</v>
      </c>
    </row>
    <row r="199" spans="1:15" x14ac:dyDescent="0.25">
      <c r="A199" s="24">
        <v>43297</v>
      </c>
      <c r="B199" s="2" t="str">
        <f t="shared" si="7"/>
        <v>Mon</v>
      </c>
      <c r="C199" s="7">
        <f>SUMIFS('Leave Management'!$L:$L,'Leave Management'!$C:$C,Detail!$A199,'Leave Management'!$B:$B,Detail!C$1)</f>
        <v>0</v>
      </c>
      <c r="D199" s="7">
        <f>SUMIFS('Leave Management'!$L:$L,'Leave Management'!$C:$C,Detail!$A199,'Leave Management'!$B:$B,Detail!D$1)</f>
        <v>0</v>
      </c>
      <c r="E199" s="7">
        <f>SUMIFS('Leave Management'!$L:$L,'Leave Management'!$C:$C,Detail!$A199,'Leave Management'!$B:$B,Detail!E$1)</f>
        <v>0</v>
      </c>
      <c r="F199" s="7">
        <f>SUMIFS('Leave Management'!$L:$L,'Leave Management'!$C:$C,Detail!$A199,'Leave Management'!$B:$B,Detail!F$1)</f>
        <v>0</v>
      </c>
      <c r="G199" s="7">
        <f>SUMIFS('Leave Management'!$L:$L,'Leave Management'!$C:$C,Detail!$A199,'Leave Management'!$B:$B,Detail!G$1)</f>
        <v>0</v>
      </c>
      <c r="H199" s="7">
        <f>SUMIFS('Leave Management'!$L:$L,'Leave Management'!$C:$C,Detail!$A199,'Leave Management'!$B:$B,Detail!H$1)</f>
        <v>0</v>
      </c>
      <c r="I199" s="7">
        <f>SUMIFS('Leave Management'!$L:$L,'Leave Management'!$C:$C,Detail!$A199,'Leave Management'!$B:$B,Detail!I$1)</f>
        <v>0</v>
      </c>
      <c r="J199" s="7">
        <f>SUMIFS('Leave Management'!$L:$L,'Leave Management'!$C:$C,Detail!$A199,'Leave Management'!$B:$B,Detail!J$1)</f>
        <v>0</v>
      </c>
      <c r="K199" s="7">
        <f>SUMIFS('Leave Management'!$L:$L,'Leave Management'!$C:$C,Detail!$A199,'Leave Management'!$B:$B,Detail!K$1)</f>
        <v>0</v>
      </c>
      <c r="L199" s="7">
        <f>SUMIFS('Leave Management'!$L:$L,'Leave Management'!$C:$C,Detail!$A199,'Leave Management'!$B:$B,Detail!L$1)</f>
        <v>0</v>
      </c>
      <c r="M199" s="7">
        <f>SUMIFS('Leave Management'!$L:$L,'Leave Management'!$C:$C,Detail!$A199,'Leave Management'!$B:$B,Detail!M$1)</f>
        <v>0</v>
      </c>
      <c r="N199" s="7">
        <f>SUMIFS('Leave Management'!$L:$L,'Leave Management'!$C:$C,Detail!$A199,'Leave Management'!$B:$B,Detail!N$1)</f>
        <v>0</v>
      </c>
      <c r="O199" s="7">
        <f t="shared" si="8"/>
        <v>12</v>
      </c>
    </row>
    <row r="200" spans="1:15" x14ac:dyDescent="0.25">
      <c r="A200" s="24">
        <v>43298</v>
      </c>
      <c r="B200" s="2" t="str">
        <f t="shared" si="7"/>
        <v>Tue</v>
      </c>
      <c r="C200" s="7">
        <f>SUMIFS('Leave Management'!$L:$L,'Leave Management'!$C:$C,Detail!$A200,'Leave Management'!$B:$B,Detail!C$1)</f>
        <v>0</v>
      </c>
      <c r="D200" s="7">
        <f>SUMIFS('Leave Management'!$L:$L,'Leave Management'!$C:$C,Detail!$A200,'Leave Management'!$B:$B,Detail!D$1)</f>
        <v>0</v>
      </c>
      <c r="E200" s="7">
        <f>SUMIFS('Leave Management'!$L:$L,'Leave Management'!$C:$C,Detail!$A200,'Leave Management'!$B:$B,Detail!E$1)</f>
        <v>0</v>
      </c>
      <c r="F200" s="7">
        <f>SUMIFS('Leave Management'!$L:$L,'Leave Management'!$C:$C,Detail!$A200,'Leave Management'!$B:$B,Detail!F$1)</f>
        <v>0</v>
      </c>
      <c r="G200" s="7">
        <f>SUMIFS('Leave Management'!$L:$L,'Leave Management'!$C:$C,Detail!$A200,'Leave Management'!$B:$B,Detail!G$1)</f>
        <v>1</v>
      </c>
      <c r="H200" s="7">
        <f>SUMIFS('Leave Management'!$L:$L,'Leave Management'!$C:$C,Detail!$A200,'Leave Management'!$B:$B,Detail!H$1)</f>
        <v>0</v>
      </c>
      <c r="I200" s="7">
        <f>SUMIFS('Leave Management'!$L:$L,'Leave Management'!$C:$C,Detail!$A200,'Leave Management'!$B:$B,Detail!I$1)</f>
        <v>0</v>
      </c>
      <c r="J200" s="7">
        <f>SUMIFS('Leave Management'!$L:$L,'Leave Management'!$C:$C,Detail!$A200,'Leave Management'!$B:$B,Detail!J$1)</f>
        <v>0</v>
      </c>
      <c r="K200" s="7">
        <f>SUMIFS('Leave Management'!$L:$L,'Leave Management'!$C:$C,Detail!$A200,'Leave Management'!$B:$B,Detail!K$1)</f>
        <v>0</v>
      </c>
      <c r="L200" s="7">
        <f>SUMIFS('Leave Management'!$L:$L,'Leave Management'!$C:$C,Detail!$A200,'Leave Management'!$B:$B,Detail!L$1)</f>
        <v>0</v>
      </c>
      <c r="M200" s="7">
        <f>SUMIFS('Leave Management'!$L:$L,'Leave Management'!$C:$C,Detail!$A200,'Leave Management'!$B:$B,Detail!M$1)</f>
        <v>0</v>
      </c>
      <c r="N200" s="7">
        <f>SUMIFS('Leave Management'!$L:$L,'Leave Management'!$C:$C,Detail!$A200,'Leave Management'!$B:$B,Detail!N$1)</f>
        <v>0</v>
      </c>
      <c r="O200" s="7">
        <f t="shared" si="8"/>
        <v>11</v>
      </c>
    </row>
    <row r="201" spans="1:15" x14ac:dyDescent="0.25">
      <c r="A201" s="24">
        <v>43299</v>
      </c>
      <c r="B201" s="2" t="str">
        <f t="shared" si="7"/>
        <v>Wed</v>
      </c>
      <c r="C201" s="7">
        <f>SUMIFS('Leave Management'!$L:$L,'Leave Management'!$C:$C,Detail!$A201,'Leave Management'!$B:$B,Detail!C$1)</f>
        <v>0</v>
      </c>
      <c r="D201" s="7">
        <f>SUMIFS('Leave Management'!$L:$L,'Leave Management'!$C:$C,Detail!$A201,'Leave Management'!$B:$B,Detail!D$1)</f>
        <v>0</v>
      </c>
      <c r="E201" s="7">
        <f>SUMIFS('Leave Management'!$L:$L,'Leave Management'!$C:$C,Detail!$A201,'Leave Management'!$B:$B,Detail!E$1)</f>
        <v>0</v>
      </c>
      <c r="F201" s="7">
        <f>SUMIFS('Leave Management'!$L:$L,'Leave Management'!$C:$C,Detail!$A201,'Leave Management'!$B:$B,Detail!F$1)</f>
        <v>0</v>
      </c>
      <c r="G201" s="7">
        <f>SUMIFS('Leave Management'!$L:$L,'Leave Management'!$C:$C,Detail!$A201,'Leave Management'!$B:$B,Detail!G$1)</f>
        <v>0</v>
      </c>
      <c r="H201" s="7">
        <f>SUMIFS('Leave Management'!$L:$L,'Leave Management'!$C:$C,Detail!$A201,'Leave Management'!$B:$B,Detail!H$1)</f>
        <v>0</v>
      </c>
      <c r="I201" s="7">
        <f>SUMIFS('Leave Management'!$L:$L,'Leave Management'!$C:$C,Detail!$A201,'Leave Management'!$B:$B,Detail!I$1)</f>
        <v>0</v>
      </c>
      <c r="J201" s="7">
        <f>SUMIFS('Leave Management'!$L:$L,'Leave Management'!$C:$C,Detail!$A201,'Leave Management'!$B:$B,Detail!J$1)</f>
        <v>0</v>
      </c>
      <c r="K201" s="7">
        <f>SUMIFS('Leave Management'!$L:$L,'Leave Management'!$C:$C,Detail!$A201,'Leave Management'!$B:$B,Detail!K$1)</f>
        <v>0</v>
      </c>
      <c r="L201" s="7">
        <f>SUMIFS('Leave Management'!$L:$L,'Leave Management'!$C:$C,Detail!$A201,'Leave Management'!$B:$B,Detail!L$1)</f>
        <v>0</v>
      </c>
      <c r="M201" s="7">
        <f>SUMIFS('Leave Management'!$L:$L,'Leave Management'!$C:$C,Detail!$A201,'Leave Management'!$B:$B,Detail!M$1)</f>
        <v>0</v>
      </c>
      <c r="N201" s="7">
        <f>SUMIFS('Leave Management'!$L:$L,'Leave Management'!$C:$C,Detail!$A201,'Leave Management'!$B:$B,Detail!N$1)</f>
        <v>0</v>
      </c>
      <c r="O201" s="7">
        <f t="shared" si="8"/>
        <v>12</v>
      </c>
    </row>
    <row r="202" spans="1:15" x14ac:dyDescent="0.25">
      <c r="A202" s="24">
        <v>43300</v>
      </c>
      <c r="B202" s="2" t="str">
        <f t="shared" si="7"/>
        <v>Thu</v>
      </c>
      <c r="C202" s="7">
        <f>SUMIFS('Leave Management'!$L:$L,'Leave Management'!$C:$C,Detail!$A202,'Leave Management'!$B:$B,Detail!C$1)</f>
        <v>0</v>
      </c>
      <c r="D202" s="7">
        <f>SUMIFS('Leave Management'!$L:$L,'Leave Management'!$C:$C,Detail!$A202,'Leave Management'!$B:$B,Detail!D$1)</f>
        <v>1</v>
      </c>
      <c r="E202" s="7">
        <f>SUMIFS('Leave Management'!$L:$L,'Leave Management'!$C:$C,Detail!$A202,'Leave Management'!$B:$B,Detail!E$1)</f>
        <v>0</v>
      </c>
      <c r="F202" s="7">
        <f>SUMIFS('Leave Management'!$L:$L,'Leave Management'!$C:$C,Detail!$A202,'Leave Management'!$B:$B,Detail!F$1)</f>
        <v>0</v>
      </c>
      <c r="G202" s="7">
        <f>SUMIFS('Leave Management'!$L:$L,'Leave Management'!$C:$C,Detail!$A202,'Leave Management'!$B:$B,Detail!G$1)</f>
        <v>0</v>
      </c>
      <c r="H202" s="7">
        <f>SUMIFS('Leave Management'!$L:$L,'Leave Management'!$C:$C,Detail!$A202,'Leave Management'!$B:$B,Detail!H$1)</f>
        <v>0</v>
      </c>
      <c r="I202" s="7">
        <f>SUMIFS('Leave Management'!$L:$L,'Leave Management'!$C:$C,Detail!$A202,'Leave Management'!$B:$B,Detail!I$1)</f>
        <v>0</v>
      </c>
      <c r="J202" s="7">
        <f>SUMIFS('Leave Management'!$L:$L,'Leave Management'!$C:$C,Detail!$A202,'Leave Management'!$B:$B,Detail!J$1)</f>
        <v>0</v>
      </c>
      <c r="K202" s="7">
        <f>SUMIFS('Leave Management'!$L:$L,'Leave Management'!$C:$C,Detail!$A202,'Leave Management'!$B:$B,Detail!K$1)</f>
        <v>0</v>
      </c>
      <c r="L202" s="7">
        <f>SUMIFS('Leave Management'!$L:$L,'Leave Management'!$C:$C,Detail!$A202,'Leave Management'!$B:$B,Detail!L$1)</f>
        <v>0</v>
      </c>
      <c r="M202" s="7">
        <f>SUMIFS('Leave Management'!$L:$L,'Leave Management'!$C:$C,Detail!$A202,'Leave Management'!$B:$B,Detail!M$1)</f>
        <v>0</v>
      </c>
      <c r="N202" s="7">
        <f>SUMIFS('Leave Management'!$L:$L,'Leave Management'!$C:$C,Detail!$A202,'Leave Management'!$B:$B,Detail!N$1)</f>
        <v>0</v>
      </c>
      <c r="O202" s="7">
        <f t="shared" si="8"/>
        <v>11</v>
      </c>
    </row>
    <row r="203" spans="1:15" x14ac:dyDescent="0.25">
      <c r="A203" s="24">
        <v>43301</v>
      </c>
      <c r="B203" s="2" t="str">
        <f t="shared" si="7"/>
        <v>Fri</v>
      </c>
      <c r="C203" s="7">
        <f>SUMIFS('Leave Management'!$L:$L,'Leave Management'!$C:$C,Detail!$A203,'Leave Management'!$B:$B,Detail!C$1)</f>
        <v>0</v>
      </c>
      <c r="D203" s="7">
        <f>SUMIFS('Leave Management'!$L:$L,'Leave Management'!$C:$C,Detail!$A203,'Leave Management'!$B:$B,Detail!D$1)</f>
        <v>0</v>
      </c>
      <c r="E203" s="7">
        <f>SUMIFS('Leave Management'!$L:$L,'Leave Management'!$C:$C,Detail!$A203,'Leave Management'!$B:$B,Detail!E$1)</f>
        <v>1</v>
      </c>
      <c r="F203" s="7">
        <f>SUMIFS('Leave Management'!$L:$L,'Leave Management'!$C:$C,Detail!$A203,'Leave Management'!$B:$B,Detail!F$1)</f>
        <v>0</v>
      </c>
      <c r="G203" s="7">
        <f>SUMIFS('Leave Management'!$L:$L,'Leave Management'!$C:$C,Detail!$A203,'Leave Management'!$B:$B,Detail!G$1)</f>
        <v>0</v>
      </c>
      <c r="H203" s="7">
        <f>SUMIFS('Leave Management'!$L:$L,'Leave Management'!$C:$C,Detail!$A203,'Leave Management'!$B:$B,Detail!H$1)</f>
        <v>0</v>
      </c>
      <c r="I203" s="7">
        <f>SUMIFS('Leave Management'!$L:$L,'Leave Management'!$C:$C,Detail!$A203,'Leave Management'!$B:$B,Detail!I$1)</f>
        <v>0</v>
      </c>
      <c r="J203" s="7">
        <f>SUMIFS('Leave Management'!$L:$L,'Leave Management'!$C:$C,Detail!$A203,'Leave Management'!$B:$B,Detail!J$1)</f>
        <v>0</v>
      </c>
      <c r="K203" s="7">
        <f>SUMIFS('Leave Management'!$L:$L,'Leave Management'!$C:$C,Detail!$A203,'Leave Management'!$B:$B,Detail!K$1)</f>
        <v>0</v>
      </c>
      <c r="L203" s="7">
        <f>SUMIFS('Leave Management'!$L:$L,'Leave Management'!$C:$C,Detail!$A203,'Leave Management'!$B:$B,Detail!L$1)</f>
        <v>0</v>
      </c>
      <c r="M203" s="7">
        <f>SUMIFS('Leave Management'!$L:$L,'Leave Management'!$C:$C,Detail!$A203,'Leave Management'!$B:$B,Detail!M$1)</f>
        <v>0</v>
      </c>
      <c r="N203" s="7">
        <f>SUMIFS('Leave Management'!$L:$L,'Leave Management'!$C:$C,Detail!$A203,'Leave Management'!$B:$B,Detail!N$1)</f>
        <v>0</v>
      </c>
      <c r="O203" s="7">
        <f t="shared" si="8"/>
        <v>11</v>
      </c>
    </row>
    <row r="204" spans="1:15" x14ac:dyDescent="0.25">
      <c r="A204" s="24">
        <v>43302</v>
      </c>
      <c r="B204" s="2" t="str">
        <f t="shared" si="7"/>
        <v>Sat</v>
      </c>
      <c r="C204" s="7">
        <f>SUMIFS('Leave Management'!$L:$L,'Leave Management'!$C:$C,Detail!$A204,'Leave Management'!$B:$B,Detail!C$1)</f>
        <v>0</v>
      </c>
      <c r="D204" s="7">
        <f>SUMIFS('Leave Management'!$L:$L,'Leave Management'!$C:$C,Detail!$A204,'Leave Management'!$B:$B,Detail!D$1)</f>
        <v>0</v>
      </c>
      <c r="E204" s="7">
        <f>SUMIFS('Leave Management'!$L:$L,'Leave Management'!$C:$C,Detail!$A204,'Leave Management'!$B:$B,Detail!E$1)</f>
        <v>0</v>
      </c>
      <c r="F204" s="7">
        <f>SUMIFS('Leave Management'!$L:$L,'Leave Management'!$C:$C,Detail!$A204,'Leave Management'!$B:$B,Detail!F$1)</f>
        <v>0</v>
      </c>
      <c r="G204" s="7">
        <f>SUMIFS('Leave Management'!$L:$L,'Leave Management'!$C:$C,Detail!$A204,'Leave Management'!$B:$B,Detail!G$1)</f>
        <v>0</v>
      </c>
      <c r="H204" s="7">
        <f>SUMIFS('Leave Management'!$L:$L,'Leave Management'!$C:$C,Detail!$A204,'Leave Management'!$B:$B,Detail!H$1)</f>
        <v>0</v>
      </c>
      <c r="I204" s="7">
        <f>SUMIFS('Leave Management'!$L:$L,'Leave Management'!$C:$C,Detail!$A204,'Leave Management'!$B:$B,Detail!I$1)</f>
        <v>0</v>
      </c>
      <c r="J204" s="7">
        <f>SUMIFS('Leave Management'!$L:$L,'Leave Management'!$C:$C,Detail!$A204,'Leave Management'!$B:$B,Detail!J$1)</f>
        <v>0</v>
      </c>
      <c r="K204" s="7">
        <f>SUMIFS('Leave Management'!$L:$L,'Leave Management'!$C:$C,Detail!$A204,'Leave Management'!$B:$B,Detail!K$1)</f>
        <v>0</v>
      </c>
      <c r="L204" s="7">
        <f>SUMIFS('Leave Management'!$L:$L,'Leave Management'!$C:$C,Detail!$A204,'Leave Management'!$B:$B,Detail!L$1)</f>
        <v>0</v>
      </c>
      <c r="M204" s="7">
        <f>SUMIFS('Leave Management'!$L:$L,'Leave Management'!$C:$C,Detail!$A204,'Leave Management'!$B:$B,Detail!M$1)</f>
        <v>0</v>
      </c>
      <c r="N204" s="7">
        <f>SUMIFS('Leave Management'!$L:$L,'Leave Management'!$C:$C,Detail!$A204,'Leave Management'!$B:$B,Detail!N$1)</f>
        <v>0</v>
      </c>
      <c r="O204" s="7">
        <f t="shared" si="8"/>
        <v>12</v>
      </c>
    </row>
    <row r="205" spans="1:15" x14ac:dyDescent="0.25">
      <c r="A205" s="24">
        <v>43303</v>
      </c>
      <c r="B205" s="2" t="str">
        <f t="shared" si="7"/>
        <v>Sun</v>
      </c>
      <c r="C205" s="7">
        <f>SUMIFS('Leave Management'!$L:$L,'Leave Management'!$C:$C,Detail!$A205,'Leave Management'!$B:$B,Detail!C$1)</f>
        <v>0</v>
      </c>
      <c r="D205" s="7">
        <f>SUMIFS('Leave Management'!$L:$L,'Leave Management'!$C:$C,Detail!$A205,'Leave Management'!$B:$B,Detail!D$1)</f>
        <v>0</v>
      </c>
      <c r="E205" s="7">
        <f>SUMIFS('Leave Management'!$L:$L,'Leave Management'!$C:$C,Detail!$A205,'Leave Management'!$B:$B,Detail!E$1)</f>
        <v>0</v>
      </c>
      <c r="F205" s="7">
        <f>SUMIFS('Leave Management'!$L:$L,'Leave Management'!$C:$C,Detail!$A205,'Leave Management'!$B:$B,Detail!F$1)</f>
        <v>0</v>
      </c>
      <c r="G205" s="7">
        <f>SUMIFS('Leave Management'!$L:$L,'Leave Management'!$C:$C,Detail!$A205,'Leave Management'!$B:$B,Detail!G$1)</f>
        <v>0</v>
      </c>
      <c r="H205" s="7">
        <f>SUMIFS('Leave Management'!$L:$L,'Leave Management'!$C:$C,Detail!$A205,'Leave Management'!$B:$B,Detail!H$1)</f>
        <v>0</v>
      </c>
      <c r="I205" s="7">
        <f>SUMIFS('Leave Management'!$L:$L,'Leave Management'!$C:$C,Detail!$A205,'Leave Management'!$B:$B,Detail!I$1)</f>
        <v>0</v>
      </c>
      <c r="J205" s="7">
        <f>SUMIFS('Leave Management'!$L:$L,'Leave Management'!$C:$C,Detail!$A205,'Leave Management'!$B:$B,Detail!J$1)</f>
        <v>0</v>
      </c>
      <c r="K205" s="7">
        <f>SUMIFS('Leave Management'!$L:$L,'Leave Management'!$C:$C,Detail!$A205,'Leave Management'!$B:$B,Detail!K$1)</f>
        <v>0</v>
      </c>
      <c r="L205" s="7">
        <f>SUMIFS('Leave Management'!$L:$L,'Leave Management'!$C:$C,Detail!$A205,'Leave Management'!$B:$B,Detail!L$1)</f>
        <v>0</v>
      </c>
      <c r="M205" s="7">
        <f>SUMIFS('Leave Management'!$L:$L,'Leave Management'!$C:$C,Detail!$A205,'Leave Management'!$B:$B,Detail!M$1)</f>
        <v>0</v>
      </c>
      <c r="N205" s="7">
        <f>SUMIFS('Leave Management'!$L:$L,'Leave Management'!$C:$C,Detail!$A205,'Leave Management'!$B:$B,Detail!N$1)</f>
        <v>0</v>
      </c>
      <c r="O205" s="7">
        <f t="shared" si="8"/>
        <v>12</v>
      </c>
    </row>
    <row r="206" spans="1:15" x14ac:dyDescent="0.25">
      <c r="A206" s="24">
        <v>43304</v>
      </c>
      <c r="B206" s="2" t="str">
        <f t="shared" si="7"/>
        <v>Mon</v>
      </c>
      <c r="C206" s="7">
        <f>SUMIFS('Leave Management'!$L:$L,'Leave Management'!$C:$C,Detail!$A206,'Leave Management'!$B:$B,Detail!C$1)</f>
        <v>0</v>
      </c>
      <c r="D206" s="7">
        <f>SUMIFS('Leave Management'!$L:$L,'Leave Management'!$C:$C,Detail!$A206,'Leave Management'!$B:$B,Detail!D$1)</f>
        <v>1</v>
      </c>
      <c r="E206" s="7">
        <f>SUMIFS('Leave Management'!$L:$L,'Leave Management'!$C:$C,Detail!$A206,'Leave Management'!$B:$B,Detail!E$1)</f>
        <v>0</v>
      </c>
      <c r="F206" s="7">
        <f>SUMIFS('Leave Management'!$L:$L,'Leave Management'!$C:$C,Detail!$A206,'Leave Management'!$B:$B,Detail!F$1)</f>
        <v>0</v>
      </c>
      <c r="G206" s="7">
        <f>SUMIFS('Leave Management'!$L:$L,'Leave Management'!$C:$C,Detail!$A206,'Leave Management'!$B:$B,Detail!G$1)</f>
        <v>0</v>
      </c>
      <c r="H206" s="7">
        <f>SUMIFS('Leave Management'!$L:$L,'Leave Management'!$C:$C,Detail!$A206,'Leave Management'!$B:$B,Detail!H$1)</f>
        <v>1</v>
      </c>
      <c r="I206" s="7">
        <f>SUMIFS('Leave Management'!$L:$L,'Leave Management'!$C:$C,Detail!$A206,'Leave Management'!$B:$B,Detail!I$1)</f>
        <v>0</v>
      </c>
      <c r="J206" s="7">
        <f>SUMIFS('Leave Management'!$L:$L,'Leave Management'!$C:$C,Detail!$A206,'Leave Management'!$B:$B,Detail!J$1)</f>
        <v>0</v>
      </c>
      <c r="K206" s="7">
        <f>SUMIFS('Leave Management'!$L:$L,'Leave Management'!$C:$C,Detail!$A206,'Leave Management'!$B:$B,Detail!K$1)</f>
        <v>0</v>
      </c>
      <c r="L206" s="7">
        <f>SUMIFS('Leave Management'!$L:$L,'Leave Management'!$C:$C,Detail!$A206,'Leave Management'!$B:$B,Detail!L$1)</f>
        <v>0</v>
      </c>
      <c r="M206" s="7">
        <f>SUMIFS('Leave Management'!$L:$L,'Leave Management'!$C:$C,Detail!$A206,'Leave Management'!$B:$B,Detail!M$1)</f>
        <v>0</v>
      </c>
      <c r="N206" s="7">
        <f>SUMIFS('Leave Management'!$L:$L,'Leave Management'!$C:$C,Detail!$A206,'Leave Management'!$B:$B,Detail!N$1)</f>
        <v>0</v>
      </c>
      <c r="O206" s="7">
        <f t="shared" si="8"/>
        <v>10</v>
      </c>
    </row>
    <row r="207" spans="1:15" x14ac:dyDescent="0.25">
      <c r="A207" s="24">
        <v>43305</v>
      </c>
      <c r="B207" s="2" t="str">
        <f t="shared" si="7"/>
        <v>Tue</v>
      </c>
      <c r="C207" s="7">
        <f>SUMIFS('Leave Management'!$L:$L,'Leave Management'!$C:$C,Detail!$A207,'Leave Management'!$B:$B,Detail!C$1)</f>
        <v>0</v>
      </c>
      <c r="D207" s="7">
        <f>SUMIFS('Leave Management'!$L:$L,'Leave Management'!$C:$C,Detail!$A207,'Leave Management'!$B:$B,Detail!D$1)</f>
        <v>0</v>
      </c>
      <c r="E207" s="7">
        <f>SUMIFS('Leave Management'!$L:$L,'Leave Management'!$C:$C,Detail!$A207,'Leave Management'!$B:$B,Detail!E$1)</f>
        <v>0</v>
      </c>
      <c r="F207" s="7">
        <f>SUMIFS('Leave Management'!$L:$L,'Leave Management'!$C:$C,Detail!$A207,'Leave Management'!$B:$B,Detail!F$1)</f>
        <v>1</v>
      </c>
      <c r="G207" s="7">
        <f>SUMIFS('Leave Management'!$L:$L,'Leave Management'!$C:$C,Detail!$A207,'Leave Management'!$B:$B,Detail!G$1)</f>
        <v>0</v>
      </c>
      <c r="H207" s="7">
        <f>SUMIFS('Leave Management'!$L:$L,'Leave Management'!$C:$C,Detail!$A207,'Leave Management'!$B:$B,Detail!H$1)</f>
        <v>0</v>
      </c>
      <c r="I207" s="7">
        <f>SUMIFS('Leave Management'!$L:$L,'Leave Management'!$C:$C,Detail!$A207,'Leave Management'!$B:$B,Detail!I$1)</f>
        <v>0</v>
      </c>
      <c r="J207" s="7">
        <f>SUMIFS('Leave Management'!$L:$L,'Leave Management'!$C:$C,Detail!$A207,'Leave Management'!$B:$B,Detail!J$1)</f>
        <v>0</v>
      </c>
      <c r="K207" s="7">
        <f>SUMIFS('Leave Management'!$L:$L,'Leave Management'!$C:$C,Detail!$A207,'Leave Management'!$B:$B,Detail!K$1)</f>
        <v>0</v>
      </c>
      <c r="L207" s="7">
        <f>SUMIFS('Leave Management'!$L:$L,'Leave Management'!$C:$C,Detail!$A207,'Leave Management'!$B:$B,Detail!L$1)</f>
        <v>0</v>
      </c>
      <c r="M207" s="7">
        <f>SUMIFS('Leave Management'!$L:$L,'Leave Management'!$C:$C,Detail!$A207,'Leave Management'!$B:$B,Detail!M$1)</f>
        <v>0</v>
      </c>
      <c r="N207" s="7">
        <f>SUMIFS('Leave Management'!$L:$L,'Leave Management'!$C:$C,Detail!$A207,'Leave Management'!$B:$B,Detail!N$1)</f>
        <v>0</v>
      </c>
      <c r="O207" s="7">
        <f t="shared" si="8"/>
        <v>11</v>
      </c>
    </row>
    <row r="208" spans="1:15" x14ac:dyDescent="0.25">
      <c r="A208" s="24">
        <v>43306</v>
      </c>
      <c r="B208" s="2" t="str">
        <f t="shared" si="7"/>
        <v>Wed</v>
      </c>
      <c r="C208" s="7">
        <f>SUMIFS('Leave Management'!$L:$L,'Leave Management'!$C:$C,Detail!$A208,'Leave Management'!$B:$B,Detail!C$1)</f>
        <v>0</v>
      </c>
      <c r="D208" s="7">
        <f>SUMIFS('Leave Management'!$L:$L,'Leave Management'!$C:$C,Detail!$A208,'Leave Management'!$B:$B,Detail!D$1)</f>
        <v>0</v>
      </c>
      <c r="E208" s="7">
        <f>SUMIFS('Leave Management'!$L:$L,'Leave Management'!$C:$C,Detail!$A208,'Leave Management'!$B:$B,Detail!E$1)</f>
        <v>0</v>
      </c>
      <c r="F208" s="7">
        <f>SUMIFS('Leave Management'!$L:$L,'Leave Management'!$C:$C,Detail!$A208,'Leave Management'!$B:$B,Detail!F$1)</f>
        <v>0</v>
      </c>
      <c r="G208" s="7">
        <f>SUMIFS('Leave Management'!$L:$L,'Leave Management'!$C:$C,Detail!$A208,'Leave Management'!$B:$B,Detail!G$1)</f>
        <v>0</v>
      </c>
      <c r="H208" s="7">
        <f>SUMIFS('Leave Management'!$L:$L,'Leave Management'!$C:$C,Detail!$A208,'Leave Management'!$B:$B,Detail!H$1)</f>
        <v>0</v>
      </c>
      <c r="I208" s="7">
        <f>SUMIFS('Leave Management'!$L:$L,'Leave Management'!$C:$C,Detail!$A208,'Leave Management'!$B:$B,Detail!I$1)</f>
        <v>0</v>
      </c>
      <c r="J208" s="7">
        <f>SUMIFS('Leave Management'!$L:$L,'Leave Management'!$C:$C,Detail!$A208,'Leave Management'!$B:$B,Detail!J$1)</f>
        <v>0</v>
      </c>
      <c r="K208" s="7">
        <f>SUMIFS('Leave Management'!$L:$L,'Leave Management'!$C:$C,Detail!$A208,'Leave Management'!$B:$B,Detail!K$1)</f>
        <v>0</v>
      </c>
      <c r="L208" s="7">
        <f>SUMIFS('Leave Management'!$L:$L,'Leave Management'!$C:$C,Detail!$A208,'Leave Management'!$B:$B,Detail!L$1)</f>
        <v>0</v>
      </c>
      <c r="M208" s="7">
        <f>SUMIFS('Leave Management'!$L:$L,'Leave Management'!$C:$C,Detail!$A208,'Leave Management'!$B:$B,Detail!M$1)</f>
        <v>0</v>
      </c>
      <c r="N208" s="7">
        <f>SUMIFS('Leave Management'!$L:$L,'Leave Management'!$C:$C,Detail!$A208,'Leave Management'!$B:$B,Detail!N$1)</f>
        <v>0</v>
      </c>
      <c r="O208" s="7">
        <f t="shared" si="8"/>
        <v>12</v>
      </c>
    </row>
    <row r="209" spans="1:15" x14ac:dyDescent="0.25">
      <c r="A209" s="24">
        <v>43307</v>
      </c>
      <c r="B209" s="2" t="str">
        <f t="shared" si="7"/>
        <v>Thu</v>
      </c>
      <c r="C209" s="7">
        <f>SUMIFS('Leave Management'!$L:$L,'Leave Management'!$C:$C,Detail!$A209,'Leave Management'!$B:$B,Detail!C$1)</f>
        <v>0</v>
      </c>
      <c r="D209" s="7">
        <f>SUMIFS('Leave Management'!$L:$L,'Leave Management'!$C:$C,Detail!$A209,'Leave Management'!$B:$B,Detail!D$1)</f>
        <v>0</v>
      </c>
      <c r="E209" s="7">
        <f>SUMIFS('Leave Management'!$L:$L,'Leave Management'!$C:$C,Detail!$A209,'Leave Management'!$B:$B,Detail!E$1)</f>
        <v>0</v>
      </c>
      <c r="F209" s="7">
        <f>SUMIFS('Leave Management'!$L:$L,'Leave Management'!$C:$C,Detail!$A209,'Leave Management'!$B:$B,Detail!F$1)</f>
        <v>0</v>
      </c>
      <c r="G209" s="7">
        <f>SUMIFS('Leave Management'!$L:$L,'Leave Management'!$C:$C,Detail!$A209,'Leave Management'!$B:$B,Detail!G$1)</f>
        <v>0</v>
      </c>
      <c r="H209" s="7">
        <f>SUMIFS('Leave Management'!$L:$L,'Leave Management'!$C:$C,Detail!$A209,'Leave Management'!$B:$B,Detail!H$1)</f>
        <v>0</v>
      </c>
      <c r="I209" s="7">
        <f>SUMIFS('Leave Management'!$L:$L,'Leave Management'!$C:$C,Detail!$A209,'Leave Management'!$B:$B,Detail!I$1)</f>
        <v>0</v>
      </c>
      <c r="J209" s="7">
        <f>SUMIFS('Leave Management'!$L:$L,'Leave Management'!$C:$C,Detail!$A209,'Leave Management'!$B:$B,Detail!J$1)</f>
        <v>0</v>
      </c>
      <c r="K209" s="7">
        <f>SUMIFS('Leave Management'!$L:$L,'Leave Management'!$C:$C,Detail!$A209,'Leave Management'!$B:$B,Detail!K$1)</f>
        <v>0</v>
      </c>
      <c r="L209" s="7">
        <f>SUMIFS('Leave Management'!$L:$L,'Leave Management'!$C:$C,Detail!$A209,'Leave Management'!$B:$B,Detail!L$1)</f>
        <v>0</v>
      </c>
      <c r="M209" s="7">
        <f>SUMIFS('Leave Management'!$L:$L,'Leave Management'!$C:$C,Detail!$A209,'Leave Management'!$B:$B,Detail!M$1)</f>
        <v>0</v>
      </c>
      <c r="N209" s="7">
        <f>SUMIFS('Leave Management'!$L:$L,'Leave Management'!$C:$C,Detail!$A209,'Leave Management'!$B:$B,Detail!N$1)</f>
        <v>0</v>
      </c>
      <c r="O209" s="7">
        <f t="shared" si="8"/>
        <v>12</v>
      </c>
    </row>
    <row r="210" spans="1:15" x14ac:dyDescent="0.25">
      <c r="A210" s="24">
        <v>43308</v>
      </c>
      <c r="B210" s="2" t="str">
        <f t="shared" si="7"/>
        <v>Fri</v>
      </c>
      <c r="C210" s="7">
        <f>SUMIFS('Leave Management'!$L:$L,'Leave Management'!$C:$C,Detail!$A210,'Leave Management'!$B:$B,Detail!C$1)</f>
        <v>0</v>
      </c>
      <c r="D210" s="7">
        <f>SUMIFS('Leave Management'!$L:$L,'Leave Management'!$C:$C,Detail!$A210,'Leave Management'!$B:$B,Detail!D$1)</f>
        <v>0</v>
      </c>
      <c r="E210" s="7">
        <f>SUMIFS('Leave Management'!$L:$L,'Leave Management'!$C:$C,Detail!$A210,'Leave Management'!$B:$B,Detail!E$1)</f>
        <v>0</v>
      </c>
      <c r="F210" s="7">
        <f>SUMIFS('Leave Management'!$L:$L,'Leave Management'!$C:$C,Detail!$A210,'Leave Management'!$B:$B,Detail!F$1)</f>
        <v>0</v>
      </c>
      <c r="G210" s="7">
        <f>SUMIFS('Leave Management'!$L:$L,'Leave Management'!$C:$C,Detail!$A210,'Leave Management'!$B:$B,Detail!G$1)</f>
        <v>0</v>
      </c>
      <c r="H210" s="7">
        <f>SUMIFS('Leave Management'!$L:$L,'Leave Management'!$C:$C,Detail!$A210,'Leave Management'!$B:$B,Detail!H$1)</f>
        <v>0</v>
      </c>
      <c r="I210" s="7">
        <f>SUMIFS('Leave Management'!$L:$L,'Leave Management'!$C:$C,Detail!$A210,'Leave Management'!$B:$B,Detail!I$1)</f>
        <v>0</v>
      </c>
      <c r="J210" s="7">
        <f>SUMIFS('Leave Management'!$L:$L,'Leave Management'!$C:$C,Detail!$A210,'Leave Management'!$B:$B,Detail!J$1)</f>
        <v>0</v>
      </c>
      <c r="K210" s="7">
        <f>SUMIFS('Leave Management'!$L:$L,'Leave Management'!$C:$C,Detail!$A210,'Leave Management'!$B:$B,Detail!K$1)</f>
        <v>0</v>
      </c>
      <c r="L210" s="7">
        <f>SUMIFS('Leave Management'!$L:$L,'Leave Management'!$C:$C,Detail!$A210,'Leave Management'!$B:$B,Detail!L$1)</f>
        <v>0</v>
      </c>
      <c r="M210" s="7">
        <f>SUMIFS('Leave Management'!$L:$L,'Leave Management'!$C:$C,Detail!$A210,'Leave Management'!$B:$B,Detail!M$1)</f>
        <v>0</v>
      </c>
      <c r="N210" s="7">
        <f>SUMIFS('Leave Management'!$L:$L,'Leave Management'!$C:$C,Detail!$A210,'Leave Management'!$B:$B,Detail!N$1)</f>
        <v>0</v>
      </c>
      <c r="O210" s="7">
        <f t="shared" si="8"/>
        <v>12</v>
      </c>
    </row>
    <row r="211" spans="1:15" x14ac:dyDescent="0.25">
      <c r="A211" s="24">
        <v>43309</v>
      </c>
      <c r="B211" s="2" t="str">
        <f t="shared" si="7"/>
        <v>Sat</v>
      </c>
      <c r="C211" s="7">
        <f>SUMIFS('Leave Management'!$L:$L,'Leave Management'!$C:$C,Detail!$A211,'Leave Management'!$B:$B,Detail!C$1)</f>
        <v>0</v>
      </c>
      <c r="D211" s="7">
        <f>SUMIFS('Leave Management'!$L:$L,'Leave Management'!$C:$C,Detail!$A211,'Leave Management'!$B:$B,Detail!D$1)</f>
        <v>0</v>
      </c>
      <c r="E211" s="7">
        <f>SUMIFS('Leave Management'!$L:$L,'Leave Management'!$C:$C,Detail!$A211,'Leave Management'!$B:$B,Detail!E$1)</f>
        <v>0</v>
      </c>
      <c r="F211" s="7">
        <f>SUMIFS('Leave Management'!$L:$L,'Leave Management'!$C:$C,Detail!$A211,'Leave Management'!$B:$B,Detail!F$1)</f>
        <v>0</v>
      </c>
      <c r="G211" s="7">
        <f>SUMIFS('Leave Management'!$L:$L,'Leave Management'!$C:$C,Detail!$A211,'Leave Management'!$B:$B,Detail!G$1)</f>
        <v>0</v>
      </c>
      <c r="H211" s="7">
        <f>SUMIFS('Leave Management'!$L:$L,'Leave Management'!$C:$C,Detail!$A211,'Leave Management'!$B:$B,Detail!H$1)</f>
        <v>0</v>
      </c>
      <c r="I211" s="7">
        <f>SUMIFS('Leave Management'!$L:$L,'Leave Management'!$C:$C,Detail!$A211,'Leave Management'!$B:$B,Detail!I$1)</f>
        <v>0</v>
      </c>
      <c r="J211" s="7">
        <f>SUMIFS('Leave Management'!$L:$L,'Leave Management'!$C:$C,Detail!$A211,'Leave Management'!$B:$B,Detail!J$1)</f>
        <v>0</v>
      </c>
      <c r="K211" s="7">
        <f>SUMIFS('Leave Management'!$L:$L,'Leave Management'!$C:$C,Detail!$A211,'Leave Management'!$B:$B,Detail!K$1)</f>
        <v>0</v>
      </c>
      <c r="L211" s="7">
        <f>SUMIFS('Leave Management'!$L:$L,'Leave Management'!$C:$C,Detail!$A211,'Leave Management'!$B:$B,Detail!L$1)</f>
        <v>0</v>
      </c>
      <c r="M211" s="7">
        <f>SUMIFS('Leave Management'!$L:$L,'Leave Management'!$C:$C,Detail!$A211,'Leave Management'!$B:$B,Detail!M$1)</f>
        <v>0</v>
      </c>
      <c r="N211" s="7">
        <f>SUMIFS('Leave Management'!$L:$L,'Leave Management'!$C:$C,Detail!$A211,'Leave Management'!$B:$B,Detail!N$1)</f>
        <v>0</v>
      </c>
      <c r="O211" s="7">
        <f t="shared" si="8"/>
        <v>12</v>
      </c>
    </row>
    <row r="212" spans="1:15" x14ac:dyDescent="0.25">
      <c r="A212" s="24">
        <v>43310</v>
      </c>
      <c r="B212" s="2" t="str">
        <f t="shared" si="7"/>
        <v>Sun</v>
      </c>
      <c r="C212" s="7">
        <f>SUMIFS('Leave Management'!$L:$L,'Leave Management'!$C:$C,Detail!$A212,'Leave Management'!$B:$B,Detail!C$1)</f>
        <v>0</v>
      </c>
      <c r="D212" s="7">
        <f>SUMIFS('Leave Management'!$L:$L,'Leave Management'!$C:$C,Detail!$A212,'Leave Management'!$B:$B,Detail!D$1)</f>
        <v>0</v>
      </c>
      <c r="E212" s="7">
        <f>SUMIFS('Leave Management'!$L:$L,'Leave Management'!$C:$C,Detail!$A212,'Leave Management'!$B:$B,Detail!E$1)</f>
        <v>0</v>
      </c>
      <c r="F212" s="7">
        <f>SUMIFS('Leave Management'!$L:$L,'Leave Management'!$C:$C,Detail!$A212,'Leave Management'!$B:$B,Detail!F$1)</f>
        <v>0</v>
      </c>
      <c r="G212" s="7">
        <f>SUMIFS('Leave Management'!$L:$L,'Leave Management'!$C:$C,Detail!$A212,'Leave Management'!$B:$B,Detail!G$1)</f>
        <v>0</v>
      </c>
      <c r="H212" s="7">
        <f>SUMIFS('Leave Management'!$L:$L,'Leave Management'!$C:$C,Detail!$A212,'Leave Management'!$B:$B,Detail!H$1)</f>
        <v>0</v>
      </c>
      <c r="I212" s="7">
        <f>SUMIFS('Leave Management'!$L:$L,'Leave Management'!$C:$C,Detail!$A212,'Leave Management'!$B:$B,Detail!I$1)</f>
        <v>0</v>
      </c>
      <c r="J212" s="7">
        <f>SUMIFS('Leave Management'!$L:$L,'Leave Management'!$C:$C,Detail!$A212,'Leave Management'!$B:$B,Detail!J$1)</f>
        <v>0</v>
      </c>
      <c r="K212" s="7">
        <f>SUMIFS('Leave Management'!$L:$L,'Leave Management'!$C:$C,Detail!$A212,'Leave Management'!$B:$B,Detail!K$1)</f>
        <v>0</v>
      </c>
      <c r="L212" s="7">
        <f>SUMIFS('Leave Management'!$L:$L,'Leave Management'!$C:$C,Detail!$A212,'Leave Management'!$B:$B,Detail!L$1)</f>
        <v>0</v>
      </c>
      <c r="M212" s="7">
        <f>SUMIFS('Leave Management'!$L:$L,'Leave Management'!$C:$C,Detail!$A212,'Leave Management'!$B:$B,Detail!M$1)</f>
        <v>0</v>
      </c>
      <c r="N212" s="7">
        <f>SUMIFS('Leave Management'!$L:$L,'Leave Management'!$C:$C,Detail!$A212,'Leave Management'!$B:$B,Detail!N$1)</f>
        <v>0</v>
      </c>
      <c r="O212" s="7">
        <f t="shared" si="8"/>
        <v>12</v>
      </c>
    </row>
    <row r="213" spans="1:15" x14ac:dyDescent="0.25">
      <c r="A213" s="24">
        <v>43311</v>
      </c>
      <c r="B213" s="2" t="str">
        <f t="shared" si="7"/>
        <v>Mon</v>
      </c>
      <c r="C213" s="7">
        <f>SUMIFS('Leave Management'!$L:$L,'Leave Management'!$C:$C,Detail!$A213,'Leave Management'!$B:$B,Detail!C$1)</f>
        <v>0</v>
      </c>
      <c r="D213" s="7">
        <f>SUMIFS('Leave Management'!$L:$L,'Leave Management'!$C:$C,Detail!$A213,'Leave Management'!$B:$B,Detail!D$1)</f>
        <v>0</v>
      </c>
      <c r="E213" s="7">
        <f>SUMIFS('Leave Management'!$L:$L,'Leave Management'!$C:$C,Detail!$A213,'Leave Management'!$B:$B,Detail!E$1)</f>
        <v>0</v>
      </c>
      <c r="F213" s="7">
        <f>SUMIFS('Leave Management'!$L:$L,'Leave Management'!$C:$C,Detail!$A213,'Leave Management'!$B:$B,Detail!F$1)</f>
        <v>0</v>
      </c>
      <c r="G213" s="7">
        <f>SUMIFS('Leave Management'!$L:$L,'Leave Management'!$C:$C,Detail!$A213,'Leave Management'!$B:$B,Detail!G$1)</f>
        <v>0</v>
      </c>
      <c r="H213" s="7">
        <f>SUMIFS('Leave Management'!$L:$L,'Leave Management'!$C:$C,Detail!$A213,'Leave Management'!$B:$B,Detail!H$1)</f>
        <v>0</v>
      </c>
      <c r="I213" s="7">
        <f>SUMIFS('Leave Management'!$L:$L,'Leave Management'!$C:$C,Detail!$A213,'Leave Management'!$B:$B,Detail!I$1)</f>
        <v>0</v>
      </c>
      <c r="J213" s="7">
        <f>SUMIFS('Leave Management'!$L:$L,'Leave Management'!$C:$C,Detail!$A213,'Leave Management'!$B:$B,Detail!J$1)</f>
        <v>0</v>
      </c>
      <c r="K213" s="7">
        <f>SUMIFS('Leave Management'!$L:$L,'Leave Management'!$C:$C,Detail!$A213,'Leave Management'!$B:$B,Detail!K$1)</f>
        <v>0</v>
      </c>
      <c r="L213" s="7">
        <f>SUMIFS('Leave Management'!$L:$L,'Leave Management'!$C:$C,Detail!$A213,'Leave Management'!$B:$B,Detail!L$1)</f>
        <v>0</v>
      </c>
      <c r="M213" s="7">
        <f>SUMIFS('Leave Management'!$L:$L,'Leave Management'!$C:$C,Detail!$A213,'Leave Management'!$B:$B,Detail!M$1)</f>
        <v>0</v>
      </c>
      <c r="N213" s="7">
        <f>SUMIFS('Leave Management'!$L:$L,'Leave Management'!$C:$C,Detail!$A213,'Leave Management'!$B:$B,Detail!N$1)</f>
        <v>0</v>
      </c>
      <c r="O213" s="7">
        <f t="shared" si="8"/>
        <v>12</v>
      </c>
    </row>
    <row r="214" spans="1:15" x14ac:dyDescent="0.25">
      <c r="A214" s="24">
        <v>43312</v>
      </c>
      <c r="B214" s="2" t="str">
        <f t="shared" si="7"/>
        <v>Tue</v>
      </c>
      <c r="C214" s="7">
        <f>SUMIFS('Leave Management'!$L:$L,'Leave Management'!$C:$C,Detail!$A214,'Leave Management'!$B:$B,Detail!C$1)</f>
        <v>0</v>
      </c>
      <c r="D214" s="7">
        <f>SUMIFS('Leave Management'!$L:$L,'Leave Management'!$C:$C,Detail!$A214,'Leave Management'!$B:$B,Detail!D$1)</f>
        <v>0</v>
      </c>
      <c r="E214" s="7">
        <f>SUMIFS('Leave Management'!$L:$L,'Leave Management'!$C:$C,Detail!$A214,'Leave Management'!$B:$B,Detail!E$1)</f>
        <v>0</v>
      </c>
      <c r="F214" s="7">
        <f>SUMIFS('Leave Management'!$L:$L,'Leave Management'!$C:$C,Detail!$A214,'Leave Management'!$B:$B,Detail!F$1)</f>
        <v>0</v>
      </c>
      <c r="G214" s="7">
        <f>SUMIFS('Leave Management'!$L:$L,'Leave Management'!$C:$C,Detail!$A214,'Leave Management'!$B:$B,Detail!G$1)</f>
        <v>0</v>
      </c>
      <c r="H214" s="7">
        <f>SUMIFS('Leave Management'!$L:$L,'Leave Management'!$C:$C,Detail!$A214,'Leave Management'!$B:$B,Detail!H$1)</f>
        <v>0</v>
      </c>
      <c r="I214" s="7">
        <f>SUMIFS('Leave Management'!$L:$L,'Leave Management'!$C:$C,Detail!$A214,'Leave Management'!$B:$B,Detail!I$1)</f>
        <v>0</v>
      </c>
      <c r="J214" s="7">
        <f>SUMIFS('Leave Management'!$L:$L,'Leave Management'!$C:$C,Detail!$A214,'Leave Management'!$B:$B,Detail!J$1)</f>
        <v>0</v>
      </c>
      <c r="K214" s="7">
        <f>SUMIFS('Leave Management'!$L:$L,'Leave Management'!$C:$C,Detail!$A214,'Leave Management'!$B:$B,Detail!K$1)</f>
        <v>0</v>
      </c>
      <c r="L214" s="7">
        <f>SUMIFS('Leave Management'!$L:$L,'Leave Management'!$C:$C,Detail!$A214,'Leave Management'!$B:$B,Detail!L$1)</f>
        <v>0</v>
      </c>
      <c r="M214" s="7">
        <f>SUMIFS('Leave Management'!$L:$L,'Leave Management'!$C:$C,Detail!$A214,'Leave Management'!$B:$B,Detail!M$1)</f>
        <v>0</v>
      </c>
      <c r="N214" s="7">
        <f>SUMIFS('Leave Management'!$L:$L,'Leave Management'!$C:$C,Detail!$A214,'Leave Management'!$B:$B,Detail!N$1)</f>
        <v>0</v>
      </c>
      <c r="O214" s="7">
        <f t="shared" si="8"/>
        <v>12</v>
      </c>
    </row>
    <row r="215" spans="1:15" x14ac:dyDescent="0.25">
      <c r="A215" s="24">
        <v>43313</v>
      </c>
      <c r="B215" s="2" t="str">
        <f t="shared" si="7"/>
        <v>Wed</v>
      </c>
      <c r="C215" s="7">
        <f>SUMIFS('Leave Management'!$L:$L,'Leave Management'!$C:$C,Detail!$A215,'Leave Management'!$B:$B,Detail!C$1)</f>
        <v>0</v>
      </c>
      <c r="D215" s="7">
        <f>SUMIFS('Leave Management'!$L:$L,'Leave Management'!$C:$C,Detail!$A215,'Leave Management'!$B:$B,Detail!D$1)</f>
        <v>0</v>
      </c>
      <c r="E215" s="7">
        <f>SUMIFS('Leave Management'!$L:$L,'Leave Management'!$C:$C,Detail!$A215,'Leave Management'!$B:$B,Detail!E$1)</f>
        <v>0</v>
      </c>
      <c r="F215" s="7">
        <f>SUMIFS('Leave Management'!$L:$L,'Leave Management'!$C:$C,Detail!$A215,'Leave Management'!$B:$B,Detail!F$1)</f>
        <v>0</v>
      </c>
      <c r="G215" s="7">
        <f>SUMIFS('Leave Management'!$L:$L,'Leave Management'!$C:$C,Detail!$A215,'Leave Management'!$B:$B,Detail!G$1)</f>
        <v>0</v>
      </c>
      <c r="H215" s="7">
        <f>SUMIFS('Leave Management'!$L:$L,'Leave Management'!$C:$C,Detail!$A215,'Leave Management'!$B:$B,Detail!H$1)</f>
        <v>0</v>
      </c>
      <c r="I215" s="7">
        <f>SUMIFS('Leave Management'!$L:$L,'Leave Management'!$C:$C,Detail!$A215,'Leave Management'!$B:$B,Detail!I$1)</f>
        <v>0</v>
      </c>
      <c r="J215" s="7">
        <f>SUMIFS('Leave Management'!$L:$L,'Leave Management'!$C:$C,Detail!$A215,'Leave Management'!$B:$B,Detail!J$1)</f>
        <v>0</v>
      </c>
      <c r="K215" s="7">
        <f>SUMIFS('Leave Management'!$L:$L,'Leave Management'!$C:$C,Detail!$A215,'Leave Management'!$B:$B,Detail!K$1)</f>
        <v>0</v>
      </c>
      <c r="L215" s="7">
        <f>SUMIFS('Leave Management'!$L:$L,'Leave Management'!$C:$C,Detail!$A215,'Leave Management'!$B:$B,Detail!L$1)</f>
        <v>0</v>
      </c>
      <c r="M215" s="7">
        <f>SUMIFS('Leave Management'!$L:$L,'Leave Management'!$C:$C,Detail!$A215,'Leave Management'!$B:$B,Detail!M$1)</f>
        <v>0</v>
      </c>
      <c r="N215" s="7">
        <f>SUMIFS('Leave Management'!$L:$L,'Leave Management'!$C:$C,Detail!$A215,'Leave Management'!$B:$B,Detail!N$1)</f>
        <v>0</v>
      </c>
      <c r="O215" s="7">
        <f t="shared" si="8"/>
        <v>12</v>
      </c>
    </row>
    <row r="216" spans="1:15" x14ac:dyDescent="0.25">
      <c r="A216" s="24">
        <v>43314</v>
      </c>
      <c r="B216" s="2" t="str">
        <f t="shared" si="7"/>
        <v>Thu</v>
      </c>
      <c r="C216" s="7">
        <f>SUMIFS('Leave Management'!$L:$L,'Leave Management'!$C:$C,Detail!$A216,'Leave Management'!$B:$B,Detail!C$1)</f>
        <v>0</v>
      </c>
      <c r="D216" s="7">
        <f>SUMIFS('Leave Management'!$L:$L,'Leave Management'!$C:$C,Detail!$A216,'Leave Management'!$B:$B,Detail!D$1)</f>
        <v>0</v>
      </c>
      <c r="E216" s="7">
        <f>SUMIFS('Leave Management'!$L:$L,'Leave Management'!$C:$C,Detail!$A216,'Leave Management'!$B:$B,Detail!E$1)</f>
        <v>0</v>
      </c>
      <c r="F216" s="7">
        <f>SUMIFS('Leave Management'!$L:$L,'Leave Management'!$C:$C,Detail!$A216,'Leave Management'!$B:$B,Detail!F$1)</f>
        <v>0</v>
      </c>
      <c r="G216" s="7">
        <f>SUMIFS('Leave Management'!$L:$L,'Leave Management'!$C:$C,Detail!$A216,'Leave Management'!$B:$B,Detail!G$1)</f>
        <v>0</v>
      </c>
      <c r="H216" s="7">
        <f>SUMIFS('Leave Management'!$L:$L,'Leave Management'!$C:$C,Detail!$A216,'Leave Management'!$B:$B,Detail!H$1)</f>
        <v>0</v>
      </c>
      <c r="I216" s="7">
        <f>SUMIFS('Leave Management'!$L:$L,'Leave Management'!$C:$C,Detail!$A216,'Leave Management'!$B:$B,Detail!I$1)</f>
        <v>0</v>
      </c>
      <c r="J216" s="7">
        <f>SUMIFS('Leave Management'!$L:$L,'Leave Management'!$C:$C,Detail!$A216,'Leave Management'!$B:$B,Detail!J$1)</f>
        <v>0</v>
      </c>
      <c r="K216" s="7">
        <f>SUMIFS('Leave Management'!$L:$L,'Leave Management'!$C:$C,Detail!$A216,'Leave Management'!$B:$B,Detail!K$1)</f>
        <v>0</v>
      </c>
      <c r="L216" s="7">
        <f>SUMIFS('Leave Management'!$L:$L,'Leave Management'!$C:$C,Detail!$A216,'Leave Management'!$B:$B,Detail!L$1)</f>
        <v>0</v>
      </c>
      <c r="M216" s="7">
        <f>SUMIFS('Leave Management'!$L:$L,'Leave Management'!$C:$C,Detail!$A216,'Leave Management'!$B:$B,Detail!M$1)</f>
        <v>0</v>
      </c>
      <c r="N216" s="7">
        <f>SUMIFS('Leave Management'!$L:$L,'Leave Management'!$C:$C,Detail!$A216,'Leave Management'!$B:$B,Detail!N$1)</f>
        <v>0</v>
      </c>
      <c r="O216" s="7">
        <f t="shared" si="8"/>
        <v>12</v>
      </c>
    </row>
    <row r="217" spans="1:15" x14ac:dyDescent="0.25">
      <c r="A217" s="24">
        <v>43315</v>
      </c>
      <c r="B217" s="2" t="str">
        <f t="shared" si="7"/>
        <v>Fri</v>
      </c>
      <c r="C217" s="7">
        <f>SUMIFS('Leave Management'!$L:$L,'Leave Management'!$C:$C,Detail!$A217,'Leave Management'!$B:$B,Detail!C$1)</f>
        <v>0</v>
      </c>
      <c r="D217" s="7">
        <f>SUMIFS('Leave Management'!$L:$L,'Leave Management'!$C:$C,Detail!$A217,'Leave Management'!$B:$B,Detail!D$1)</f>
        <v>0</v>
      </c>
      <c r="E217" s="7">
        <f>SUMIFS('Leave Management'!$L:$L,'Leave Management'!$C:$C,Detail!$A217,'Leave Management'!$B:$B,Detail!E$1)</f>
        <v>0</v>
      </c>
      <c r="F217" s="7">
        <f>SUMIFS('Leave Management'!$L:$L,'Leave Management'!$C:$C,Detail!$A217,'Leave Management'!$B:$B,Detail!F$1)</f>
        <v>0</v>
      </c>
      <c r="G217" s="7">
        <f>SUMIFS('Leave Management'!$L:$L,'Leave Management'!$C:$C,Detail!$A217,'Leave Management'!$B:$B,Detail!G$1)</f>
        <v>0</v>
      </c>
      <c r="H217" s="7">
        <f>SUMIFS('Leave Management'!$L:$L,'Leave Management'!$C:$C,Detail!$A217,'Leave Management'!$B:$B,Detail!H$1)</f>
        <v>0</v>
      </c>
      <c r="I217" s="7">
        <f>SUMIFS('Leave Management'!$L:$L,'Leave Management'!$C:$C,Detail!$A217,'Leave Management'!$B:$B,Detail!I$1)</f>
        <v>0</v>
      </c>
      <c r="J217" s="7">
        <f>SUMIFS('Leave Management'!$L:$L,'Leave Management'!$C:$C,Detail!$A217,'Leave Management'!$B:$B,Detail!J$1)</f>
        <v>0</v>
      </c>
      <c r="K217" s="7">
        <f>SUMIFS('Leave Management'!$L:$L,'Leave Management'!$C:$C,Detail!$A217,'Leave Management'!$B:$B,Detail!K$1)</f>
        <v>0</v>
      </c>
      <c r="L217" s="7">
        <f>SUMIFS('Leave Management'!$L:$L,'Leave Management'!$C:$C,Detail!$A217,'Leave Management'!$B:$B,Detail!L$1)</f>
        <v>0</v>
      </c>
      <c r="M217" s="7">
        <f>SUMIFS('Leave Management'!$L:$L,'Leave Management'!$C:$C,Detail!$A217,'Leave Management'!$B:$B,Detail!M$1)</f>
        <v>0</v>
      </c>
      <c r="N217" s="7">
        <f>SUMIFS('Leave Management'!$L:$L,'Leave Management'!$C:$C,Detail!$A217,'Leave Management'!$B:$B,Detail!N$1)</f>
        <v>0</v>
      </c>
      <c r="O217" s="7">
        <f t="shared" si="8"/>
        <v>12</v>
      </c>
    </row>
    <row r="218" spans="1:15" x14ac:dyDescent="0.25">
      <c r="A218" s="24">
        <v>43316</v>
      </c>
      <c r="B218" s="2" t="str">
        <f t="shared" si="7"/>
        <v>Sat</v>
      </c>
      <c r="C218" s="7">
        <f>SUMIFS('Leave Management'!$L:$L,'Leave Management'!$C:$C,Detail!$A218,'Leave Management'!$B:$B,Detail!C$1)</f>
        <v>0</v>
      </c>
      <c r="D218" s="7">
        <f>SUMIFS('Leave Management'!$L:$L,'Leave Management'!$C:$C,Detail!$A218,'Leave Management'!$B:$B,Detail!D$1)</f>
        <v>0</v>
      </c>
      <c r="E218" s="7">
        <f>SUMIFS('Leave Management'!$L:$L,'Leave Management'!$C:$C,Detail!$A218,'Leave Management'!$B:$B,Detail!E$1)</f>
        <v>0</v>
      </c>
      <c r="F218" s="7">
        <f>SUMIFS('Leave Management'!$L:$L,'Leave Management'!$C:$C,Detail!$A218,'Leave Management'!$B:$B,Detail!F$1)</f>
        <v>0</v>
      </c>
      <c r="G218" s="7">
        <f>SUMIFS('Leave Management'!$L:$L,'Leave Management'!$C:$C,Detail!$A218,'Leave Management'!$B:$B,Detail!G$1)</f>
        <v>0</v>
      </c>
      <c r="H218" s="7">
        <f>SUMIFS('Leave Management'!$L:$L,'Leave Management'!$C:$C,Detail!$A218,'Leave Management'!$B:$B,Detail!H$1)</f>
        <v>0</v>
      </c>
      <c r="I218" s="7">
        <f>SUMIFS('Leave Management'!$L:$L,'Leave Management'!$C:$C,Detail!$A218,'Leave Management'!$B:$B,Detail!I$1)</f>
        <v>0</v>
      </c>
      <c r="J218" s="7">
        <f>SUMIFS('Leave Management'!$L:$L,'Leave Management'!$C:$C,Detail!$A218,'Leave Management'!$B:$B,Detail!J$1)</f>
        <v>0</v>
      </c>
      <c r="K218" s="7">
        <f>SUMIFS('Leave Management'!$L:$L,'Leave Management'!$C:$C,Detail!$A218,'Leave Management'!$B:$B,Detail!K$1)</f>
        <v>0</v>
      </c>
      <c r="L218" s="7">
        <f>SUMIFS('Leave Management'!$L:$L,'Leave Management'!$C:$C,Detail!$A218,'Leave Management'!$B:$B,Detail!L$1)</f>
        <v>0</v>
      </c>
      <c r="M218" s="7">
        <f>SUMIFS('Leave Management'!$L:$L,'Leave Management'!$C:$C,Detail!$A218,'Leave Management'!$B:$B,Detail!M$1)</f>
        <v>0</v>
      </c>
      <c r="N218" s="7">
        <f>SUMIFS('Leave Management'!$L:$L,'Leave Management'!$C:$C,Detail!$A218,'Leave Management'!$B:$B,Detail!N$1)</f>
        <v>0</v>
      </c>
      <c r="O218" s="7">
        <f t="shared" si="8"/>
        <v>12</v>
      </c>
    </row>
    <row r="219" spans="1:15" x14ac:dyDescent="0.25">
      <c r="A219" s="24">
        <v>43317</v>
      </c>
      <c r="B219" s="2" t="str">
        <f t="shared" si="7"/>
        <v>Sun</v>
      </c>
      <c r="C219" s="7">
        <f>SUMIFS('Leave Management'!$L:$L,'Leave Management'!$C:$C,Detail!$A219,'Leave Management'!$B:$B,Detail!C$1)</f>
        <v>0</v>
      </c>
      <c r="D219" s="7">
        <f>SUMIFS('Leave Management'!$L:$L,'Leave Management'!$C:$C,Detail!$A219,'Leave Management'!$B:$B,Detail!D$1)</f>
        <v>0</v>
      </c>
      <c r="E219" s="7">
        <f>SUMIFS('Leave Management'!$L:$L,'Leave Management'!$C:$C,Detail!$A219,'Leave Management'!$B:$B,Detail!E$1)</f>
        <v>0</v>
      </c>
      <c r="F219" s="7">
        <f>SUMIFS('Leave Management'!$L:$L,'Leave Management'!$C:$C,Detail!$A219,'Leave Management'!$B:$B,Detail!F$1)</f>
        <v>0</v>
      </c>
      <c r="G219" s="7">
        <f>SUMIFS('Leave Management'!$L:$L,'Leave Management'!$C:$C,Detail!$A219,'Leave Management'!$B:$B,Detail!G$1)</f>
        <v>0</v>
      </c>
      <c r="H219" s="7">
        <f>SUMIFS('Leave Management'!$L:$L,'Leave Management'!$C:$C,Detail!$A219,'Leave Management'!$B:$B,Detail!H$1)</f>
        <v>0</v>
      </c>
      <c r="I219" s="7">
        <f>SUMIFS('Leave Management'!$L:$L,'Leave Management'!$C:$C,Detail!$A219,'Leave Management'!$B:$B,Detail!I$1)</f>
        <v>0</v>
      </c>
      <c r="J219" s="7">
        <f>SUMIFS('Leave Management'!$L:$L,'Leave Management'!$C:$C,Detail!$A219,'Leave Management'!$B:$B,Detail!J$1)</f>
        <v>0</v>
      </c>
      <c r="K219" s="7">
        <f>SUMIFS('Leave Management'!$L:$L,'Leave Management'!$C:$C,Detail!$A219,'Leave Management'!$B:$B,Detail!K$1)</f>
        <v>0</v>
      </c>
      <c r="L219" s="7">
        <f>SUMIFS('Leave Management'!$L:$L,'Leave Management'!$C:$C,Detail!$A219,'Leave Management'!$B:$B,Detail!L$1)</f>
        <v>0</v>
      </c>
      <c r="M219" s="7">
        <f>SUMIFS('Leave Management'!$L:$L,'Leave Management'!$C:$C,Detail!$A219,'Leave Management'!$B:$B,Detail!M$1)</f>
        <v>0</v>
      </c>
      <c r="N219" s="7">
        <f>SUMIFS('Leave Management'!$L:$L,'Leave Management'!$C:$C,Detail!$A219,'Leave Management'!$B:$B,Detail!N$1)</f>
        <v>0</v>
      </c>
      <c r="O219" s="7">
        <f t="shared" si="8"/>
        <v>12</v>
      </c>
    </row>
    <row r="220" spans="1:15" x14ac:dyDescent="0.25">
      <c r="A220" s="24">
        <v>43318</v>
      </c>
      <c r="B220" s="2" t="str">
        <f t="shared" si="7"/>
        <v>Mon</v>
      </c>
      <c r="C220" s="7">
        <f>SUMIFS('Leave Management'!$L:$L,'Leave Management'!$C:$C,Detail!$A220,'Leave Management'!$B:$B,Detail!C$1)</f>
        <v>0</v>
      </c>
      <c r="D220" s="7">
        <f>SUMIFS('Leave Management'!$L:$L,'Leave Management'!$C:$C,Detail!$A220,'Leave Management'!$B:$B,Detail!D$1)</f>
        <v>0</v>
      </c>
      <c r="E220" s="7">
        <f>SUMIFS('Leave Management'!$L:$L,'Leave Management'!$C:$C,Detail!$A220,'Leave Management'!$B:$B,Detail!E$1)</f>
        <v>0</v>
      </c>
      <c r="F220" s="7">
        <f>SUMIFS('Leave Management'!$L:$L,'Leave Management'!$C:$C,Detail!$A220,'Leave Management'!$B:$B,Detail!F$1)</f>
        <v>0</v>
      </c>
      <c r="G220" s="7">
        <f>SUMIFS('Leave Management'!$L:$L,'Leave Management'!$C:$C,Detail!$A220,'Leave Management'!$B:$B,Detail!G$1)</f>
        <v>0</v>
      </c>
      <c r="H220" s="7">
        <f>SUMIFS('Leave Management'!$L:$L,'Leave Management'!$C:$C,Detail!$A220,'Leave Management'!$B:$B,Detail!H$1)</f>
        <v>0</v>
      </c>
      <c r="I220" s="7">
        <f>SUMIFS('Leave Management'!$L:$L,'Leave Management'!$C:$C,Detail!$A220,'Leave Management'!$B:$B,Detail!I$1)</f>
        <v>0</v>
      </c>
      <c r="J220" s="7">
        <f>SUMIFS('Leave Management'!$L:$L,'Leave Management'!$C:$C,Detail!$A220,'Leave Management'!$B:$B,Detail!J$1)</f>
        <v>0</v>
      </c>
      <c r="K220" s="7">
        <f>SUMIFS('Leave Management'!$L:$L,'Leave Management'!$C:$C,Detail!$A220,'Leave Management'!$B:$B,Detail!K$1)</f>
        <v>0</v>
      </c>
      <c r="L220" s="7">
        <f>SUMIFS('Leave Management'!$L:$L,'Leave Management'!$C:$C,Detail!$A220,'Leave Management'!$B:$B,Detail!L$1)</f>
        <v>0</v>
      </c>
      <c r="M220" s="7">
        <f>SUMIFS('Leave Management'!$L:$L,'Leave Management'!$C:$C,Detail!$A220,'Leave Management'!$B:$B,Detail!M$1)</f>
        <v>0</v>
      </c>
      <c r="N220" s="7">
        <f>SUMIFS('Leave Management'!$L:$L,'Leave Management'!$C:$C,Detail!$A220,'Leave Management'!$B:$B,Detail!N$1)</f>
        <v>0</v>
      </c>
      <c r="O220" s="7">
        <f t="shared" si="8"/>
        <v>12</v>
      </c>
    </row>
    <row r="221" spans="1:15" x14ac:dyDescent="0.25">
      <c r="A221" s="24">
        <v>43319</v>
      </c>
      <c r="B221" s="2" t="str">
        <f t="shared" si="7"/>
        <v>Tue</v>
      </c>
      <c r="C221" s="7">
        <f>SUMIFS('Leave Management'!$L:$L,'Leave Management'!$C:$C,Detail!$A221,'Leave Management'!$B:$B,Detail!C$1)</f>
        <v>0</v>
      </c>
      <c r="D221" s="7">
        <f>SUMIFS('Leave Management'!$L:$L,'Leave Management'!$C:$C,Detail!$A221,'Leave Management'!$B:$B,Detail!D$1)</f>
        <v>0</v>
      </c>
      <c r="E221" s="7">
        <f>SUMIFS('Leave Management'!$L:$L,'Leave Management'!$C:$C,Detail!$A221,'Leave Management'!$B:$B,Detail!E$1)</f>
        <v>0</v>
      </c>
      <c r="F221" s="7">
        <f>SUMIFS('Leave Management'!$L:$L,'Leave Management'!$C:$C,Detail!$A221,'Leave Management'!$B:$B,Detail!F$1)</f>
        <v>0</v>
      </c>
      <c r="G221" s="7">
        <f>SUMIFS('Leave Management'!$L:$L,'Leave Management'!$C:$C,Detail!$A221,'Leave Management'!$B:$B,Detail!G$1)</f>
        <v>0</v>
      </c>
      <c r="H221" s="7">
        <f>SUMIFS('Leave Management'!$L:$L,'Leave Management'!$C:$C,Detail!$A221,'Leave Management'!$B:$B,Detail!H$1)</f>
        <v>0</v>
      </c>
      <c r="I221" s="7">
        <f>SUMIFS('Leave Management'!$L:$L,'Leave Management'!$C:$C,Detail!$A221,'Leave Management'!$B:$B,Detail!I$1)</f>
        <v>0</v>
      </c>
      <c r="J221" s="7">
        <f>SUMIFS('Leave Management'!$L:$L,'Leave Management'!$C:$C,Detail!$A221,'Leave Management'!$B:$B,Detail!J$1)</f>
        <v>0</v>
      </c>
      <c r="K221" s="7">
        <f>SUMIFS('Leave Management'!$L:$L,'Leave Management'!$C:$C,Detail!$A221,'Leave Management'!$B:$B,Detail!K$1)</f>
        <v>0</v>
      </c>
      <c r="L221" s="7">
        <f>SUMIFS('Leave Management'!$L:$L,'Leave Management'!$C:$C,Detail!$A221,'Leave Management'!$B:$B,Detail!L$1)</f>
        <v>0</v>
      </c>
      <c r="M221" s="7">
        <f>SUMIFS('Leave Management'!$L:$L,'Leave Management'!$C:$C,Detail!$A221,'Leave Management'!$B:$B,Detail!M$1)</f>
        <v>0</v>
      </c>
      <c r="N221" s="7">
        <f>SUMIFS('Leave Management'!$L:$L,'Leave Management'!$C:$C,Detail!$A221,'Leave Management'!$B:$B,Detail!N$1)</f>
        <v>0</v>
      </c>
      <c r="O221" s="7">
        <f t="shared" si="8"/>
        <v>12</v>
      </c>
    </row>
    <row r="222" spans="1:15" x14ac:dyDescent="0.25">
      <c r="A222" s="24">
        <v>43320</v>
      </c>
      <c r="B222" s="2" t="str">
        <f t="shared" si="7"/>
        <v>Wed</v>
      </c>
      <c r="C222" s="7">
        <f>SUMIFS('Leave Management'!$L:$L,'Leave Management'!$C:$C,Detail!$A222,'Leave Management'!$B:$B,Detail!C$1)</f>
        <v>0</v>
      </c>
      <c r="D222" s="7">
        <f>SUMIFS('Leave Management'!$L:$L,'Leave Management'!$C:$C,Detail!$A222,'Leave Management'!$B:$B,Detail!D$1)</f>
        <v>0</v>
      </c>
      <c r="E222" s="7">
        <f>SUMIFS('Leave Management'!$L:$L,'Leave Management'!$C:$C,Detail!$A222,'Leave Management'!$B:$B,Detail!E$1)</f>
        <v>0</v>
      </c>
      <c r="F222" s="7">
        <f>SUMIFS('Leave Management'!$L:$L,'Leave Management'!$C:$C,Detail!$A222,'Leave Management'!$B:$B,Detail!F$1)</f>
        <v>0</v>
      </c>
      <c r="G222" s="7">
        <f>SUMIFS('Leave Management'!$L:$L,'Leave Management'!$C:$C,Detail!$A222,'Leave Management'!$B:$B,Detail!G$1)</f>
        <v>0</v>
      </c>
      <c r="H222" s="7">
        <f>SUMIFS('Leave Management'!$L:$L,'Leave Management'!$C:$C,Detail!$A222,'Leave Management'!$B:$B,Detail!H$1)</f>
        <v>0</v>
      </c>
      <c r="I222" s="7">
        <f>SUMIFS('Leave Management'!$L:$L,'Leave Management'!$C:$C,Detail!$A222,'Leave Management'!$B:$B,Detail!I$1)</f>
        <v>0</v>
      </c>
      <c r="J222" s="7">
        <f>SUMIFS('Leave Management'!$L:$L,'Leave Management'!$C:$C,Detail!$A222,'Leave Management'!$B:$B,Detail!J$1)</f>
        <v>0</v>
      </c>
      <c r="K222" s="7">
        <f>SUMIFS('Leave Management'!$L:$L,'Leave Management'!$C:$C,Detail!$A222,'Leave Management'!$B:$B,Detail!K$1)</f>
        <v>0</v>
      </c>
      <c r="L222" s="7">
        <f>SUMIFS('Leave Management'!$L:$L,'Leave Management'!$C:$C,Detail!$A222,'Leave Management'!$B:$B,Detail!L$1)</f>
        <v>0</v>
      </c>
      <c r="M222" s="7">
        <f>SUMIFS('Leave Management'!$L:$L,'Leave Management'!$C:$C,Detail!$A222,'Leave Management'!$B:$B,Detail!M$1)</f>
        <v>0</v>
      </c>
      <c r="N222" s="7">
        <f>SUMIFS('Leave Management'!$L:$L,'Leave Management'!$C:$C,Detail!$A222,'Leave Management'!$B:$B,Detail!N$1)</f>
        <v>0</v>
      </c>
      <c r="O222" s="7">
        <f t="shared" si="8"/>
        <v>12</v>
      </c>
    </row>
    <row r="223" spans="1:15" x14ac:dyDescent="0.25">
      <c r="A223" s="24">
        <v>43321</v>
      </c>
      <c r="B223" s="2" t="str">
        <f t="shared" si="7"/>
        <v>Thu</v>
      </c>
      <c r="C223" s="7">
        <f>SUMIFS('Leave Management'!$L:$L,'Leave Management'!$C:$C,Detail!$A223,'Leave Management'!$B:$B,Detail!C$1)</f>
        <v>0</v>
      </c>
      <c r="D223" s="7">
        <f>SUMIFS('Leave Management'!$L:$L,'Leave Management'!$C:$C,Detail!$A223,'Leave Management'!$B:$B,Detail!D$1)</f>
        <v>0</v>
      </c>
      <c r="E223" s="7">
        <f>SUMIFS('Leave Management'!$L:$L,'Leave Management'!$C:$C,Detail!$A223,'Leave Management'!$B:$B,Detail!E$1)</f>
        <v>0</v>
      </c>
      <c r="F223" s="7">
        <f>SUMIFS('Leave Management'!$L:$L,'Leave Management'!$C:$C,Detail!$A223,'Leave Management'!$B:$B,Detail!F$1)</f>
        <v>0</v>
      </c>
      <c r="G223" s="7">
        <f>SUMIFS('Leave Management'!$L:$L,'Leave Management'!$C:$C,Detail!$A223,'Leave Management'!$B:$B,Detail!G$1)</f>
        <v>0</v>
      </c>
      <c r="H223" s="7">
        <f>SUMIFS('Leave Management'!$L:$L,'Leave Management'!$C:$C,Detail!$A223,'Leave Management'!$B:$B,Detail!H$1)</f>
        <v>0</v>
      </c>
      <c r="I223" s="7">
        <f>SUMIFS('Leave Management'!$L:$L,'Leave Management'!$C:$C,Detail!$A223,'Leave Management'!$B:$B,Detail!I$1)</f>
        <v>0</v>
      </c>
      <c r="J223" s="7">
        <f>SUMIFS('Leave Management'!$L:$L,'Leave Management'!$C:$C,Detail!$A223,'Leave Management'!$B:$B,Detail!J$1)</f>
        <v>0</v>
      </c>
      <c r="K223" s="7">
        <f>SUMIFS('Leave Management'!$L:$L,'Leave Management'!$C:$C,Detail!$A223,'Leave Management'!$B:$B,Detail!K$1)</f>
        <v>0</v>
      </c>
      <c r="L223" s="7">
        <f>SUMIFS('Leave Management'!$L:$L,'Leave Management'!$C:$C,Detail!$A223,'Leave Management'!$B:$B,Detail!L$1)</f>
        <v>0</v>
      </c>
      <c r="M223" s="7">
        <f>SUMIFS('Leave Management'!$L:$L,'Leave Management'!$C:$C,Detail!$A223,'Leave Management'!$B:$B,Detail!M$1)</f>
        <v>0</v>
      </c>
      <c r="N223" s="7">
        <f>SUMIFS('Leave Management'!$L:$L,'Leave Management'!$C:$C,Detail!$A223,'Leave Management'!$B:$B,Detail!N$1)</f>
        <v>0</v>
      </c>
      <c r="O223" s="7">
        <f t="shared" si="8"/>
        <v>12</v>
      </c>
    </row>
    <row r="224" spans="1:15" x14ac:dyDescent="0.25">
      <c r="A224" s="24">
        <v>43322</v>
      </c>
      <c r="B224" s="2" t="str">
        <f t="shared" si="7"/>
        <v>Fri</v>
      </c>
      <c r="C224" s="7">
        <f>SUMIFS('Leave Management'!$L:$L,'Leave Management'!$C:$C,Detail!$A224,'Leave Management'!$B:$B,Detail!C$1)</f>
        <v>0</v>
      </c>
      <c r="D224" s="7">
        <f>SUMIFS('Leave Management'!$L:$L,'Leave Management'!$C:$C,Detail!$A224,'Leave Management'!$B:$B,Detail!D$1)</f>
        <v>0</v>
      </c>
      <c r="E224" s="7">
        <f>SUMIFS('Leave Management'!$L:$L,'Leave Management'!$C:$C,Detail!$A224,'Leave Management'!$B:$B,Detail!E$1)</f>
        <v>1</v>
      </c>
      <c r="F224" s="7">
        <f>SUMIFS('Leave Management'!$L:$L,'Leave Management'!$C:$C,Detail!$A224,'Leave Management'!$B:$B,Detail!F$1)</f>
        <v>0</v>
      </c>
      <c r="G224" s="7">
        <f>SUMIFS('Leave Management'!$L:$L,'Leave Management'!$C:$C,Detail!$A224,'Leave Management'!$B:$B,Detail!G$1)</f>
        <v>0</v>
      </c>
      <c r="H224" s="7">
        <f>SUMIFS('Leave Management'!$L:$L,'Leave Management'!$C:$C,Detail!$A224,'Leave Management'!$B:$B,Detail!H$1)</f>
        <v>0</v>
      </c>
      <c r="I224" s="7">
        <f>SUMIFS('Leave Management'!$L:$L,'Leave Management'!$C:$C,Detail!$A224,'Leave Management'!$B:$B,Detail!I$1)</f>
        <v>0</v>
      </c>
      <c r="J224" s="7">
        <f>SUMIFS('Leave Management'!$L:$L,'Leave Management'!$C:$C,Detail!$A224,'Leave Management'!$B:$B,Detail!J$1)</f>
        <v>0</v>
      </c>
      <c r="K224" s="7">
        <f>SUMIFS('Leave Management'!$L:$L,'Leave Management'!$C:$C,Detail!$A224,'Leave Management'!$B:$B,Detail!K$1)</f>
        <v>0</v>
      </c>
      <c r="L224" s="7">
        <f>SUMIFS('Leave Management'!$L:$L,'Leave Management'!$C:$C,Detail!$A224,'Leave Management'!$B:$B,Detail!L$1)</f>
        <v>0</v>
      </c>
      <c r="M224" s="7">
        <f>SUMIFS('Leave Management'!$L:$L,'Leave Management'!$C:$C,Detail!$A224,'Leave Management'!$B:$B,Detail!M$1)</f>
        <v>0</v>
      </c>
      <c r="N224" s="7">
        <f>SUMIFS('Leave Management'!$L:$L,'Leave Management'!$C:$C,Detail!$A224,'Leave Management'!$B:$B,Detail!N$1)</f>
        <v>0</v>
      </c>
      <c r="O224" s="7">
        <f t="shared" si="8"/>
        <v>11</v>
      </c>
    </row>
    <row r="225" spans="1:15" x14ac:dyDescent="0.25">
      <c r="A225" s="24">
        <v>43323</v>
      </c>
      <c r="B225" s="2" t="str">
        <f t="shared" si="7"/>
        <v>Sat</v>
      </c>
      <c r="C225" s="7">
        <f>SUMIFS('Leave Management'!$L:$L,'Leave Management'!$C:$C,Detail!$A225,'Leave Management'!$B:$B,Detail!C$1)</f>
        <v>0</v>
      </c>
      <c r="D225" s="7">
        <f>SUMIFS('Leave Management'!$L:$L,'Leave Management'!$C:$C,Detail!$A225,'Leave Management'!$B:$B,Detail!D$1)</f>
        <v>0</v>
      </c>
      <c r="E225" s="7">
        <f>SUMIFS('Leave Management'!$L:$L,'Leave Management'!$C:$C,Detail!$A225,'Leave Management'!$B:$B,Detail!E$1)</f>
        <v>0</v>
      </c>
      <c r="F225" s="7">
        <f>SUMIFS('Leave Management'!$L:$L,'Leave Management'!$C:$C,Detail!$A225,'Leave Management'!$B:$B,Detail!F$1)</f>
        <v>0</v>
      </c>
      <c r="G225" s="7">
        <f>SUMIFS('Leave Management'!$L:$L,'Leave Management'!$C:$C,Detail!$A225,'Leave Management'!$B:$B,Detail!G$1)</f>
        <v>0</v>
      </c>
      <c r="H225" s="7">
        <f>SUMIFS('Leave Management'!$L:$L,'Leave Management'!$C:$C,Detail!$A225,'Leave Management'!$B:$B,Detail!H$1)</f>
        <v>0</v>
      </c>
      <c r="I225" s="7">
        <f>SUMIFS('Leave Management'!$L:$L,'Leave Management'!$C:$C,Detail!$A225,'Leave Management'!$B:$B,Detail!I$1)</f>
        <v>0</v>
      </c>
      <c r="J225" s="7">
        <f>SUMIFS('Leave Management'!$L:$L,'Leave Management'!$C:$C,Detail!$A225,'Leave Management'!$B:$B,Detail!J$1)</f>
        <v>0</v>
      </c>
      <c r="K225" s="7">
        <f>SUMIFS('Leave Management'!$L:$L,'Leave Management'!$C:$C,Detail!$A225,'Leave Management'!$B:$B,Detail!K$1)</f>
        <v>0</v>
      </c>
      <c r="L225" s="7">
        <f>SUMIFS('Leave Management'!$L:$L,'Leave Management'!$C:$C,Detail!$A225,'Leave Management'!$B:$B,Detail!L$1)</f>
        <v>0</v>
      </c>
      <c r="M225" s="7">
        <f>SUMIFS('Leave Management'!$L:$L,'Leave Management'!$C:$C,Detail!$A225,'Leave Management'!$B:$B,Detail!M$1)</f>
        <v>0</v>
      </c>
      <c r="N225" s="7">
        <f>SUMIFS('Leave Management'!$L:$L,'Leave Management'!$C:$C,Detail!$A225,'Leave Management'!$B:$B,Detail!N$1)</f>
        <v>0</v>
      </c>
      <c r="O225" s="7">
        <f t="shared" si="8"/>
        <v>12</v>
      </c>
    </row>
    <row r="226" spans="1:15" x14ac:dyDescent="0.25">
      <c r="A226" s="24">
        <v>43324</v>
      </c>
      <c r="B226" s="2" t="str">
        <f t="shared" si="7"/>
        <v>Sun</v>
      </c>
      <c r="C226" s="7">
        <f>SUMIFS('Leave Management'!$L:$L,'Leave Management'!$C:$C,Detail!$A226,'Leave Management'!$B:$B,Detail!C$1)</f>
        <v>0</v>
      </c>
      <c r="D226" s="7">
        <f>SUMIFS('Leave Management'!$L:$L,'Leave Management'!$C:$C,Detail!$A226,'Leave Management'!$B:$B,Detail!D$1)</f>
        <v>0</v>
      </c>
      <c r="E226" s="7">
        <f>SUMIFS('Leave Management'!$L:$L,'Leave Management'!$C:$C,Detail!$A226,'Leave Management'!$B:$B,Detail!E$1)</f>
        <v>0</v>
      </c>
      <c r="F226" s="7">
        <f>SUMIFS('Leave Management'!$L:$L,'Leave Management'!$C:$C,Detail!$A226,'Leave Management'!$B:$B,Detail!F$1)</f>
        <v>0</v>
      </c>
      <c r="G226" s="7">
        <f>SUMIFS('Leave Management'!$L:$L,'Leave Management'!$C:$C,Detail!$A226,'Leave Management'!$B:$B,Detail!G$1)</f>
        <v>0</v>
      </c>
      <c r="H226" s="7">
        <f>SUMIFS('Leave Management'!$L:$L,'Leave Management'!$C:$C,Detail!$A226,'Leave Management'!$B:$B,Detail!H$1)</f>
        <v>0</v>
      </c>
      <c r="I226" s="7">
        <f>SUMIFS('Leave Management'!$L:$L,'Leave Management'!$C:$C,Detail!$A226,'Leave Management'!$B:$B,Detail!I$1)</f>
        <v>0</v>
      </c>
      <c r="J226" s="7">
        <f>SUMIFS('Leave Management'!$L:$L,'Leave Management'!$C:$C,Detail!$A226,'Leave Management'!$B:$B,Detail!J$1)</f>
        <v>0</v>
      </c>
      <c r="K226" s="7">
        <f>SUMIFS('Leave Management'!$L:$L,'Leave Management'!$C:$C,Detail!$A226,'Leave Management'!$B:$B,Detail!K$1)</f>
        <v>0</v>
      </c>
      <c r="L226" s="7">
        <f>SUMIFS('Leave Management'!$L:$L,'Leave Management'!$C:$C,Detail!$A226,'Leave Management'!$B:$B,Detail!L$1)</f>
        <v>0</v>
      </c>
      <c r="M226" s="7">
        <f>SUMIFS('Leave Management'!$L:$L,'Leave Management'!$C:$C,Detail!$A226,'Leave Management'!$B:$B,Detail!M$1)</f>
        <v>0</v>
      </c>
      <c r="N226" s="7">
        <f>SUMIFS('Leave Management'!$L:$L,'Leave Management'!$C:$C,Detail!$A226,'Leave Management'!$B:$B,Detail!N$1)</f>
        <v>0</v>
      </c>
      <c r="O226" s="7">
        <f t="shared" si="8"/>
        <v>12</v>
      </c>
    </row>
    <row r="227" spans="1:15" x14ac:dyDescent="0.25">
      <c r="A227" s="24">
        <v>43325</v>
      </c>
      <c r="B227" s="2" t="str">
        <f t="shared" si="7"/>
        <v>Mon</v>
      </c>
      <c r="C227" s="7">
        <f>SUMIFS('Leave Management'!$L:$L,'Leave Management'!$C:$C,Detail!$A227,'Leave Management'!$B:$B,Detail!C$1)</f>
        <v>0</v>
      </c>
      <c r="D227" s="7">
        <f>SUMIFS('Leave Management'!$L:$L,'Leave Management'!$C:$C,Detail!$A227,'Leave Management'!$B:$B,Detail!D$1)</f>
        <v>1</v>
      </c>
      <c r="E227" s="7">
        <f>SUMIFS('Leave Management'!$L:$L,'Leave Management'!$C:$C,Detail!$A227,'Leave Management'!$B:$B,Detail!E$1)</f>
        <v>0</v>
      </c>
      <c r="F227" s="7">
        <f>SUMIFS('Leave Management'!$L:$L,'Leave Management'!$C:$C,Detail!$A227,'Leave Management'!$B:$B,Detail!F$1)</f>
        <v>0</v>
      </c>
      <c r="G227" s="7">
        <f>SUMIFS('Leave Management'!$L:$L,'Leave Management'!$C:$C,Detail!$A227,'Leave Management'!$B:$B,Detail!G$1)</f>
        <v>0</v>
      </c>
      <c r="H227" s="7">
        <f>SUMIFS('Leave Management'!$L:$L,'Leave Management'!$C:$C,Detail!$A227,'Leave Management'!$B:$B,Detail!H$1)</f>
        <v>0</v>
      </c>
      <c r="I227" s="7">
        <f>SUMIFS('Leave Management'!$L:$L,'Leave Management'!$C:$C,Detail!$A227,'Leave Management'!$B:$B,Detail!I$1)</f>
        <v>0</v>
      </c>
      <c r="J227" s="7">
        <f>SUMIFS('Leave Management'!$L:$L,'Leave Management'!$C:$C,Detail!$A227,'Leave Management'!$B:$B,Detail!J$1)</f>
        <v>0</v>
      </c>
      <c r="K227" s="7">
        <f>SUMIFS('Leave Management'!$L:$L,'Leave Management'!$C:$C,Detail!$A227,'Leave Management'!$B:$B,Detail!K$1)</f>
        <v>0</v>
      </c>
      <c r="L227" s="7">
        <f>SUMIFS('Leave Management'!$L:$L,'Leave Management'!$C:$C,Detail!$A227,'Leave Management'!$B:$B,Detail!L$1)</f>
        <v>0</v>
      </c>
      <c r="M227" s="7">
        <f>SUMIFS('Leave Management'!$L:$L,'Leave Management'!$C:$C,Detail!$A227,'Leave Management'!$B:$B,Detail!M$1)</f>
        <v>0</v>
      </c>
      <c r="N227" s="7">
        <f>SUMIFS('Leave Management'!$L:$L,'Leave Management'!$C:$C,Detail!$A227,'Leave Management'!$B:$B,Detail!N$1)</f>
        <v>0</v>
      </c>
      <c r="O227" s="7">
        <f t="shared" si="8"/>
        <v>11</v>
      </c>
    </row>
    <row r="228" spans="1:15" x14ac:dyDescent="0.25">
      <c r="A228" s="24">
        <v>43326</v>
      </c>
      <c r="B228" s="2" t="str">
        <f t="shared" si="7"/>
        <v>Tue</v>
      </c>
      <c r="C228" s="7">
        <f>SUMIFS('Leave Management'!$L:$L,'Leave Management'!$C:$C,Detail!$A228,'Leave Management'!$B:$B,Detail!C$1)</f>
        <v>0</v>
      </c>
      <c r="D228" s="7">
        <f>SUMIFS('Leave Management'!$L:$L,'Leave Management'!$C:$C,Detail!$A228,'Leave Management'!$B:$B,Detail!D$1)</f>
        <v>0</v>
      </c>
      <c r="E228" s="7">
        <f>SUMIFS('Leave Management'!$L:$L,'Leave Management'!$C:$C,Detail!$A228,'Leave Management'!$B:$B,Detail!E$1)</f>
        <v>0</v>
      </c>
      <c r="F228" s="7">
        <f>SUMIFS('Leave Management'!$L:$L,'Leave Management'!$C:$C,Detail!$A228,'Leave Management'!$B:$B,Detail!F$1)</f>
        <v>0</v>
      </c>
      <c r="G228" s="7">
        <f>SUMIFS('Leave Management'!$L:$L,'Leave Management'!$C:$C,Detail!$A228,'Leave Management'!$B:$B,Detail!G$1)</f>
        <v>0</v>
      </c>
      <c r="H228" s="7">
        <f>SUMIFS('Leave Management'!$L:$L,'Leave Management'!$C:$C,Detail!$A228,'Leave Management'!$B:$B,Detail!H$1)</f>
        <v>0</v>
      </c>
      <c r="I228" s="7">
        <f>SUMIFS('Leave Management'!$L:$L,'Leave Management'!$C:$C,Detail!$A228,'Leave Management'!$B:$B,Detail!I$1)</f>
        <v>0</v>
      </c>
      <c r="J228" s="7">
        <f>SUMIFS('Leave Management'!$L:$L,'Leave Management'!$C:$C,Detail!$A228,'Leave Management'!$B:$B,Detail!J$1)</f>
        <v>0</v>
      </c>
      <c r="K228" s="7">
        <f>SUMIFS('Leave Management'!$L:$L,'Leave Management'!$C:$C,Detail!$A228,'Leave Management'!$B:$B,Detail!K$1)</f>
        <v>0</v>
      </c>
      <c r="L228" s="7">
        <f>SUMIFS('Leave Management'!$L:$L,'Leave Management'!$C:$C,Detail!$A228,'Leave Management'!$B:$B,Detail!L$1)</f>
        <v>0</v>
      </c>
      <c r="M228" s="7">
        <f>SUMIFS('Leave Management'!$L:$L,'Leave Management'!$C:$C,Detail!$A228,'Leave Management'!$B:$B,Detail!M$1)</f>
        <v>0</v>
      </c>
      <c r="N228" s="7">
        <f>SUMIFS('Leave Management'!$L:$L,'Leave Management'!$C:$C,Detail!$A228,'Leave Management'!$B:$B,Detail!N$1)</f>
        <v>0</v>
      </c>
      <c r="O228" s="7">
        <f t="shared" si="8"/>
        <v>12</v>
      </c>
    </row>
    <row r="229" spans="1:15" x14ac:dyDescent="0.25">
      <c r="A229" s="24">
        <v>43327</v>
      </c>
      <c r="B229" s="2" t="str">
        <f t="shared" si="7"/>
        <v>Wed</v>
      </c>
      <c r="C229" s="7">
        <f>SUMIFS('Leave Management'!$L:$L,'Leave Management'!$C:$C,Detail!$A229,'Leave Management'!$B:$B,Detail!C$1)</f>
        <v>0</v>
      </c>
      <c r="D229" s="7">
        <f>SUMIFS('Leave Management'!$L:$L,'Leave Management'!$C:$C,Detail!$A229,'Leave Management'!$B:$B,Detail!D$1)</f>
        <v>0</v>
      </c>
      <c r="E229" s="7">
        <f>SUMIFS('Leave Management'!$L:$L,'Leave Management'!$C:$C,Detail!$A229,'Leave Management'!$B:$B,Detail!E$1)</f>
        <v>0</v>
      </c>
      <c r="F229" s="7">
        <f>SUMIFS('Leave Management'!$L:$L,'Leave Management'!$C:$C,Detail!$A229,'Leave Management'!$B:$B,Detail!F$1)</f>
        <v>0</v>
      </c>
      <c r="G229" s="7">
        <f>SUMIFS('Leave Management'!$L:$L,'Leave Management'!$C:$C,Detail!$A229,'Leave Management'!$B:$B,Detail!G$1)</f>
        <v>0</v>
      </c>
      <c r="H229" s="7">
        <f>SUMIFS('Leave Management'!$L:$L,'Leave Management'!$C:$C,Detail!$A229,'Leave Management'!$B:$B,Detail!H$1)</f>
        <v>0</v>
      </c>
      <c r="I229" s="7">
        <f>SUMIFS('Leave Management'!$L:$L,'Leave Management'!$C:$C,Detail!$A229,'Leave Management'!$B:$B,Detail!I$1)</f>
        <v>0</v>
      </c>
      <c r="J229" s="7">
        <f>SUMIFS('Leave Management'!$L:$L,'Leave Management'!$C:$C,Detail!$A229,'Leave Management'!$B:$B,Detail!J$1)</f>
        <v>0</v>
      </c>
      <c r="K229" s="7">
        <f>SUMIFS('Leave Management'!$L:$L,'Leave Management'!$C:$C,Detail!$A229,'Leave Management'!$B:$B,Detail!K$1)</f>
        <v>0</v>
      </c>
      <c r="L229" s="7">
        <f>SUMIFS('Leave Management'!$L:$L,'Leave Management'!$C:$C,Detail!$A229,'Leave Management'!$B:$B,Detail!L$1)</f>
        <v>0</v>
      </c>
      <c r="M229" s="7">
        <f>SUMIFS('Leave Management'!$L:$L,'Leave Management'!$C:$C,Detail!$A229,'Leave Management'!$B:$B,Detail!M$1)</f>
        <v>0</v>
      </c>
      <c r="N229" s="7">
        <f>SUMIFS('Leave Management'!$L:$L,'Leave Management'!$C:$C,Detail!$A229,'Leave Management'!$B:$B,Detail!N$1)</f>
        <v>0</v>
      </c>
      <c r="O229" s="7">
        <f t="shared" si="8"/>
        <v>12</v>
      </c>
    </row>
    <row r="230" spans="1:15" x14ac:dyDescent="0.25">
      <c r="A230" s="24">
        <v>43328</v>
      </c>
      <c r="B230" s="2" t="str">
        <f t="shared" si="7"/>
        <v>Thu</v>
      </c>
      <c r="C230" s="7">
        <f>SUMIFS('Leave Management'!$L:$L,'Leave Management'!$C:$C,Detail!$A230,'Leave Management'!$B:$B,Detail!C$1)</f>
        <v>0</v>
      </c>
      <c r="D230" s="7">
        <f>SUMIFS('Leave Management'!$L:$L,'Leave Management'!$C:$C,Detail!$A230,'Leave Management'!$B:$B,Detail!D$1)</f>
        <v>0</v>
      </c>
      <c r="E230" s="7">
        <f>SUMIFS('Leave Management'!$L:$L,'Leave Management'!$C:$C,Detail!$A230,'Leave Management'!$B:$B,Detail!E$1)</f>
        <v>0</v>
      </c>
      <c r="F230" s="7">
        <f>SUMIFS('Leave Management'!$L:$L,'Leave Management'!$C:$C,Detail!$A230,'Leave Management'!$B:$B,Detail!F$1)</f>
        <v>0</v>
      </c>
      <c r="G230" s="7">
        <f>SUMIFS('Leave Management'!$L:$L,'Leave Management'!$C:$C,Detail!$A230,'Leave Management'!$B:$B,Detail!G$1)</f>
        <v>0</v>
      </c>
      <c r="H230" s="7">
        <f>SUMIFS('Leave Management'!$L:$L,'Leave Management'!$C:$C,Detail!$A230,'Leave Management'!$B:$B,Detail!H$1)</f>
        <v>0</v>
      </c>
      <c r="I230" s="7">
        <f>SUMIFS('Leave Management'!$L:$L,'Leave Management'!$C:$C,Detail!$A230,'Leave Management'!$B:$B,Detail!I$1)</f>
        <v>0</v>
      </c>
      <c r="J230" s="7">
        <f>SUMIFS('Leave Management'!$L:$L,'Leave Management'!$C:$C,Detail!$A230,'Leave Management'!$B:$B,Detail!J$1)</f>
        <v>0</v>
      </c>
      <c r="K230" s="7">
        <f>SUMIFS('Leave Management'!$L:$L,'Leave Management'!$C:$C,Detail!$A230,'Leave Management'!$B:$B,Detail!K$1)</f>
        <v>0</v>
      </c>
      <c r="L230" s="7">
        <f>SUMIFS('Leave Management'!$L:$L,'Leave Management'!$C:$C,Detail!$A230,'Leave Management'!$B:$B,Detail!L$1)</f>
        <v>0</v>
      </c>
      <c r="M230" s="7">
        <f>SUMIFS('Leave Management'!$L:$L,'Leave Management'!$C:$C,Detail!$A230,'Leave Management'!$B:$B,Detail!M$1)</f>
        <v>0</v>
      </c>
      <c r="N230" s="7">
        <f>SUMIFS('Leave Management'!$L:$L,'Leave Management'!$C:$C,Detail!$A230,'Leave Management'!$B:$B,Detail!N$1)</f>
        <v>0</v>
      </c>
      <c r="O230" s="7">
        <f t="shared" si="8"/>
        <v>12</v>
      </c>
    </row>
    <row r="231" spans="1:15" x14ac:dyDescent="0.25">
      <c r="A231" s="24">
        <v>43329</v>
      </c>
      <c r="B231" s="2" t="str">
        <f t="shared" si="7"/>
        <v>Fri</v>
      </c>
      <c r="C231" s="7">
        <f>SUMIFS('Leave Management'!$L:$L,'Leave Management'!$C:$C,Detail!$A231,'Leave Management'!$B:$B,Detail!C$1)</f>
        <v>0</v>
      </c>
      <c r="D231" s="7">
        <f>SUMIFS('Leave Management'!$L:$L,'Leave Management'!$C:$C,Detail!$A231,'Leave Management'!$B:$B,Detail!D$1)</f>
        <v>0</v>
      </c>
      <c r="E231" s="7">
        <f>SUMIFS('Leave Management'!$L:$L,'Leave Management'!$C:$C,Detail!$A231,'Leave Management'!$B:$B,Detail!E$1)</f>
        <v>1</v>
      </c>
      <c r="F231" s="7">
        <f>SUMIFS('Leave Management'!$L:$L,'Leave Management'!$C:$C,Detail!$A231,'Leave Management'!$B:$B,Detail!F$1)</f>
        <v>0</v>
      </c>
      <c r="G231" s="7">
        <f>SUMIFS('Leave Management'!$L:$L,'Leave Management'!$C:$C,Detail!$A231,'Leave Management'!$B:$B,Detail!G$1)</f>
        <v>0</v>
      </c>
      <c r="H231" s="7">
        <f>SUMIFS('Leave Management'!$L:$L,'Leave Management'!$C:$C,Detail!$A231,'Leave Management'!$B:$B,Detail!H$1)</f>
        <v>0</v>
      </c>
      <c r="I231" s="7">
        <f>SUMIFS('Leave Management'!$L:$L,'Leave Management'!$C:$C,Detail!$A231,'Leave Management'!$B:$B,Detail!I$1)</f>
        <v>0</v>
      </c>
      <c r="J231" s="7">
        <f>SUMIFS('Leave Management'!$L:$L,'Leave Management'!$C:$C,Detail!$A231,'Leave Management'!$B:$B,Detail!J$1)</f>
        <v>0</v>
      </c>
      <c r="K231" s="7">
        <f>SUMIFS('Leave Management'!$L:$L,'Leave Management'!$C:$C,Detail!$A231,'Leave Management'!$B:$B,Detail!K$1)</f>
        <v>0</v>
      </c>
      <c r="L231" s="7">
        <f>SUMIFS('Leave Management'!$L:$L,'Leave Management'!$C:$C,Detail!$A231,'Leave Management'!$B:$B,Detail!L$1)</f>
        <v>0</v>
      </c>
      <c r="M231" s="7">
        <f>SUMIFS('Leave Management'!$L:$L,'Leave Management'!$C:$C,Detail!$A231,'Leave Management'!$B:$B,Detail!M$1)</f>
        <v>0</v>
      </c>
      <c r="N231" s="7">
        <f>SUMIFS('Leave Management'!$L:$L,'Leave Management'!$C:$C,Detail!$A231,'Leave Management'!$B:$B,Detail!N$1)</f>
        <v>0</v>
      </c>
      <c r="O231" s="7">
        <f t="shared" si="8"/>
        <v>11</v>
      </c>
    </row>
    <row r="232" spans="1:15" x14ac:dyDescent="0.25">
      <c r="A232" s="24">
        <v>43330</v>
      </c>
      <c r="B232" s="2" t="str">
        <f t="shared" si="7"/>
        <v>Sat</v>
      </c>
      <c r="C232" s="7">
        <f>SUMIFS('Leave Management'!$L:$L,'Leave Management'!$C:$C,Detail!$A232,'Leave Management'!$B:$B,Detail!C$1)</f>
        <v>0</v>
      </c>
      <c r="D232" s="7">
        <f>SUMIFS('Leave Management'!$L:$L,'Leave Management'!$C:$C,Detail!$A232,'Leave Management'!$B:$B,Detail!D$1)</f>
        <v>0</v>
      </c>
      <c r="E232" s="7">
        <f>SUMIFS('Leave Management'!$L:$L,'Leave Management'!$C:$C,Detail!$A232,'Leave Management'!$B:$B,Detail!E$1)</f>
        <v>0</v>
      </c>
      <c r="F232" s="7">
        <f>SUMIFS('Leave Management'!$L:$L,'Leave Management'!$C:$C,Detail!$A232,'Leave Management'!$B:$B,Detail!F$1)</f>
        <v>0</v>
      </c>
      <c r="G232" s="7">
        <f>SUMIFS('Leave Management'!$L:$L,'Leave Management'!$C:$C,Detail!$A232,'Leave Management'!$B:$B,Detail!G$1)</f>
        <v>0</v>
      </c>
      <c r="H232" s="7">
        <f>SUMIFS('Leave Management'!$L:$L,'Leave Management'!$C:$C,Detail!$A232,'Leave Management'!$B:$B,Detail!H$1)</f>
        <v>0</v>
      </c>
      <c r="I232" s="7">
        <f>SUMIFS('Leave Management'!$L:$L,'Leave Management'!$C:$C,Detail!$A232,'Leave Management'!$B:$B,Detail!I$1)</f>
        <v>0</v>
      </c>
      <c r="J232" s="7">
        <f>SUMIFS('Leave Management'!$L:$L,'Leave Management'!$C:$C,Detail!$A232,'Leave Management'!$B:$B,Detail!J$1)</f>
        <v>0</v>
      </c>
      <c r="K232" s="7">
        <f>SUMIFS('Leave Management'!$L:$L,'Leave Management'!$C:$C,Detail!$A232,'Leave Management'!$B:$B,Detail!K$1)</f>
        <v>0</v>
      </c>
      <c r="L232" s="7">
        <f>SUMIFS('Leave Management'!$L:$L,'Leave Management'!$C:$C,Detail!$A232,'Leave Management'!$B:$B,Detail!L$1)</f>
        <v>0</v>
      </c>
      <c r="M232" s="7">
        <f>SUMIFS('Leave Management'!$L:$L,'Leave Management'!$C:$C,Detail!$A232,'Leave Management'!$B:$B,Detail!M$1)</f>
        <v>0</v>
      </c>
      <c r="N232" s="7">
        <f>SUMIFS('Leave Management'!$L:$L,'Leave Management'!$C:$C,Detail!$A232,'Leave Management'!$B:$B,Detail!N$1)</f>
        <v>0</v>
      </c>
      <c r="O232" s="7">
        <f t="shared" si="8"/>
        <v>12</v>
      </c>
    </row>
    <row r="233" spans="1:15" x14ac:dyDescent="0.25">
      <c r="A233" s="24">
        <v>43331</v>
      </c>
      <c r="B233" s="2" t="str">
        <f t="shared" si="7"/>
        <v>Sun</v>
      </c>
      <c r="C233" s="7">
        <f>SUMIFS('Leave Management'!$L:$L,'Leave Management'!$C:$C,Detail!$A233,'Leave Management'!$B:$B,Detail!C$1)</f>
        <v>0</v>
      </c>
      <c r="D233" s="7">
        <f>SUMIFS('Leave Management'!$L:$L,'Leave Management'!$C:$C,Detail!$A233,'Leave Management'!$B:$B,Detail!D$1)</f>
        <v>0</v>
      </c>
      <c r="E233" s="7">
        <f>SUMIFS('Leave Management'!$L:$L,'Leave Management'!$C:$C,Detail!$A233,'Leave Management'!$B:$B,Detail!E$1)</f>
        <v>0</v>
      </c>
      <c r="F233" s="7">
        <f>SUMIFS('Leave Management'!$L:$L,'Leave Management'!$C:$C,Detail!$A233,'Leave Management'!$B:$B,Detail!F$1)</f>
        <v>0</v>
      </c>
      <c r="G233" s="7">
        <f>SUMIFS('Leave Management'!$L:$L,'Leave Management'!$C:$C,Detail!$A233,'Leave Management'!$B:$B,Detail!G$1)</f>
        <v>0</v>
      </c>
      <c r="H233" s="7">
        <f>SUMIFS('Leave Management'!$L:$L,'Leave Management'!$C:$C,Detail!$A233,'Leave Management'!$B:$B,Detail!H$1)</f>
        <v>0</v>
      </c>
      <c r="I233" s="7">
        <f>SUMIFS('Leave Management'!$L:$L,'Leave Management'!$C:$C,Detail!$A233,'Leave Management'!$B:$B,Detail!I$1)</f>
        <v>0</v>
      </c>
      <c r="J233" s="7">
        <f>SUMIFS('Leave Management'!$L:$L,'Leave Management'!$C:$C,Detail!$A233,'Leave Management'!$B:$B,Detail!J$1)</f>
        <v>0</v>
      </c>
      <c r="K233" s="7">
        <f>SUMIFS('Leave Management'!$L:$L,'Leave Management'!$C:$C,Detail!$A233,'Leave Management'!$B:$B,Detail!K$1)</f>
        <v>0</v>
      </c>
      <c r="L233" s="7">
        <f>SUMIFS('Leave Management'!$L:$L,'Leave Management'!$C:$C,Detail!$A233,'Leave Management'!$B:$B,Detail!L$1)</f>
        <v>0</v>
      </c>
      <c r="M233" s="7">
        <f>SUMIFS('Leave Management'!$L:$L,'Leave Management'!$C:$C,Detail!$A233,'Leave Management'!$B:$B,Detail!M$1)</f>
        <v>0</v>
      </c>
      <c r="N233" s="7">
        <f>SUMIFS('Leave Management'!$L:$L,'Leave Management'!$C:$C,Detail!$A233,'Leave Management'!$B:$B,Detail!N$1)</f>
        <v>0</v>
      </c>
      <c r="O233" s="7">
        <f t="shared" si="8"/>
        <v>12</v>
      </c>
    </row>
    <row r="234" spans="1:15" x14ac:dyDescent="0.25">
      <c r="A234" s="24">
        <v>43332</v>
      </c>
      <c r="B234" s="2" t="str">
        <f t="shared" si="7"/>
        <v>Mon</v>
      </c>
      <c r="C234" s="7">
        <f>SUMIFS('Leave Management'!$L:$L,'Leave Management'!$C:$C,Detail!$A234,'Leave Management'!$B:$B,Detail!C$1)</f>
        <v>0</v>
      </c>
      <c r="D234" s="7">
        <f>SUMIFS('Leave Management'!$L:$L,'Leave Management'!$C:$C,Detail!$A234,'Leave Management'!$B:$B,Detail!D$1)</f>
        <v>0</v>
      </c>
      <c r="E234" s="7">
        <f>SUMIFS('Leave Management'!$L:$L,'Leave Management'!$C:$C,Detail!$A234,'Leave Management'!$B:$B,Detail!E$1)</f>
        <v>0</v>
      </c>
      <c r="F234" s="7">
        <f>SUMIFS('Leave Management'!$L:$L,'Leave Management'!$C:$C,Detail!$A234,'Leave Management'!$B:$B,Detail!F$1)</f>
        <v>1</v>
      </c>
      <c r="G234" s="7">
        <f>SUMIFS('Leave Management'!$L:$L,'Leave Management'!$C:$C,Detail!$A234,'Leave Management'!$B:$B,Detail!G$1)</f>
        <v>0</v>
      </c>
      <c r="H234" s="7">
        <f>SUMIFS('Leave Management'!$L:$L,'Leave Management'!$C:$C,Detail!$A234,'Leave Management'!$B:$B,Detail!H$1)</f>
        <v>0</v>
      </c>
      <c r="I234" s="7">
        <f>SUMIFS('Leave Management'!$L:$L,'Leave Management'!$C:$C,Detail!$A234,'Leave Management'!$B:$B,Detail!I$1)</f>
        <v>0</v>
      </c>
      <c r="J234" s="7">
        <f>SUMIFS('Leave Management'!$L:$L,'Leave Management'!$C:$C,Detail!$A234,'Leave Management'!$B:$B,Detail!J$1)</f>
        <v>0</v>
      </c>
      <c r="K234" s="7">
        <f>SUMIFS('Leave Management'!$L:$L,'Leave Management'!$C:$C,Detail!$A234,'Leave Management'!$B:$B,Detail!K$1)</f>
        <v>0</v>
      </c>
      <c r="L234" s="7">
        <f>SUMIFS('Leave Management'!$L:$L,'Leave Management'!$C:$C,Detail!$A234,'Leave Management'!$B:$B,Detail!L$1)</f>
        <v>0</v>
      </c>
      <c r="M234" s="7">
        <f>SUMIFS('Leave Management'!$L:$L,'Leave Management'!$C:$C,Detail!$A234,'Leave Management'!$B:$B,Detail!M$1)</f>
        <v>0</v>
      </c>
      <c r="N234" s="7">
        <f>SUMIFS('Leave Management'!$L:$L,'Leave Management'!$C:$C,Detail!$A234,'Leave Management'!$B:$B,Detail!N$1)</f>
        <v>0</v>
      </c>
      <c r="O234" s="7">
        <f t="shared" si="8"/>
        <v>11</v>
      </c>
    </row>
    <row r="235" spans="1:15" x14ac:dyDescent="0.25">
      <c r="A235" s="24">
        <v>43333</v>
      </c>
      <c r="B235" s="2" t="str">
        <f t="shared" si="7"/>
        <v>Tue</v>
      </c>
      <c r="C235" s="7">
        <f>SUMIFS('Leave Management'!$L:$L,'Leave Management'!$C:$C,Detail!$A235,'Leave Management'!$B:$B,Detail!C$1)</f>
        <v>0</v>
      </c>
      <c r="D235" s="7">
        <f>SUMIFS('Leave Management'!$L:$L,'Leave Management'!$C:$C,Detail!$A235,'Leave Management'!$B:$B,Detail!D$1)</f>
        <v>0</v>
      </c>
      <c r="E235" s="7">
        <f>SUMIFS('Leave Management'!$L:$L,'Leave Management'!$C:$C,Detail!$A235,'Leave Management'!$B:$B,Detail!E$1)</f>
        <v>0</v>
      </c>
      <c r="F235" s="7">
        <f>SUMIFS('Leave Management'!$L:$L,'Leave Management'!$C:$C,Detail!$A235,'Leave Management'!$B:$B,Detail!F$1)</f>
        <v>1</v>
      </c>
      <c r="G235" s="7">
        <f>SUMIFS('Leave Management'!$L:$L,'Leave Management'!$C:$C,Detail!$A235,'Leave Management'!$B:$B,Detail!G$1)</f>
        <v>0</v>
      </c>
      <c r="H235" s="7">
        <f>SUMIFS('Leave Management'!$L:$L,'Leave Management'!$C:$C,Detail!$A235,'Leave Management'!$B:$B,Detail!H$1)</f>
        <v>0</v>
      </c>
      <c r="I235" s="7">
        <f>SUMIFS('Leave Management'!$L:$L,'Leave Management'!$C:$C,Detail!$A235,'Leave Management'!$B:$B,Detail!I$1)</f>
        <v>0</v>
      </c>
      <c r="J235" s="7">
        <f>SUMIFS('Leave Management'!$L:$L,'Leave Management'!$C:$C,Detail!$A235,'Leave Management'!$B:$B,Detail!J$1)</f>
        <v>0</v>
      </c>
      <c r="K235" s="7">
        <f>SUMIFS('Leave Management'!$L:$L,'Leave Management'!$C:$C,Detail!$A235,'Leave Management'!$B:$B,Detail!K$1)</f>
        <v>0</v>
      </c>
      <c r="L235" s="7">
        <f>SUMIFS('Leave Management'!$L:$L,'Leave Management'!$C:$C,Detail!$A235,'Leave Management'!$B:$B,Detail!L$1)</f>
        <v>0</v>
      </c>
      <c r="M235" s="7">
        <f>SUMIFS('Leave Management'!$L:$L,'Leave Management'!$C:$C,Detail!$A235,'Leave Management'!$B:$B,Detail!M$1)</f>
        <v>0</v>
      </c>
      <c r="N235" s="7">
        <f>SUMIFS('Leave Management'!$L:$L,'Leave Management'!$C:$C,Detail!$A235,'Leave Management'!$B:$B,Detail!N$1)</f>
        <v>0</v>
      </c>
      <c r="O235" s="7">
        <f t="shared" si="8"/>
        <v>11</v>
      </c>
    </row>
    <row r="236" spans="1:15" x14ac:dyDescent="0.25">
      <c r="A236" s="24">
        <v>43334</v>
      </c>
      <c r="B236" s="2" t="str">
        <f t="shared" si="7"/>
        <v>Wed</v>
      </c>
      <c r="C236" s="7">
        <f>SUMIFS('Leave Management'!$L:$L,'Leave Management'!$C:$C,Detail!$A236,'Leave Management'!$B:$B,Detail!C$1)</f>
        <v>1</v>
      </c>
      <c r="D236" s="7">
        <f>SUMIFS('Leave Management'!$L:$L,'Leave Management'!$C:$C,Detail!$A236,'Leave Management'!$B:$B,Detail!D$1)</f>
        <v>0</v>
      </c>
      <c r="E236" s="7">
        <f>SUMIFS('Leave Management'!$L:$L,'Leave Management'!$C:$C,Detail!$A236,'Leave Management'!$B:$B,Detail!E$1)</f>
        <v>0</v>
      </c>
      <c r="F236" s="7">
        <f>SUMIFS('Leave Management'!$L:$L,'Leave Management'!$C:$C,Detail!$A236,'Leave Management'!$B:$B,Detail!F$1)</f>
        <v>0</v>
      </c>
      <c r="G236" s="7">
        <f>SUMIFS('Leave Management'!$L:$L,'Leave Management'!$C:$C,Detail!$A236,'Leave Management'!$B:$B,Detail!G$1)</f>
        <v>0</v>
      </c>
      <c r="H236" s="7">
        <f>SUMIFS('Leave Management'!$L:$L,'Leave Management'!$C:$C,Detail!$A236,'Leave Management'!$B:$B,Detail!H$1)</f>
        <v>0</v>
      </c>
      <c r="I236" s="7">
        <f>SUMIFS('Leave Management'!$L:$L,'Leave Management'!$C:$C,Detail!$A236,'Leave Management'!$B:$B,Detail!I$1)</f>
        <v>0</v>
      </c>
      <c r="J236" s="7">
        <f>SUMIFS('Leave Management'!$L:$L,'Leave Management'!$C:$C,Detail!$A236,'Leave Management'!$B:$B,Detail!J$1)</f>
        <v>0</v>
      </c>
      <c r="K236" s="7">
        <f>SUMIFS('Leave Management'!$L:$L,'Leave Management'!$C:$C,Detail!$A236,'Leave Management'!$B:$B,Detail!K$1)</f>
        <v>0</v>
      </c>
      <c r="L236" s="7">
        <f>SUMIFS('Leave Management'!$L:$L,'Leave Management'!$C:$C,Detail!$A236,'Leave Management'!$B:$B,Detail!L$1)</f>
        <v>0</v>
      </c>
      <c r="M236" s="7">
        <f>SUMIFS('Leave Management'!$L:$L,'Leave Management'!$C:$C,Detail!$A236,'Leave Management'!$B:$B,Detail!M$1)</f>
        <v>0</v>
      </c>
      <c r="N236" s="7">
        <f>SUMIFS('Leave Management'!$L:$L,'Leave Management'!$C:$C,Detail!$A236,'Leave Management'!$B:$B,Detail!N$1)</f>
        <v>0</v>
      </c>
      <c r="O236" s="7">
        <f t="shared" si="8"/>
        <v>11</v>
      </c>
    </row>
    <row r="237" spans="1:15" x14ac:dyDescent="0.25">
      <c r="A237" s="24">
        <v>43335</v>
      </c>
      <c r="B237" s="2" t="str">
        <f t="shared" si="7"/>
        <v>Thu</v>
      </c>
      <c r="C237" s="7">
        <f>SUMIFS('Leave Management'!$L:$L,'Leave Management'!$C:$C,Detail!$A237,'Leave Management'!$B:$B,Detail!C$1)</f>
        <v>0</v>
      </c>
      <c r="D237" s="7">
        <f>SUMIFS('Leave Management'!$L:$L,'Leave Management'!$C:$C,Detail!$A237,'Leave Management'!$B:$B,Detail!D$1)</f>
        <v>1</v>
      </c>
      <c r="E237" s="7">
        <f>SUMIFS('Leave Management'!$L:$L,'Leave Management'!$C:$C,Detail!$A237,'Leave Management'!$B:$B,Detail!E$1)</f>
        <v>0</v>
      </c>
      <c r="F237" s="7">
        <f>SUMIFS('Leave Management'!$L:$L,'Leave Management'!$C:$C,Detail!$A237,'Leave Management'!$B:$B,Detail!F$1)</f>
        <v>0</v>
      </c>
      <c r="G237" s="7">
        <f>SUMIFS('Leave Management'!$L:$L,'Leave Management'!$C:$C,Detail!$A237,'Leave Management'!$B:$B,Detail!G$1)</f>
        <v>0</v>
      </c>
      <c r="H237" s="7">
        <f>SUMIFS('Leave Management'!$L:$L,'Leave Management'!$C:$C,Detail!$A237,'Leave Management'!$B:$B,Detail!H$1)</f>
        <v>0</v>
      </c>
      <c r="I237" s="7">
        <f>SUMIFS('Leave Management'!$L:$L,'Leave Management'!$C:$C,Detail!$A237,'Leave Management'!$B:$B,Detail!I$1)</f>
        <v>0</v>
      </c>
      <c r="J237" s="7">
        <f>SUMIFS('Leave Management'!$L:$L,'Leave Management'!$C:$C,Detail!$A237,'Leave Management'!$B:$B,Detail!J$1)</f>
        <v>0</v>
      </c>
      <c r="K237" s="7">
        <f>SUMIFS('Leave Management'!$L:$L,'Leave Management'!$C:$C,Detail!$A237,'Leave Management'!$B:$B,Detail!K$1)</f>
        <v>0</v>
      </c>
      <c r="L237" s="7">
        <f>SUMIFS('Leave Management'!$L:$L,'Leave Management'!$C:$C,Detail!$A237,'Leave Management'!$B:$B,Detail!L$1)</f>
        <v>0</v>
      </c>
      <c r="M237" s="7">
        <f>SUMIFS('Leave Management'!$L:$L,'Leave Management'!$C:$C,Detail!$A237,'Leave Management'!$B:$B,Detail!M$1)</f>
        <v>0</v>
      </c>
      <c r="N237" s="7">
        <f>SUMIFS('Leave Management'!$L:$L,'Leave Management'!$C:$C,Detail!$A237,'Leave Management'!$B:$B,Detail!N$1)</f>
        <v>0</v>
      </c>
      <c r="O237" s="7">
        <f t="shared" si="8"/>
        <v>11</v>
      </c>
    </row>
    <row r="238" spans="1:15" x14ac:dyDescent="0.25">
      <c r="A238" s="24">
        <v>43336</v>
      </c>
      <c r="B238" s="2" t="str">
        <f t="shared" si="7"/>
        <v>Fri</v>
      </c>
      <c r="C238" s="7">
        <f>SUMIFS('Leave Management'!$L:$L,'Leave Management'!$C:$C,Detail!$A238,'Leave Management'!$B:$B,Detail!C$1)</f>
        <v>0</v>
      </c>
      <c r="D238" s="7">
        <f>SUMIFS('Leave Management'!$L:$L,'Leave Management'!$C:$C,Detail!$A238,'Leave Management'!$B:$B,Detail!D$1)</f>
        <v>1</v>
      </c>
      <c r="E238" s="7">
        <f>SUMIFS('Leave Management'!$L:$L,'Leave Management'!$C:$C,Detail!$A238,'Leave Management'!$B:$B,Detail!E$1)</f>
        <v>0</v>
      </c>
      <c r="F238" s="7">
        <f>SUMIFS('Leave Management'!$L:$L,'Leave Management'!$C:$C,Detail!$A238,'Leave Management'!$B:$B,Detail!F$1)</f>
        <v>0</v>
      </c>
      <c r="G238" s="7">
        <f>SUMIFS('Leave Management'!$L:$L,'Leave Management'!$C:$C,Detail!$A238,'Leave Management'!$B:$B,Detail!G$1)</f>
        <v>0</v>
      </c>
      <c r="H238" s="7">
        <f>SUMIFS('Leave Management'!$L:$L,'Leave Management'!$C:$C,Detail!$A238,'Leave Management'!$B:$B,Detail!H$1)</f>
        <v>0</v>
      </c>
      <c r="I238" s="7">
        <f>SUMIFS('Leave Management'!$L:$L,'Leave Management'!$C:$C,Detail!$A238,'Leave Management'!$B:$B,Detail!I$1)</f>
        <v>0</v>
      </c>
      <c r="J238" s="7">
        <f>SUMIFS('Leave Management'!$L:$L,'Leave Management'!$C:$C,Detail!$A238,'Leave Management'!$B:$B,Detail!J$1)</f>
        <v>0</v>
      </c>
      <c r="K238" s="7">
        <f>SUMIFS('Leave Management'!$L:$L,'Leave Management'!$C:$C,Detail!$A238,'Leave Management'!$B:$B,Detail!K$1)</f>
        <v>0</v>
      </c>
      <c r="L238" s="7">
        <f>SUMIFS('Leave Management'!$L:$L,'Leave Management'!$C:$C,Detail!$A238,'Leave Management'!$B:$B,Detail!L$1)</f>
        <v>0</v>
      </c>
      <c r="M238" s="7">
        <f>SUMIFS('Leave Management'!$L:$L,'Leave Management'!$C:$C,Detail!$A238,'Leave Management'!$B:$B,Detail!M$1)</f>
        <v>0</v>
      </c>
      <c r="N238" s="7">
        <f>SUMIFS('Leave Management'!$L:$L,'Leave Management'!$C:$C,Detail!$A238,'Leave Management'!$B:$B,Detail!N$1)</f>
        <v>0</v>
      </c>
      <c r="O238" s="7">
        <f t="shared" si="8"/>
        <v>11</v>
      </c>
    </row>
    <row r="239" spans="1:15" x14ac:dyDescent="0.25">
      <c r="A239" s="24">
        <v>43337</v>
      </c>
      <c r="B239" s="2" t="str">
        <f t="shared" si="7"/>
        <v>Sat</v>
      </c>
      <c r="C239" s="7">
        <f>SUMIFS('Leave Management'!$L:$L,'Leave Management'!$C:$C,Detail!$A239,'Leave Management'!$B:$B,Detail!C$1)</f>
        <v>0</v>
      </c>
      <c r="D239" s="7">
        <f>SUMIFS('Leave Management'!$L:$L,'Leave Management'!$C:$C,Detail!$A239,'Leave Management'!$B:$B,Detail!D$1)</f>
        <v>0</v>
      </c>
      <c r="E239" s="7">
        <f>SUMIFS('Leave Management'!$L:$L,'Leave Management'!$C:$C,Detail!$A239,'Leave Management'!$B:$B,Detail!E$1)</f>
        <v>0</v>
      </c>
      <c r="F239" s="7">
        <f>SUMIFS('Leave Management'!$L:$L,'Leave Management'!$C:$C,Detail!$A239,'Leave Management'!$B:$B,Detail!F$1)</f>
        <v>0</v>
      </c>
      <c r="G239" s="7">
        <f>SUMIFS('Leave Management'!$L:$L,'Leave Management'!$C:$C,Detail!$A239,'Leave Management'!$B:$B,Detail!G$1)</f>
        <v>0</v>
      </c>
      <c r="H239" s="7">
        <f>SUMIFS('Leave Management'!$L:$L,'Leave Management'!$C:$C,Detail!$A239,'Leave Management'!$B:$B,Detail!H$1)</f>
        <v>0</v>
      </c>
      <c r="I239" s="7">
        <f>SUMIFS('Leave Management'!$L:$L,'Leave Management'!$C:$C,Detail!$A239,'Leave Management'!$B:$B,Detail!I$1)</f>
        <v>0</v>
      </c>
      <c r="J239" s="7">
        <f>SUMIFS('Leave Management'!$L:$L,'Leave Management'!$C:$C,Detail!$A239,'Leave Management'!$B:$B,Detail!J$1)</f>
        <v>0</v>
      </c>
      <c r="K239" s="7">
        <f>SUMIFS('Leave Management'!$L:$L,'Leave Management'!$C:$C,Detail!$A239,'Leave Management'!$B:$B,Detail!K$1)</f>
        <v>0</v>
      </c>
      <c r="L239" s="7">
        <f>SUMIFS('Leave Management'!$L:$L,'Leave Management'!$C:$C,Detail!$A239,'Leave Management'!$B:$B,Detail!L$1)</f>
        <v>0</v>
      </c>
      <c r="M239" s="7">
        <f>SUMIFS('Leave Management'!$L:$L,'Leave Management'!$C:$C,Detail!$A239,'Leave Management'!$B:$B,Detail!M$1)</f>
        <v>0</v>
      </c>
      <c r="N239" s="7">
        <f>SUMIFS('Leave Management'!$L:$L,'Leave Management'!$C:$C,Detail!$A239,'Leave Management'!$B:$B,Detail!N$1)</f>
        <v>0</v>
      </c>
      <c r="O239" s="7">
        <f t="shared" si="8"/>
        <v>12</v>
      </c>
    </row>
    <row r="240" spans="1:15" x14ac:dyDescent="0.25">
      <c r="A240" s="24">
        <v>43338</v>
      </c>
      <c r="B240" s="2" t="str">
        <f t="shared" si="7"/>
        <v>Sun</v>
      </c>
      <c r="C240" s="7">
        <f>SUMIFS('Leave Management'!$L:$L,'Leave Management'!$C:$C,Detail!$A240,'Leave Management'!$B:$B,Detail!C$1)</f>
        <v>0</v>
      </c>
      <c r="D240" s="7">
        <f>SUMIFS('Leave Management'!$L:$L,'Leave Management'!$C:$C,Detail!$A240,'Leave Management'!$B:$B,Detail!D$1)</f>
        <v>0</v>
      </c>
      <c r="E240" s="7">
        <f>SUMIFS('Leave Management'!$L:$L,'Leave Management'!$C:$C,Detail!$A240,'Leave Management'!$B:$B,Detail!E$1)</f>
        <v>0</v>
      </c>
      <c r="F240" s="7">
        <f>SUMIFS('Leave Management'!$L:$L,'Leave Management'!$C:$C,Detail!$A240,'Leave Management'!$B:$B,Detail!F$1)</f>
        <v>0</v>
      </c>
      <c r="G240" s="7">
        <f>SUMIFS('Leave Management'!$L:$L,'Leave Management'!$C:$C,Detail!$A240,'Leave Management'!$B:$B,Detail!G$1)</f>
        <v>0</v>
      </c>
      <c r="H240" s="7">
        <f>SUMIFS('Leave Management'!$L:$L,'Leave Management'!$C:$C,Detail!$A240,'Leave Management'!$B:$B,Detail!H$1)</f>
        <v>0</v>
      </c>
      <c r="I240" s="7">
        <f>SUMIFS('Leave Management'!$L:$L,'Leave Management'!$C:$C,Detail!$A240,'Leave Management'!$B:$B,Detail!I$1)</f>
        <v>0</v>
      </c>
      <c r="J240" s="7">
        <f>SUMIFS('Leave Management'!$L:$L,'Leave Management'!$C:$C,Detail!$A240,'Leave Management'!$B:$B,Detail!J$1)</f>
        <v>0</v>
      </c>
      <c r="K240" s="7">
        <f>SUMIFS('Leave Management'!$L:$L,'Leave Management'!$C:$C,Detail!$A240,'Leave Management'!$B:$B,Detail!K$1)</f>
        <v>0</v>
      </c>
      <c r="L240" s="7">
        <f>SUMIFS('Leave Management'!$L:$L,'Leave Management'!$C:$C,Detail!$A240,'Leave Management'!$B:$B,Detail!L$1)</f>
        <v>0</v>
      </c>
      <c r="M240" s="7">
        <f>SUMIFS('Leave Management'!$L:$L,'Leave Management'!$C:$C,Detail!$A240,'Leave Management'!$B:$B,Detail!M$1)</f>
        <v>0</v>
      </c>
      <c r="N240" s="7">
        <f>SUMIFS('Leave Management'!$L:$L,'Leave Management'!$C:$C,Detail!$A240,'Leave Management'!$B:$B,Detail!N$1)</f>
        <v>0</v>
      </c>
      <c r="O240" s="7">
        <f t="shared" si="8"/>
        <v>12</v>
      </c>
    </row>
    <row r="241" spans="1:15" x14ac:dyDescent="0.25">
      <c r="A241" s="24">
        <v>43339</v>
      </c>
      <c r="B241" s="2" t="str">
        <f t="shared" si="7"/>
        <v>Mon</v>
      </c>
      <c r="C241" s="7">
        <f>SUMIFS('Leave Management'!$L:$L,'Leave Management'!$C:$C,Detail!$A241,'Leave Management'!$B:$B,Detail!C$1)</f>
        <v>0</v>
      </c>
      <c r="D241" s="7">
        <f>SUMIFS('Leave Management'!$L:$L,'Leave Management'!$C:$C,Detail!$A241,'Leave Management'!$B:$B,Detail!D$1)</f>
        <v>0</v>
      </c>
      <c r="E241" s="7">
        <f>SUMIFS('Leave Management'!$L:$L,'Leave Management'!$C:$C,Detail!$A241,'Leave Management'!$B:$B,Detail!E$1)</f>
        <v>0</v>
      </c>
      <c r="F241" s="7">
        <f>SUMIFS('Leave Management'!$L:$L,'Leave Management'!$C:$C,Detail!$A241,'Leave Management'!$B:$B,Detail!F$1)</f>
        <v>0</v>
      </c>
      <c r="G241" s="7">
        <f>SUMIFS('Leave Management'!$L:$L,'Leave Management'!$C:$C,Detail!$A241,'Leave Management'!$B:$B,Detail!G$1)</f>
        <v>0</v>
      </c>
      <c r="H241" s="7">
        <f>SUMIFS('Leave Management'!$L:$L,'Leave Management'!$C:$C,Detail!$A241,'Leave Management'!$B:$B,Detail!H$1)</f>
        <v>0</v>
      </c>
      <c r="I241" s="7">
        <f>SUMIFS('Leave Management'!$L:$L,'Leave Management'!$C:$C,Detail!$A241,'Leave Management'!$B:$B,Detail!I$1)</f>
        <v>0</v>
      </c>
      <c r="J241" s="7">
        <f>SUMIFS('Leave Management'!$L:$L,'Leave Management'!$C:$C,Detail!$A241,'Leave Management'!$B:$B,Detail!J$1)</f>
        <v>0</v>
      </c>
      <c r="K241" s="7">
        <f>SUMIFS('Leave Management'!$L:$L,'Leave Management'!$C:$C,Detail!$A241,'Leave Management'!$B:$B,Detail!K$1)</f>
        <v>0</v>
      </c>
      <c r="L241" s="7">
        <f>SUMIFS('Leave Management'!$L:$L,'Leave Management'!$C:$C,Detail!$A241,'Leave Management'!$B:$B,Detail!L$1)</f>
        <v>0</v>
      </c>
      <c r="M241" s="7">
        <f>SUMIFS('Leave Management'!$L:$L,'Leave Management'!$C:$C,Detail!$A241,'Leave Management'!$B:$B,Detail!M$1)</f>
        <v>0</v>
      </c>
      <c r="N241" s="7">
        <f>SUMIFS('Leave Management'!$L:$L,'Leave Management'!$C:$C,Detail!$A241,'Leave Management'!$B:$B,Detail!N$1)</f>
        <v>0</v>
      </c>
      <c r="O241" s="7">
        <f t="shared" si="8"/>
        <v>12</v>
      </c>
    </row>
    <row r="242" spans="1:15" x14ac:dyDescent="0.25">
      <c r="A242" s="24">
        <v>43340</v>
      </c>
      <c r="B242" s="2" t="str">
        <f t="shared" si="7"/>
        <v>Tue</v>
      </c>
      <c r="C242" s="7">
        <f>SUMIFS('Leave Management'!$L:$L,'Leave Management'!$C:$C,Detail!$A242,'Leave Management'!$B:$B,Detail!C$1)</f>
        <v>0</v>
      </c>
      <c r="D242" s="7">
        <f>SUMIFS('Leave Management'!$L:$L,'Leave Management'!$C:$C,Detail!$A242,'Leave Management'!$B:$B,Detail!D$1)</f>
        <v>0</v>
      </c>
      <c r="E242" s="7">
        <f>SUMIFS('Leave Management'!$L:$L,'Leave Management'!$C:$C,Detail!$A242,'Leave Management'!$B:$B,Detail!E$1)</f>
        <v>0</v>
      </c>
      <c r="F242" s="7">
        <f>SUMIFS('Leave Management'!$L:$L,'Leave Management'!$C:$C,Detail!$A242,'Leave Management'!$B:$B,Detail!F$1)</f>
        <v>0</v>
      </c>
      <c r="G242" s="7">
        <f>SUMIFS('Leave Management'!$L:$L,'Leave Management'!$C:$C,Detail!$A242,'Leave Management'!$B:$B,Detail!G$1)</f>
        <v>0</v>
      </c>
      <c r="H242" s="7">
        <f>SUMIFS('Leave Management'!$L:$L,'Leave Management'!$C:$C,Detail!$A242,'Leave Management'!$B:$B,Detail!H$1)</f>
        <v>0</v>
      </c>
      <c r="I242" s="7">
        <f>SUMIFS('Leave Management'!$L:$L,'Leave Management'!$C:$C,Detail!$A242,'Leave Management'!$B:$B,Detail!I$1)</f>
        <v>0</v>
      </c>
      <c r="J242" s="7">
        <f>SUMIFS('Leave Management'!$L:$L,'Leave Management'!$C:$C,Detail!$A242,'Leave Management'!$B:$B,Detail!J$1)</f>
        <v>0</v>
      </c>
      <c r="K242" s="7">
        <f>SUMIFS('Leave Management'!$L:$L,'Leave Management'!$C:$C,Detail!$A242,'Leave Management'!$B:$B,Detail!K$1)</f>
        <v>0</v>
      </c>
      <c r="L242" s="7">
        <f>SUMIFS('Leave Management'!$L:$L,'Leave Management'!$C:$C,Detail!$A242,'Leave Management'!$B:$B,Detail!L$1)</f>
        <v>0</v>
      </c>
      <c r="M242" s="7">
        <f>SUMIFS('Leave Management'!$L:$L,'Leave Management'!$C:$C,Detail!$A242,'Leave Management'!$B:$B,Detail!M$1)</f>
        <v>0</v>
      </c>
      <c r="N242" s="7">
        <f>SUMIFS('Leave Management'!$L:$L,'Leave Management'!$C:$C,Detail!$A242,'Leave Management'!$B:$B,Detail!N$1)</f>
        <v>0</v>
      </c>
      <c r="O242" s="7">
        <f t="shared" si="8"/>
        <v>12</v>
      </c>
    </row>
    <row r="243" spans="1:15" x14ac:dyDescent="0.25">
      <c r="A243" s="24">
        <v>43341</v>
      </c>
      <c r="B243" s="2" t="str">
        <f t="shared" si="7"/>
        <v>Wed</v>
      </c>
      <c r="C243" s="7">
        <f>SUMIFS('Leave Management'!$L:$L,'Leave Management'!$C:$C,Detail!$A243,'Leave Management'!$B:$B,Detail!C$1)</f>
        <v>0</v>
      </c>
      <c r="D243" s="7">
        <f>SUMIFS('Leave Management'!$L:$L,'Leave Management'!$C:$C,Detail!$A243,'Leave Management'!$B:$B,Detail!D$1)</f>
        <v>0</v>
      </c>
      <c r="E243" s="7">
        <f>SUMIFS('Leave Management'!$L:$L,'Leave Management'!$C:$C,Detail!$A243,'Leave Management'!$B:$B,Detail!E$1)</f>
        <v>0</v>
      </c>
      <c r="F243" s="7">
        <f>SUMIFS('Leave Management'!$L:$L,'Leave Management'!$C:$C,Detail!$A243,'Leave Management'!$B:$B,Detail!F$1)</f>
        <v>0</v>
      </c>
      <c r="G243" s="7">
        <f>SUMIFS('Leave Management'!$L:$L,'Leave Management'!$C:$C,Detail!$A243,'Leave Management'!$B:$B,Detail!G$1)</f>
        <v>0</v>
      </c>
      <c r="H243" s="7">
        <f>SUMIFS('Leave Management'!$L:$L,'Leave Management'!$C:$C,Detail!$A243,'Leave Management'!$B:$B,Detail!H$1)</f>
        <v>0</v>
      </c>
      <c r="I243" s="7">
        <f>SUMIFS('Leave Management'!$L:$L,'Leave Management'!$C:$C,Detail!$A243,'Leave Management'!$B:$B,Detail!I$1)</f>
        <v>0</v>
      </c>
      <c r="J243" s="7">
        <f>SUMIFS('Leave Management'!$L:$L,'Leave Management'!$C:$C,Detail!$A243,'Leave Management'!$B:$B,Detail!J$1)</f>
        <v>0</v>
      </c>
      <c r="K243" s="7">
        <f>SUMIFS('Leave Management'!$L:$L,'Leave Management'!$C:$C,Detail!$A243,'Leave Management'!$B:$B,Detail!K$1)</f>
        <v>0</v>
      </c>
      <c r="L243" s="7">
        <f>SUMIFS('Leave Management'!$L:$L,'Leave Management'!$C:$C,Detail!$A243,'Leave Management'!$B:$B,Detail!L$1)</f>
        <v>0</v>
      </c>
      <c r="M243" s="7">
        <f>SUMIFS('Leave Management'!$L:$L,'Leave Management'!$C:$C,Detail!$A243,'Leave Management'!$B:$B,Detail!M$1)</f>
        <v>0</v>
      </c>
      <c r="N243" s="7">
        <f>SUMIFS('Leave Management'!$L:$L,'Leave Management'!$C:$C,Detail!$A243,'Leave Management'!$B:$B,Detail!N$1)</f>
        <v>0</v>
      </c>
      <c r="O243" s="7">
        <f t="shared" si="8"/>
        <v>12</v>
      </c>
    </row>
    <row r="244" spans="1:15" x14ac:dyDescent="0.25">
      <c r="A244" s="24">
        <v>43342</v>
      </c>
      <c r="B244" s="2" t="str">
        <f t="shared" si="7"/>
        <v>Thu</v>
      </c>
      <c r="C244" s="7">
        <f>SUMIFS('Leave Management'!$L:$L,'Leave Management'!$C:$C,Detail!$A244,'Leave Management'!$B:$B,Detail!C$1)</f>
        <v>0</v>
      </c>
      <c r="D244" s="7">
        <f>SUMIFS('Leave Management'!$L:$L,'Leave Management'!$C:$C,Detail!$A244,'Leave Management'!$B:$B,Detail!D$1)</f>
        <v>0</v>
      </c>
      <c r="E244" s="7">
        <f>SUMIFS('Leave Management'!$L:$L,'Leave Management'!$C:$C,Detail!$A244,'Leave Management'!$B:$B,Detail!E$1)</f>
        <v>0</v>
      </c>
      <c r="F244" s="7">
        <f>SUMIFS('Leave Management'!$L:$L,'Leave Management'!$C:$C,Detail!$A244,'Leave Management'!$B:$B,Detail!F$1)</f>
        <v>0</v>
      </c>
      <c r="G244" s="7">
        <f>SUMIFS('Leave Management'!$L:$L,'Leave Management'!$C:$C,Detail!$A244,'Leave Management'!$B:$B,Detail!G$1)</f>
        <v>0</v>
      </c>
      <c r="H244" s="7">
        <f>SUMIFS('Leave Management'!$L:$L,'Leave Management'!$C:$C,Detail!$A244,'Leave Management'!$B:$B,Detail!H$1)</f>
        <v>0</v>
      </c>
      <c r="I244" s="7">
        <f>SUMIFS('Leave Management'!$L:$L,'Leave Management'!$C:$C,Detail!$A244,'Leave Management'!$B:$B,Detail!I$1)</f>
        <v>0</v>
      </c>
      <c r="J244" s="7">
        <f>SUMIFS('Leave Management'!$L:$L,'Leave Management'!$C:$C,Detail!$A244,'Leave Management'!$B:$B,Detail!J$1)</f>
        <v>0</v>
      </c>
      <c r="K244" s="7">
        <f>SUMIFS('Leave Management'!$L:$L,'Leave Management'!$C:$C,Detail!$A244,'Leave Management'!$B:$B,Detail!K$1)</f>
        <v>0</v>
      </c>
      <c r="L244" s="7">
        <f>SUMIFS('Leave Management'!$L:$L,'Leave Management'!$C:$C,Detail!$A244,'Leave Management'!$B:$B,Detail!L$1)</f>
        <v>0</v>
      </c>
      <c r="M244" s="7">
        <f>SUMIFS('Leave Management'!$L:$L,'Leave Management'!$C:$C,Detail!$A244,'Leave Management'!$B:$B,Detail!M$1)</f>
        <v>0</v>
      </c>
      <c r="N244" s="7">
        <f>SUMIFS('Leave Management'!$L:$L,'Leave Management'!$C:$C,Detail!$A244,'Leave Management'!$B:$B,Detail!N$1)</f>
        <v>0</v>
      </c>
      <c r="O244" s="7">
        <f t="shared" si="8"/>
        <v>12</v>
      </c>
    </row>
    <row r="245" spans="1:15" x14ac:dyDescent="0.25">
      <c r="A245" s="24">
        <v>43343</v>
      </c>
      <c r="B245" s="2" t="str">
        <f t="shared" si="7"/>
        <v>Fri</v>
      </c>
      <c r="C245" s="7">
        <f>SUMIFS('Leave Management'!$L:$L,'Leave Management'!$C:$C,Detail!$A245,'Leave Management'!$B:$B,Detail!C$1)</f>
        <v>0</v>
      </c>
      <c r="D245" s="7">
        <f>SUMIFS('Leave Management'!$L:$L,'Leave Management'!$C:$C,Detail!$A245,'Leave Management'!$B:$B,Detail!D$1)</f>
        <v>0</v>
      </c>
      <c r="E245" s="7">
        <f>SUMIFS('Leave Management'!$L:$L,'Leave Management'!$C:$C,Detail!$A245,'Leave Management'!$B:$B,Detail!E$1)</f>
        <v>0</v>
      </c>
      <c r="F245" s="7">
        <f>SUMIFS('Leave Management'!$L:$L,'Leave Management'!$C:$C,Detail!$A245,'Leave Management'!$B:$B,Detail!F$1)</f>
        <v>0</v>
      </c>
      <c r="G245" s="7">
        <f>SUMIFS('Leave Management'!$L:$L,'Leave Management'!$C:$C,Detail!$A245,'Leave Management'!$B:$B,Detail!G$1)</f>
        <v>0</v>
      </c>
      <c r="H245" s="7">
        <f>SUMIFS('Leave Management'!$L:$L,'Leave Management'!$C:$C,Detail!$A245,'Leave Management'!$B:$B,Detail!H$1)</f>
        <v>0</v>
      </c>
      <c r="I245" s="7">
        <f>SUMIFS('Leave Management'!$L:$L,'Leave Management'!$C:$C,Detail!$A245,'Leave Management'!$B:$B,Detail!I$1)</f>
        <v>0</v>
      </c>
      <c r="J245" s="7">
        <f>SUMIFS('Leave Management'!$L:$L,'Leave Management'!$C:$C,Detail!$A245,'Leave Management'!$B:$B,Detail!J$1)</f>
        <v>0</v>
      </c>
      <c r="K245" s="7">
        <f>SUMIFS('Leave Management'!$L:$L,'Leave Management'!$C:$C,Detail!$A245,'Leave Management'!$B:$B,Detail!K$1)</f>
        <v>0</v>
      </c>
      <c r="L245" s="7">
        <f>SUMIFS('Leave Management'!$L:$L,'Leave Management'!$C:$C,Detail!$A245,'Leave Management'!$B:$B,Detail!L$1)</f>
        <v>0</v>
      </c>
      <c r="M245" s="7">
        <f>SUMIFS('Leave Management'!$L:$L,'Leave Management'!$C:$C,Detail!$A245,'Leave Management'!$B:$B,Detail!M$1)</f>
        <v>0</v>
      </c>
      <c r="N245" s="7">
        <f>SUMIFS('Leave Management'!$L:$L,'Leave Management'!$C:$C,Detail!$A245,'Leave Management'!$B:$B,Detail!N$1)</f>
        <v>0</v>
      </c>
      <c r="O245" s="7">
        <f t="shared" si="8"/>
        <v>12</v>
      </c>
    </row>
    <row r="246" spans="1:15" x14ac:dyDescent="0.25">
      <c r="A246" s="24">
        <v>43344</v>
      </c>
      <c r="B246" s="2" t="str">
        <f t="shared" si="7"/>
        <v>Sat</v>
      </c>
      <c r="C246" s="7">
        <f>SUMIFS('Leave Management'!$L:$L,'Leave Management'!$C:$C,Detail!$A246,'Leave Management'!$B:$B,Detail!C$1)</f>
        <v>0</v>
      </c>
      <c r="D246" s="7">
        <f>SUMIFS('Leave Management'!$L:$L,'Leave Management'!$C:$C,Detail!$A246,'Leave Management'!$B:$B,Detail!D$1)</f>
        <v>0</v>
      </c>
      <c r="E246" s="7">
        <f>SUMIFS('Leave Management'!$L:$L,'Leave Management'!$C:$C,Detail!$A246,'Leave Management'!$B:$B,Detail!E$1)</f>
        <v>0</v>
      </c>
      <c r="F246" s="7">
        <f>SUMIFS('Leave Management'!$L:$L,'Leave Management'!$C:$C,Detail!$A246,'Leave Management'!$B:$B,Detail!F$1)</f>
        <v>0</v>
      </c>
      <c r="G246" s="7">
        <f>SUMIFS('Leave Management'!$L:$L,'Leave Management'!$C:$C,Detail!$A246,'Leave Management'!$B:$B,Detail!G$1)</f>
        <v>0</v>
      </c>
      <c r="H246" s="7">
        <f>SUMIFS('Leave Management'!$L:$L,'Leave Management'!$C:$C,Detail!$A246,'Leave Management'!$B:$B,Detail!H$1)</f>
        <v>0</v>
      </c>
      <c r="I246" s="7">
        <f>SUMIFS('Leave Management'!$L:$L,'Leave Management'!$C:$C,Detail!$A246,'Leave Management'!$B:$B,Detail!I$1)</f>
        <v>0</v>
      </c>
      <c r="J246" s="7">
        <f>SUMIFS('Leave Management'!$L:$L,'Leave Management'!$C:$C,Detail!$A246,'Leave Management'!$B:$B,Detail!J$1)</f>
        <v>0</v>
      </c>
      <c r="K246" s="7">
        <f>SUMIFS('Leave Management'!$L:$L,'Leave Management'!$C:$C,Detail!$A246,'Leave Management'!$B:$B,Detail!K$1)</f>
        <v>0</v>
      </c>
      <c r="L246" s="7">
        <f>SUMIFS('Leave Management'!$L:$L,'Leave Management'!$C:$C,Detail!$A246,'Leave Management'!$B:$B,Detail!L$1)</f>
        <v>0</v>
      </c>
      <c r="M246" s="7">
        <f>SUMIFS('Leave Management'!$L:$L,'Leave Management'!$C:$C,Detail!$A246,'Leave Management'!$B:$B,Detail!M$1)</f>
        <v>0</v>
      </c>
      <c r="N246" s="7">
        <f>SUMIFS('Leave Management'!$L:$L,'Leave Management'!$C:$C,Detail!$A246,'Leave Management'!$B:$B,Detail!N$1)</f>
        <v>0</v>
      </c>
      <c r="O246" s="7">
        <f t="shared" si="8"/>
        <v>12</v>
      </c>
    </row>
    <row r="247" spans="1:15" x14ac:dyDescent="0.25">
      <c r="A247" s="24">
        <v>43345</v>
      </c>
      <c r="B247" s="2" t="str">
        <f t="shared" si="7"/>
        <v>Sun</v>
      </c>
      <c r="C247" s="7">
        <f>SUMIFS('Leave Management'!$L:$L,'Leave Management'!$C:$C,Detail!$A247,'Leave Management'!$B:$B,Detail!C$1)</f>
        <v>0</v>
      </c>
      <c r="D247" s="7">
        <f>SUMIFS('Leave Management'!$L:$L,'Leave Management'!$C:$C,Detail!$A247,'Leave Management'!$B:$B,Detail!D$1)</f>
        <v>0</v>
      </c>
      <c r="E247" s="7">
        <f>SUMIFS('Leave Management'!$L:$L,'Leave Management'!$C:$C,Detail!$A247,'Leave Management'!$B:$B,Detail!E$1)</f>
        <v>0</v>
      </c>
      <c r="F247" s="7">
        <f>SUMIFS('Leave Management'!$L:$L,'Leave Management'!$C:$C,Detail!$A247,'Leave Management'!$B:$B,Detail!F$1)</f>
        <v>0</v>
      </c>
      <c r="G247" s="7">
        <f>SUMIFS('Leave Management'!$L:$L,'Leave Management'!$C:$C,Detail!$A247,'Leave Management'!$B:$B,Detail!G$1)</f>
        <v>0</v>
      </c>
      <c r="H247" s="7">
        <f>SUMIFS('Leave Management'!$L:$L,'Leave Management'!$C:$C,Detail!$A247,'Leave Management'!$B:$B,Detail!H$1)</f>
        <v>0</v>
      </c>
      <c r="I247" s="7">
        <f>SUMIFS('Leave Management'!$L:$L,'Leave Management'!$C:$C,Detail!$A247,'Leave Management'!$B:$B,Detail!I$1)</f>
        <v>0</v>
      </c>
      <c r="J247" s="7">
        <f>SUMIFS('Leave Management'!$L:$L,'Leave Management'!$C:$C,Detail!$A247,'Leave Management'!$B:$B,Detail!J$1)</f>
        <v>0</v>
      </c>
      <c r="K247" s="7">
        <f>SUMIFS('Leave Management'!$L:$L,'Leave Management'!$C:$C,Detail!$A247,'Leave Management'!$B:$B,Detail!K$1)</f>
        <v>0</v>
      </c>
      <c r="L247" s="7">
        <f>SUMIFS('Leave Management'!$L:$L,'Leave Management'!$C:$C,Detail!$A247,'Leave Management'!$B:$B,Detail!L$1)</f>
        <v>0</v>
      </c>
      <c r="M247" s="7">
        <f>SUMIFS('Leave Management'!$L:$L,'Leave Management'!$C:$C,Detail!$A247,'Leave Management'!$B:$B,Detail!M$1)</f>
        <v>0</v>
      </c>
      <c r="N247" s="7">
        <f>SUMIFS('Leave Management'!$L:$L,'Leave Management'!$C:$C,Detail!$A247,'Leave Management'!$B:$B,Detail!N$1)</f>
        <v>0</v>
      </c>
      <c r="O247" s="7">
        <f t="shared" si="8"/>
        <v>12</v>
      </c>
    </row>
    <row r="248" spans="1:15" x14ac:dyDescent="0.25">
      <c r="A248" s="24">
        <v>43346</v>
      </c>
      <c r="B248" s="2" t="str">
        <f t="shared" si="7"/>
        <v>Mon</v>
      </c>
      <c r="C248" s="7">
        <f>SUMIFS('Leave Management'!$L:$L,'Leave Management'!$C:$C,Detail!$A248,'Leave Management'!$B:$B,Detail!C$1)</f>
        <v>0</v>
      </c>
      <c r="D248" s="7">
        <f>SUMIFS('Leave Management'!$L:$L,'Leave Management'!$C:$C,Detail!$A248,'Leave Management'!$B:$B,Detail!D$1)</f>
        <v>0</v>
      </c>
      <c r="E248" s="7">
        <f>SUMIFS('Leave Management'!$L:$L,'Leave Management'!$C:$C,Detail!$A248,'Leave Management'!$B:$B,Detail!E$1)</f>
        <v>0</v>
      </c>
      <c r="F248" s="7">
        <f>SUMIFS('Leave Management'!$L:$L,'Leave Management'!$C:$C,Detail!$A248,'Leave Management'!$B:$B,Detail!F$1)</f>
        <v>0</v>
      </c>
      <c r="G248" s="7">
        <f>SUMIFS('Leave Management'!$L:$L,'Leave Management'!$C:$C,Detail!$A248,'Leave Management'!$B:$B,Detail!G$1)</f>
        <v>0</v>
      </c>
      <c r="H248" s="7">
        <f>SUMIFS('Leave Management'!$L:$L,'Leave Management'!$C:$C,Detail!$A248,'Leave Management'!$B:$B,Detail!H$1)</f>
        <v>0</v>
      </c>
      <c r="I248" s="7">
        <f>SUMIFS('Leave Management'!$L:$L,'Leave Management'!$C:$C,Detail!$A248,'Leave Management'!$B:$B,Detail!I$1)</f>
        <v>0</v>
      </c>
      <c r="J248" s="7">
        <f>SUMIFS('Leave Management'!$L:$L,'Leave Management'!$C:$C,Detail!$A248,'Leave Management'!$B:$B,Detail!J$1)</f>
        <v>0</v>
      </c>
      <c r="K248" s="7">
        <f>SUMIFS('Leave Management'!$L:$L,'Leave Management'!$C:$C,Detail!$A248,'Leave Management'!$B:$B,Detail!K$1)</f>
        <v>0</v>
      </c>
      <c r="L248" s="7">
        <f>SUMIFS('Leave Management'!$L:$L,'Leave Management'!$C:$C,Detail!$A248,'Leave Management'!$B:$B,Detail!L$1)</f>
        <v>0</v>
      </c>
      <c r="M248" s="7">
        <f>SUMIFS('Leave Management'!$L:$L,'Leave Management'!$C:$C,Detail!$A248,'Leave Management'!$B:$B,Detail!M$1)</f>
        <v>0</v>
      </c>
      <c r="N248" s="7">
        <f>SUMIFS('Leave Management'!$L:$L,'Leave Management'!$C:$C,Detail!$A248,'Leave Management'!$B:$B,Detail!N$1)</f>
        <v>0</v>
      </c>
      <c r="O248" s="7">
        <f t="shared" si="8"/>
        <v>12</v>
      </c>
    </row>
    <row r="249" spans="1:15" x14ac:dyDescent="0.25">
      <c r="A249" s="24">
        <v>43347</v>
      </c>
      <c r="B249" s="2" t="str">
        <f t="shared" si="7"/>
        <v>Tue</v>
      </c>
      <c r="C249" s="7">
        <f>SUMIFS('Leave Management'!$L:$L,'Leave Management'!$C:$C,Detail!$A249,'Leave Management'!$B:$B,Detail!C$1)</f>
        <v>0</v>
      </c>
      <c r="D249" s="7">
        <f>SUMIFS('Leave Management'!$L:$L,'Leave Management'!$C:$C,Detail!$A249,'Leave Management'!$B:$B,Detail!D$1)</f>
        <v>1</v>
      </c>
      <c r="E249" s="7">
        <f>SUMIFS('Leave Management'!$L:$L,'Leave Management'!$C:$C,Detail!$A249,'Leave Management'!$B:$B,Detail!E$1)</f>
        <v>0</v>
      </c>
      <c r="F249" s="7">
        <f>SUMIFS('Leave Management'!$L:$L,'Leave Management'!$C:$C,Detail!$A249,'Leave Management'!$B:$B,Detail!F$1)</f>
        <v>0</v>
      </c>
      <c r="G249" s="7">
        <f>SUMIFS('Leave Management'!$L:$L,'Leave Management'!$C:$C,Detail!$A249,'Leave Management'!$B:$B,Detail!G$1)</f>
        <v>0</v>
      </c>
      <c r="H249" s="7">
        <f>SUMIFS('Leave Management'!$L:$L,'Leave Management'!$C:$C,Detail!$A249,'Leave Management'!$B:$B,Detail!H$1)</f>
        <v>0</v>
      </c>
      <c r="I249" s="7">
        <f>SUMIFS('Leave Management'!$L:$L,'Leave Management'!$C:$C,Detail!$A249,'Leave Management'!$B:$B,Detail!I$1)</f>
        <v>0</v>
      </c>
      <c r="J249" s="7">
        <f>SUMIFS('Leave Management'!$L:$L,'Leave Management'!$C:$C,Detail!$A249,'Leave Management'!$B:$B,Detail!J$1)</f>
        <v>0</v>
      </c>
      <c r="K249" s="7">
        <f>SUMIFS('Leave Management'!$L:$L,'Leave Management'!$C:$C,Detail!$A249,'Leave Management'!$B:$B,Detail!K$1)</f>
        <v>0</v>
      </c>
      <c r="L249" s="7">
        <f>SUMIFS('Leave Management'!$L:$L,'Leave Management'!$C:$C,Detail!$A249,'Leave Management'!$B:$B,Detail!L$1)</f>
        <v>0</v>
      </c>
      <c r="M249" s="7">
        <f>SUMIFS('Leave Management'!$L:$L,'Leave Management'!$C:$C,Detail!$A249,'Leave Management'!$B:$B,Detail!M$1)</f>
        <v>0</v>
      </c>
      <c r="N249" s="7">
        <f>SUMIFS('Leave Management'!$L:$L,'Leave Management'!$C:$C,Detail!$A249,'Leave Management'!$B:$B,Detail!N$1)</f>
        <v>0</v>
      </c>
      <c r="O249" s="7">
        <f t="shared" si="8"/>
        <v>11</v>
      </c>
    </row>
    <row r="250" spans="1:15" x14ac:dyDescent="0.25">
      <c r="A250" s="24">
        <v>43348</v>
      </c>
      <c r="B250" s="2" t="str">
        <f t="shared" si="7"/>
        <v>Wed</v>
      </c>
      <c r="C250" s="7">
        <f>SUMIFS('Leave Management'!$L:$L,'Leave Management'!$C:$C,Detail!$A250,'Leave Management'!$B:$B,Detail!C$1)</f>
        <v>0</v>
      </c>
      <c r="D250" s="7">
        <f>SUMIFS('Leave Management'!$L:$L,'Leave Management'!$C:$C,Detail!$A250,'Leave Management'!$B:$B,Detail!D$1)</f>
        <v>1</v>
      </c>
      <c r="E250" s="7">
        <f>SUMIFS('Leave Management'!$L:$L,'Leave Management'!$C:$C,Detail!$A250,'Leave Management'!$B:$B,Detail!E$1)</f>
        <v>0</v>
      </c>
      <c r="F250" s="7">
        <f>SUMIFS('Leave Management'!$L:$L,'Leave Management'!$C:$C,Detail!$A250,'Leave Management'!$B:$B,Detail!F$1)</f>
        <v>0</v>
      </c>
      <c r="G250" s="7">
        <f>SUMIFS('Leave Management'!$L:$L,'Leave Management'!$C:$C,Detail!$A250,'Leave Management'!$B:$B,Detail!G$1)</f>
        <v>0</v>
      </c>
      <c r="H250" s="7">
        <f>SUMIFS('Leave Management'!$L:$L,'Leave Management'!$C:$C,Detail!$A250,'Leave Management'!$B:$B,Detail!H$1)</f>
        <v>0</v>
      </c>
      <c r="I250" s="7">
        <f>SUMIFS('Leave Management'!$L:$L,'Leave Management'!$C:$C,Detail!$A250,'Leave Management'!$B:$B,Detail!I$1)</f>
        <v>0</v>
      </c>
      <c r="J250" s="7">
        <f>SUMIFS('Leave Management'!$L:$L,'Leave Management'!$C:$C,Detail!$A250,'Leave Management'!$B:$B,Detail!J$1)</f>
        <v>0</v>
      </c>
      <c r="K250" s="7">
        <f>SUMIFS('Leave Management'!$L:$L,'Leave Management'!$C:$C,Detail!$A250,'Leave Management'!$B:$B,Detail!K$1)</f>
        <v>0</v>
      </c>
      <c r="L250" s="7">
        <f>SUMIFS('Leave Management'!$L:$L,'Leave Management'!$C:$C,Detail!$A250,'Leave Management'!$B:$B,Detail!L$1)</f>
        <v>0</v>
      </c>
      <c r="M250" s="7">
        <f>SUMIFS('Leave Management'!$L:$L,'Leave Management'!$C:$C,Detail!$A250,'Leave Management'!$B:$B,Detail!M$1)</f>
        <v>0</v>
      </c>
      <c r="N250" s="7">
        <f>SUMIFS('Leave Management'!$L:$L,'Leave Management'!$C:$C,Detail!$A250,'Leave Management'!$B:$B,Detail!N$1)</f>
        <v>0</v>
      </c>
      <c r="O250" s="7">
        <f t="shared" si="8"/>
        <v>11</v>
      </c>
    </row>
    <row r="251" spans="1:15" x14ac:dyDescent="0.25">
      <c r="A251" s="24">
        <v>43349</v>
      </c>
      <c r="B251" s="2" t="str">
        <f t="shared" si="7"/>
        <v>Thu</v>
      </c>
      <c r="C251" s="7">
        <f>SUMIFS('Leave Management'!$L:$L,'Leave Management'!$C:$C,Detail!$A251,'Leave Management'!$B:$B,Detail!C$1)</f>
        <v>0</v>
      </c>
      <c r="D251" s="7">
        <f>SUMIFS('Leave Management'!$L:$L,'Leave Management'!$C:$C,Detail!$A251,'Leave Management'!$B:$B,Detail!D$1)</f>
        <v>1</v>
      </c>
      <c r="E251" s="7">
        <f>SUMIFS('Leave Management'!$L:$L,'Leave Management'!$C:$C,Detail!$A251,'Leave Management'!$B:$B,Detail!E$1)</f>
        <v>0</v>
      </c>
      <c r="F251" s="7">
        <f>SUMIFS('Leave Management'!$L:$L,'Leave Management'!$C:$C,Detail!$A251,'Leave Management'!$B:$B,Detail!F$1)</f>
        <v>0</v>
      </c>
      <c r="G251" s="7">
        <f>SUMIFS('Leave Management'!$L:$L,'Leave Management'!$C:$C,Detail!$A251,'Leave Management'!$B:$B,Detail!G$1)</f>
        <v>0</v>
      </c>
      <c r="H251" s="7">
        <f>SUMIFS('Leave Management'!$L:$L,'Leave Management'!$C:$C,Detail!$A251,'Leave Management'!$B:$B,Detail!H$1)</f>
        <v>0</v>
      </c>
      <c r="I251" s="7">
        <f>SUMIFS('Leave Management'!$L:$L,'Leave Management'!$C:$C,Detail!$A251,'Leave Management'!$B:$B,Detail!I$1)</f>
        <v>0</v>
      </c>
      <c r="J251" s="7">
        <f>SUMIFS('Leave Management'!$L:$L,'Leave Management'!$C:$C,Detail!$A251,'Leave Management'!$B:$B,Detail!J$1)</f>
        <v>0</v>
      </c>
      <c r="K251" s="7">
        <f>SUMIFS('Leave Management'!$L:$L,'Leave Management'!$C:$C,Detail!$A251,'Leave Management'!$B:$B,Detail!K$1)</f>
        <v>0</v>
      </c>
      <c r="L251" s="7">
        <f>SUMIFS('Leave Management'!$L:$L,'Leave Management'!$C:$C,Detail!$A251,'Leave Management'!$B:$B,Detail!L$1)</f>
        <v>0</v>
      </c>
      <c r="M251" s="7">
        <f>SUMIFS('Leave Management'!$L:$L,'Leave Management'!$C:$C,Detail!$A251,'Leave Management'!$B:$B,Detail!M$1)</f>
        <v>0</v>
      </c>
      <c r="N251" s="7">
        <f>SUMIFS('Leave Management'!$L:$L,'Leave Management'!$C:$C,Detail!$A251,'Leave Management'!$B:$B,Detail!N$1)</f>
        <v>0</v>
      </c>
      <c r="O251" s="7">
        <f t="shared" si="8"/>
        <v>11</v>
      </c>
    </row>
    <row r="252" spans="1:15" x14ac:dyDescent="0.25">
      <c r="A252" s="24">
        <v>43350</v>
      </c>
      <c r="B252" s="2" t="str">
        <f t="shared" si="7"/>
        <v>Fri</v>
      </c>
      <c r="C252" s="7">
        <f>SUMIFS('Leave Management'!$L:$L,'Leave Management'!$C:$C,Detail!$A252,'Leave Management'!$B:$B,Detail!C$1)</f>
        <v>0</v>
      </c>
      <c r="D252" s="7">
        <f>SUMIFS('Leave Management'!$L:$L,'Leave Management'!$C:$C,Detail!$A252,'Leave Management'!$B:$B,Detail!D$1)</f>
        <v>1</v>
      </c>
      <c r="E252" s="7">
        <f>SUMIFS('Leave Management'!$L:$L,'Leave Management'!$C:$C,Detail!$A252,'Leave Management'!$B:$B,Detail!E$1)</f>
        <v>0</v>
      </c>
      <c r="F252" s="7">
        <f>SUMIFS('Leave Management'!$L:$L,'Leave Management'!$C:$C,Detail!$A252,'Leave Management'!$B:$B,Detail!F$1)</f>
        <v>0</v>
      </c>
      <c r="G252" s="7">
        <f>SUMIFS('Leave Management'!$L:$L,'Leave Management'!$C:$C,Detail!$A252,'Leave Management'!$B:$B,Detail!G$1)</f>
        <v>0</v>
      </c>
      <c r="H252" s="7">
        <f>SUMIFS('Leave Management'!$L:$L,'Leave Management'!$C:$C,Detail!$A252,'Leave Management'!$B:$B,Detail!H$1)</f>
        <v>0</v>
      </c>
      <c r="I252" s="7">
        <f>SUMIFS('Leave Management'!$L:$L,'Leave Management'!$C:$C,Detail!$A252,'Leave Management'!$B:$B,Detail!I$1)</f>
        <v>0</v>
      </c>
      <c r="J252" s="7">
        <f>SUMIFS('Leave Management'!$L:$L,'Leave Management'!$C:$C,Detail!$A252,'Leave Management'!$B:$B,Detail!J$1)</f>
        <v>0</v>
      </c>
      <c r="K252" s="7">
        <f>SUMIFS('Leave Management'!$L:$L,'Leave Management'!$C:$C,Detail!$A252,'Leave Management'!$B:$B,Detail!K$1)</f>
        <v>0</v>
      </c>
      <c r="L252" s="7">
        <f>SUMIFS('Leave Management'!$L:$L,'Leave Management'!$C:$C,Detail!$A252,'Leave Management'!$B:$B,Detail!L$1)</f>
        <v>0</v>
      </c>
      <c r="M252" s="7">
        <f>SUMIFS('Leave Management'!$L:$L,'Leave Management'!$C:$C,Detail!$A252,'Leave Management'!$B:$B,Detail!M$1)</f>
        <v>0</v>
      </c>
      <c r="N252" s="7">
        <f>SUMIFS('Leave Management'!$L:$L,'Leave Management'!$C:$C,Detail!$A252,'Leave Management'!$B:$B,Detail!N$1)</f>
        <v>0</v>
      </c>
      <c r="O252" s="7">
        <f t="shared" si="8"/>
        <v>11</v>
      </c>
    </row>
    <row r="253" spans="1:15" x14ac:dyDescent="0.25">
      <c r="A253" s="24">
        <v>43351</v>
      </c>
      <c r="B253" s="2" t="str">
        <f t="shared" si="7"/>
        <v>Sat</v>
      </c>
      <c r="C253" s="7">
        <f>SUMIFS('Leave Management'!$L:$L,'Leave Management'!$C:$C,Detail!$A253,'Leave Management'!$B:$B,Detail!C$1)</f>
        <v>0</v>
      </c>
      <c r="D253" s="7">
        <f>SUMIFS('Leave Management'!$L:$L,'Leave Management'!$C:$C,Detail!$A253,'Leave Management'!$B:$B,Detail!D$1)</f>
        <v>0</v>
      </c>
      <c r="E253" s="7">
        <f>SUMIFS('Leave Management'!$L:$L,'Leave Management'!$C:$C,Detail!$A253,'Leave Management'!$B:$B,Detail!E$1)</f>
        <v>0</v>
      </c>
      <c r="F253" s="7">
        <f>SUMIFS('Leave Management'!$L:$L,'Leave Management'!$C:$C,Detail!$A253,'Leave Management'!$B:$B,Detail!F$1)</f>
        <v>0</v>
      </c>
      <c r="G253" s="7">
        <f>SUMIFS('Leave Management'!$L:$L,'Leave Management'!$C:$C,Detail!$A253,'Leave Management'!$B:$B,Detail!G$1)</f>
        <v>0</v>
      </c>
      <c r="H253" s="7">
        <f>SUMIFS('Leave Management'!$L:$L,'Leave Management'!$C:$C,Detail!$A253,'Leave Management'!$B:$B,Detail!H$1)</f>
        <v>0</v>
      </c>
      <c r="I253" s="7">
        <f>SUMIFS('Leave Management'!$L:$L,'Leave Management'!$C:$C,Detail!$A253,'Leave Management'!$B:$B,Detail!I$1)</f>
        <v>0</v>
      </c>
      <c r="J253" s="7">
        <f>SUMIFS('Leave Management'!$L:$L,'Leave Management'!$C:$C,Detail!$A253,'Leave Management'!$B:$B,Detail!J$1)</f>
        <v>0</v>
      </c>
      <c r="K253" s="7">
        <f>SUMIFS('Leave Management'!$L:$L,'Leave Management'!$C:$C,Detail!$A253,'Leave Management'!$B:$B,Detail!K$1)</f>
        <v>0</v>
      </c>
      <c r="L253" s="7">
        <f>SUMIFS('Leave Management'!$L:$L,'Leave Management'!$C:$C,Detail!$A253,'Leave Management'!$B:$B,Detail!L$1)</f>
        <v>0</v>
      </c>
      <c r="M253" s="7">
        <f>SUMIFS('Leave Management'!$L:$L,'Leave Management'!$C:$C,Detail!$A253,'Leave Management'!$B:$B,Detail!M$1)</f>
        <v>0</v>
      </c>
      <c r="N253" s="7">
        <f>SUMIFS('Leave Management'!$L:$L,'Leave Management'!$C:$C,Detail!$A253,'Leave Management'!$B:$B,Detail!N$1)</f>
        <v>0</v>
      </c>
      <c r="O253" s="7">
        <f t="shared" si="8"/>
        <v>12</v>
      </c>
    </row>
    <row r="254" spans="1:15" x14ac:dyDescent="0.25">
      <c r="A254" s="24">
        <v>43352</v>
      </c>
      <c r="B254" s="2" t="str">
        <f t="shared" si="7"/>
        <v>Sun</v>
      </c>
      <c r="C254" s="7">
        <f>SUMIFS('Leave Management'!$L:$L,'Leave Management'!$C:$C,Detail!$A254,'Leave Management'!$B:$B,Detail!C$1)</f>
        <v>0</v>
      </c>
      <c r="D254" s="7">
        <f>SUMIFS('Leave Management'!$L:$L,'Leave Management'!$C:$C,Detail!$A254,'Leave Management'!$B:$B,Detail!D$1)</f>
        <v>0</v>
      </c>
      <c r="E254" s="7">
        <f>SUMIFS('Leave Management'!$L:$L,'Leave Management'!$C:$C,Detail!$A254,'Leave Management'!$B:$B,Detail!E$1)</f>
        <v>0</v>
      </c>
      <c r="F254" s="7">
        <f>SUMIFS('Leave Management'!$L:$L,'Leave Management'!$C:$C,Detail!$A254,'Leave Management'!$B:$B,Detail!F$1)</f>
        <v>0</v>
      </c>
      <c r="G254" s="7">
        <f>SUMIFS('Leave Management'!$L:$L,'Leave Management'!$C:$C,Detail!$A254,'Leave Management'!$B:$B,Detail!G$1)</f>
        <v>0</v>
      </c>
      <c r="H254" s="7">
        <f>SUMIFS('Leave Management'!$L:$L,'Leave Management'!$C:$C,Detail!$A254,'Leave Management'!$B:$B,Detail!H$1)</f>
        <v>0</v>
      </c>
      <c r="I254" s="7">
        <f>SUMIFS('Leave Management'!$L:$L,'Leave Management'!$C:$C,Detail!$A254,'Leave Management'!$B:$B,Detail!I$1)</f>
        <v>0</v>
      </c>
      <c r="J254" s="7">
        <f>SUMIFS('Leave Management'!$L:$L,'Leave Management'!$C:$C,Detail!$A254,'Leave Management'!$B:$B,Detail!J$1)</f>
        <v>0</v>
      </c>
      <c r="K254" s="7">
        <f>SUMIFS('Leave Management'!$L:$L,'Leave Management'!$C:$C,Detail!$A254,'Leave Management'!$B:$B,Detail!K$1)</f>
        <v>0</v>
      </c>
      <c r="L254" s="7">
        <f>SUMIFS('Leave Management'!$L:$L,'Leave Management'!$C:$C,Detail!$A254,'Leave Management'!$B:$B,Detail!L$1)</f>
        <v>0</v>
      </c>
      <c r="M254" s="7">
        <f>SUMIFS('Leave Management'!$L:$L,'Leave Management'!$C:$C,Detail!$A254,'Leave Management'!$B:$B,Detail!M$1)</f>
        <v>0</v>
      </c>
      <c r="N254" s="7">
        <f>SUMIFS('Leave Management'!$L:$L,'Leave Management'!$C:$C,Detail!$A254,'Leave Management'!$B:$B,Detail!N$1)</f>
        <v>0</v>
      </c>
      <c r="O254" s="7">
        <f t="shared" si="8"/>
        <v>12</v>
      </c>
    </row>
    <row r="255" spans="1:15" x14ac:dyDescent="0.25">
      <c r="A255" s="24">
        <v>43353</v>
      </c>
      <c r="B255" s="2" t="str">
        <f t="shared" si="7"/>
        <v>Mon</v>
      </c>
      <c r="C255" s="7">
        <f>SUMIFS('Leave Management'!$L:$L,'Leave Management'!$C:$C,Detail!$A255,'Leave Management'!$B:$B,Detail!C$1)</f>
        <v>0</v>
      </c>
      <c r="D255" s="7">
        <f>SUMIFS('Leave Management'!$L:$L,'Leave Management'!$C:$C,Detail!$A255,'Leave Management'!$B:$B,Detail!D$1)</f>
        <v>1</v>
      </c>
      <c r="E255" s="7">
        <f>SUMIFS('Leave Management'!$L:$L,'Leave Management'!$C:$C,Detail!$A255,'Leave Management'!$B:$B,Detail!E$1)</f>
        <v>0</v>
      </c>
      <c r="F255" s="7">
        <f>SUMIFS('Leave Management'!$L:$L,'Leave Management'!$C:$C,Detail!$A255,'Leave Management'!$B:$B,Detail!F$1)</f>
        <v>0</v>
      </c>
      <c r="G255" s="7">
        <f>SUMIFS('Leave Management'!$L:$L,'Leave Management'!$C:$C,Detail!$A255,'Leave Management'!$B:$B,Detail!G$1)</f>
        <v>0</v>
      </c>
      <c r="H255" s="7">
        <f>SUMIFS('Leave Management'!$L:$L,'Leave Management'!$C:$C,Detail!$A255,'Leave Management'!$B:$B,Detail!H$1)</f>
        <v>1</v>
      </c>
      <c r="I255" s="7">
        <f>SUMIFS('Leave Management'!$L:$L,'Leave Management'!$C:$C,Detail!$A255,'Leave Management'!$B:$B,Detail!I$1)</f>
        <v>0</v>
      </c>
      <c r="J255" s="7">
        <f>SUMIFS('Leave Management'!$L:$L,'Leave Management'!$C:$C,Detail!$A255,'Leave Management'!$B:$B,Detail!J$1)</f>
        <v>0</v>
      </c>
      <c r="K255" s="7">
        <f>SUMIFS('Leave Management'!$L:$L,'Leave Management'!$C:$C,Detail!$A255,'Leave Management'!$B:$B,Detail!K$1)</f>
        <v>0</v>
      </c>
      <c r="L255" s="7">
        <f>SUMIFS('Leave Management'!$L:$L,'Leave Management'!$C:$C,Detail!$A255,'Leave Management'!$B:$B,Detail!L$1)</f>
        <v>0</v>
      </c>
      <c r="M255" s="7">
        <f>SUMIFS('Leave Management'!$L:$L,'Leave Management'!$C:$C,Detail!$A255,'Leave Management'!$B:$B,Detail!M$1)</f>
        <v>0</v>
      </c>
      <c r="N255" s="7">
        <f>SUMIFS('Leave Management'!$L:$L,'Leave Management'!$C:$C,Detail!$A255,'Leave Management'!$B:$B,Detail!N$1)</f>
        <v>0</v>
      </c>
      <c r="O255" s="7">
        <f t="shared" si="8"/>
        <v>10</v>
      </c>
    </row>
    <row r="256" spans="1:15" x14ac:dyDescent="0.25">
      <c r="A256" s="24">
        <v>43354</v>
      </c>
      <c r="B256" s="2" t="str">
        <f t="shared" si="7"/>
        <v>Tue</v>
      </c>
      <c r="C256" s="7">
        <f>SUMIFS('Leave Management'!$L:$L,'Leave Management'!$C:$C,Detail!$A256,'Leave Management'!$B:$B,Detail!C$1)</f>
        <v>0</v>
      </c>
      <c r="D256" s="7">
        <f>SUMIFS('Leave Management'!$L:$L,'Leave Management'!$C:$C,Detail!$A256,'Leave Management'!$B:$B,Detail!D$1)</f>
        <v>0</v>
      </c>
      <c r="E256" s="7">
        <f>SUMIFS('Leave Management'!$L:$L,'Leave Management'!$C:$C,Detail!$A256,'Leave Management'!$B:$B,Detail!E$1)</f>
        <v>0</v>
      </c>
      <c r="F256" s="7">
        <f>SUMIFS('Leave Management'!$L:$L,'Leave Management'!$C:$C,Detail!$A256,'Leave Management'!$B:$B,Detail!F$1)</f>
        <v>0</v>
      </c>
      <c r="G256" s="7">
        <f>SUMIFS('Leave Management'!$L:$L,'Leave Management'!$C:$C,Detail!$A256,'Leave Management'!$B:$B,Detail!G$1)</f>
        <v>0</v>
      </c>
      <c r="H256" s="7">
        <f>SUMIFS('Leave Management'!$L:$L,'Leave Management'!$C:$C,Detail!$A256,'Leave Management'!$B:$B,Detail!H$1)</f>
        <v>0</v>
      </c>
      <c r="I256" s="7">
        <f>SUMIFS('Leave Management'!$L:$L,'Leave Management'!$C:$C,Detail!$A256,'Leave Management'!$B:$B,Detail!I$1)</f>
        <v>0</v>
      </c>
      <c r="J256" s="7">
        <f>SUMIFS('Leave Management'!$L:$L,'Leave Management'!$C:$C,Detail!$A256,'Leave Management'!$B:$B,Detail!J$1)</f>
        <v>0</v>
      </c>
      <c r="K256" s="7">
        <f>SUMIFS('Leave Management'!$L:$L,'Leave Management'!$C:$C,Detail!$A256,'Leave Management'!$B:$B,Detail!K$1)</f>
        <v>0</v>
      </c>
      <c r="L256" s="7">
        <f>SUMIFS('Leave Management'!$L:$L,'Leave Management'!$C:$C,Detail!$A256,'Leave Management'!$B:$B,Detail!L$1)</f>
        <v>0</v>
      </c>
      <c r="M256" s="7">
        <f>SUMIFS('Leave Management'!$L:$L,'Leave Management'!$C:$C,Detail!$A256,'Leave Management'!$B:$B,Detail!M$1)</f>
        <v>0</v>
      </c>
      <c r="N256" s="7">
        <f>SUMIFS('Leave Management'!$L:$L,'Leave Management'!$C:$C,Detail!$A256,'Leave Management'!$B:$B,Detail!N$1)</f>
        <v>0</v>
      </c>
      <c r="O256" s="7">
        <f t="shared" si="8"/>
        <v>12</v>
      </c>
    </row>
    <row r="257" spans="1:15" x14ac:dyDescent="0.25">
      <c r="A257" s="24">
        <v>43355</v>
      </c>
      <c r="B257" s="2" t="str">
        <f t="shared" si="7"/>
        <v>Wed</v>
      </c>
      <c r="C257" s="7">
        <f>SUMIFS('Leave Management'!$L:$L,'Leave Management'!$C:$C,Detail!$A257,'Leave Management'!$B:$B,Detail!C$1)</f>
        <v>0</v>
      </c>
      <c r="D257" s="7">
        <f>SUMIFS('Leave Management'!$L:$L,'Leave Management'!$C:$C,Detail!$A257,'Leave Management'!$B:$B,Detail!D$1)</f>
        <v>0</v>
      </c>
      <c r="E257" s="7">
        <f>SUMIFS('Leave Management'!$L:$L,'Leave Management'!$C:$C,Detail!$A257,'Leave Management'!$B:$B,Detail!E$1)</f>
        <v>0</v>
      </c>
      <c r="F257" s="7">
        <f>SUMIFS('Leave Management'!$L:$L,'Leave Management'!$C:$C,Detail!$A257,'Leave Management'!$B:$B,Detail!F$1)</f>
        <v>0</v>
      </c>
      <c r="G257" s="7">
        <f>SUMIFS('Leave Management'!$L:$L,'Leave Management'!$C:$C,Detail!$A257,'Leave Management'!$B:$B,Detail!G$1)</f>
        <v>0</v>
      </c>
      <c r="H257" s="7">
        <f>SUMIFS('Leave Management'!$L:$L,'Leave Management'!$C:$C,Detail!$A257,'Leave Management'!$B:$B,Detail!H$1)</f>
        <v>0</v>
      </c>
      <c r="I257" s="7">
        <f>SUMIFS('Leave Management'!$L:$L,'Leave Management'!$C:$C,Detail!$A257,'Leave Management'!$B:$B,Detail!I$1)</f>
        <v>0</v>
      </c>
      <c r="J257" s="7">
        <f>SUMIFS('Leave Management'!$L:$L,'Leave Management'!$C:$C,Detail!$A257,'Leave Management'!$B:$B,Detail!J$1)</f>
        <v>0</v>
      </c>
      <c r="K257" s="7">
        <f>SUMIFS('Leave Management'!$L:$L,'Leave Management'!$C:$C,Detail!$A257,'Leave Management'!$B:$B,Detail!K$1)</f>
        <v>0</v>
      </c>
      <c r="L257" s="7">
        <f>SUMIFS('Leave Management'!$L:$L,'Leave Management'!$C:$C,Detail!$A257,'Leave Management'!$B:$B,Detail!L$1)</f>
        <v>0</v>
      </c>
      <c r="M257" s="7">
        <f>SUMIFS('Leave Management'!$L:$L,'Leave Management'!$C:$C,Detail!$A257,'Leave Management'!$B:$B,Detail!M$1)</f>
        <v>0</v>
      </c>
      <c r="N257" s="7">
        <f>SUMIFS('Leave Management'!$L:$L,'Leave Management'!$C:$C,Detail!$A257,'Leave Management'!$B:$B,Detail!N$1)</f>
        <v>0</v>
      </c>
      <c r="O257" s="7">
        <f t="shared" si="8"/>
        <v>12</v>
      </c>
    </row>
    <row r="258" spans="1:15" x14ac:dyDescent="0.25">
      <c r="A258" s="24">
        <v>43356</v>
      </c>
      <c r="B258" s="2" t="str">
        <f t="shared" si="7"/>
        <v>Thu</v>
      </c>
      <c r="C258" s="7">
        <f>SUMIFS('Leave Management'!$L:$L,'Leave Management'!$C:$C,Detail!$A258,'Leave Management'!$B:$B,Detail!C$1)</f>
        <v>0</v>
      </c>
      <c r="D258" s="7">
        <f>SUMIFS('Leave Management'!$L:$L,'Leave Management'!$C:$C,Detail!$A258,'Leave Management'!$B:$B,Detail!D$1)</f>
        <v>0</v>
      </c>
      <c r="E258" s="7">
        <f>SUMIFS('Leave Management'!$L:$L,'Leave Management'!$C:$C,Detail!$A258,'Leave Management'!$B:$B,Detail!E$1)</f>
        <v>1</v>
      </c>
      <c r="F258" s="7">
        <f>SUMIFS('Leave Management'!$L:$L,'Leave Management'!$C:$C,Detail!$A258,'Leave Management'!$B:$B,Detail!F$1)</f>
        <v>1</v>
      </c>
      <c r="G258" s="7">
        <f>SUMIFS('Leave Management'!$L:$L,'Leave Management'!$C:$C,Detail!$A258,'Leave Management'!$B:$B,Detail!G$1)</f>
        <v>0</v>
      </c>
      <c r="H258" s="7">
        <f>SUMIFS('Leave Management'!$L:$L,'Leave Management'!$C:$C,Detail!$A258,'Leave Management'!$B:$B,Detail!H$1)</f>
        <v>0</v>
      </c>
      <c r="I258" s="7">
        <f>SUMIFS('Leave Management'!$L:$L,'Leave Management'!$C:$C,Detail!$A258,'Leave Management'!$B:$B,Detail!I$1)</f>
        <v>0</v>
      </c>
      <c r="J258" s="7">
        <f>SUMIFS('Leave Management'!$L:$L,'Leave Management'!$C:$C,Detail!$A258,'Leave Management'!$B:$B,Detail!J$1)</f>
        <v>0</v>
      </c>
      <c r="K258" s="7">
        <f>SUMIFS('Leave Management'!$L:$L,'Leave Management'!$C:$C,Detail!$A258,'Leave Management'!$B:$B,Detail!K$1)</f>
        <v>0</v>
      </c>
      <c r="L258" s="7">
        <f>SUMIFS('Leave Management'!$L:$L,'Leave Management'!$C:$C,Detail!$A258,'Leave Management'!$B:$B,Detail!L$1)</f>
        <v>0</v>
      </c>
      <c r="M258" s="7">
        <f>SUMIFS('Leave Management'!$L:$L,'Leave Management'!$C:$C,Detail!$A258,'Leave Management'!$B:$B,Detail!M$1)</f>
        <v>0</v>
      </c>
      <c r="N258" s="7">
        <f>SUMIFS('Leave Management'!$L:$L,'Leave Management'!$C:$C,Detail!$A258,'Leave Management'!$B:$B,Detail!N$1)</f>
        <v>0</v>
      </c>
      <c r="O258" s="7">
        <f t="shared" si="8"/>
        <v>10</v>
      </c>
    </row>
    <row r="259" spans="1:15" x14ac:dyDescent="0.25">
      <c r="A259" s="24">
        <v>43357</v>
      </c>
      <c r="B259" s="2" t="str">
        <f t="shared" si="7"/>
        <v>Fri</v>
      </c>
      <c r="C259" s="7">
        <f>SUMIFS('Leave Management'!$L:$L,'Leave Management'!$C:$C,Detail!$A259,'Leave Management'!$B:$B,Detail!C$1)</f>
        <v>0</v>
      </c>
      <c r="D259" s="7">
        <f>SUMIFS('Leave Management'!$L:$L,'Leave Management'!$C:$C,Detail!$A259,'Leave Management'!$B:$B,Detail!D$1)</f>
        <v>0</v>
      </c>
      <c r="E259" s="7">
        <f>SUMIFS('Leave Management'!$L:$L,'Leave Management'!$C:$C,Detail!$A259,'Leave Management'!$B:$B,Detail!E$1)</f>
        <v>1</v>
      </c>
      <c r="F259" s="7">
        <f>SUMIFS('Leave Management'!$L:$L,'Leave Management'!$C:$C,Detail!$A259,'Leave Management'!$B:$B,Detail!F$1)</f>
        <v>1</v>
      </c>
      <c r="G259" s="7">
        <f>SUMIFS('Leave Management'!$L:$L,'Leave Management'!$C:$C,Detail!$A259,'Leave Management'!$B:$B,Detail!G$1)</f>
        <v>0</v>
      </c>
      <c r="H259" s="7">
        <f>SUMIFS('Leave Management'!$L:$L,'Leave Management'!$C:$C,Detail!$A259,'Leave Management'!$B:$B,Detail!H$1)</f>
        <v>0</v>
      </c>
      <c r="I259" s="7">
        <f>SUMIFS('Leave Management'!$L:$L,'Leave Management'!$C:$C,Detail!$A259,'Leave Management'!$B:$B,Detail!I$1)</f>
        <v>0</v>
      </c>
      <c r="J259" s="7">
        <f>SUMIFS('Leave Management'!$L:$L,'Leave Management'!$C:$C,Detail!$A259,'Leave Management'!$B:$B,Detail!J$1)</f>
        <v>0</v>
      </c>
      <c r="K259" s="7">
        <f>SUMIFS('Leave Management'!$L:$L,'Leave Management'!$C:$C,Detail!$A259,'Leave Management'!$B:$B,Detail!K$1)</f>
        <v>0</v>
      </c>
      <c r="L259" s="7">
        <f>SUMIFS('Leave Management'!$L:$L,'Leave Management'!$C:$C,Detail!$A259,'Leave Management'!$B:$B,Detail!L$1)</f>
        <v>0</v>
      </c>
      <c r="M259" s="7">
        <f>SUMIFS('Leave Management'!$L:$L,'Leave Management'!$C:$C,Detail!$A259,'Leave Management'!$B:$B,Detail!M$1)</f>
        <v>0</v>
      </c>
      <c r="N259" s="7">
        <f>SUMIFS('Leave Management'!$L:$L,'Leave Management'!$C:$C,Detail!$A259,'Leave Management'!$B:$B,Detail!N$1)</f>
        <v>0</v>
      </c>
      <c r="O259" s="7">
        <f t="shared" si="8"/>
        <v>10</v>
      </c>
    </row>
    <row r="260" spans="1:15" x14ac:dyDescent="0.25">
      <c r="A260" s="24">
        <v>43358</v>
      </c>
      <c r="B260" s="2" t="str">
        <f t="shared" ref="B260:B323" si="9">CHOOSE(WEEKDAY(A260),"Sun","Mon","Tue","Wed","Thu","Fri","Sat")</f>
        <v>Sat</v>
      </c>
      <c r="C260" s="7">
        <f>SUMIFS('Leave Management'!$L:$L,'Leave Management'!$C:$C,Detail!$A260,'Leave Management'!$B:$B,Detail!C$1)</f>
        <v>0</v>
      </c>
      <c r="D260" s="7">
        <f>SUMIFS('Leave Management'!$L:$L,'Leave Management'!$C:$C,Detail!$A260,'Leave Management'!$B:$B,Detail!D$1)</f>
        <v>0</v>
      </c>
      <c r="E260" s="7">
        <f>SUMIFS('Leave Management'!$L:$L,'Leave Management'!$C:$C,Detail!$A260,'Leave Management'!$B:$B,Detail!E$1)</f>
        <v>0</v>
      </c>
      <c r="F260" s="7">
        <f>SUMIFS('Leave Management'!$L:$L,'Leave Management'!$C:$C,Detail!$A260,'Leave Management'!$B:$B,Detail!F$1)</f>
        <v>0</v>
      </c>
      <c r="G260" s="7">
        <f>SUMIFS('Leave Management'!$L:$L,'Leave Management'!$C:$C,Detail!$A260,'Leave Management'!$B:$B,Detail!G$1)</f>
        <v>0</v>
      </c>
      <c r="H260" s="7">
        <f>SUMIFS('Leave Management'!$L:$L,'Leave Management'!$C:$C,Detail!$A260,'Leave Management'!$B:$B,Detail!H$1)</f>
        <v>0</v>
      </c>
      <c r="I260" s="7">
        <f>SUMIFS('Leave Management'!$L:$L,'Leave Management'!$C:$C,Detail!$A260,'Leave Management'!$B:$B,Detail!I$1)</f>
        <v>0</v>
      </c>
      <c r="J260" s="7">
        <f>SUMIFS('Leave Management'!$L:$L,'Leave Management'!$C:$C,Detail!$A260,'Leave Management'!$B:$B,Detail!J$1)</f>
        <v>0</v>
      </c>
      <c r="K260" s="7">
        <f>SUMIFS('Leave Management'!$L:$L,'Leave Management'!$C:$C,Detail!$A260,'Leave Management'!$B:$B,Detail!K$1)</f>
        <v>0</v>
      </c>
      <c r="L260" s="7">
        <f>SUMIFS('Leave Management'!$L:$L,'Leave Management'!$C:$C,Detail!$A260,'Leave Management'!$B:$B,Detail!L$1)</f>
        <v>0</v>
      </c>
      <c r="M260" s="7">
        <f>SUMIFS('Leave Management'!$L:$L,'Leave Management'!$C:$C,Detail!$A260,'Leave Management'!$B:$B,Detail!M$1)</f>
        <v>0</v>
      </c>
      <c r="N260" s="7">
        <f>SUMIFS('Leave Management'!$L:$L,'Leave Management'!$C:$C,Detail!$A260,'Leave Management'!$B:$B,Detail!N$1)</f>
        <v>0</v>
      </c>
      <c r="O260" s="7">
        <f t="shared" ref="O260:O323" si="10">COUNTA($C$1:$N$1)-SUM($C260:$N260)</f>
        <v>12</v>
      </c>
    </row>
    <row r="261" spans="1:15" x14ac:dyDescent="0.25">
      <c r="A261" s="24">
        <v>43359</v>
      </c>
      <c r="B261" s="2" t="str">
        <f t="shared" si="9"/>
        <v>Sun</v>
      </c>
      <c r="C261" s="7">
        <f>SUMIFS('Leave Management'!$L:$L,'Leave Management'!$C:$C,Detail!$A261,'Leave Management'!$B:$B,Detail!C$1)</f>
        <v>0</v>
      </c>
      <c r="D261" s="7">
        <f>SUMIFS('Leave Management'!$L:$L,'Leave Management'!$C:$C,Detail!$A261,'Leave Management'!$B:$B,Detail!D$1)</f>
        <v>0</v>
      </c>
      <c r="E261" s="7">
        <f>SUMIFS('Leave Management'!$L:$L,'Leave Management'!$C:$C,Detail!$A261,'Leave Management'!$B:$B,Detail!E$1)</f>
        <v>0</v>
      </c>
      <c r="F261" s="7">
        <f>SUMIFS('Leave Management'!$L:$L,'Leave Management'!$C:$C,Detail!$A261,'Leave Management'!$B:$B,Detail!F$1)</f>
        <v>0</v>
      </c>
      <c r="G261" s="7">
        <f>SUMIFS('Leave Management'!$L:$L,'Leave Management'!$C:$C,Detail!$A261,'Leave Management'!$B:$B,Detail!G$1)</f>
        <v>0</v>
      </c>
      <c r="H261" s="7">
        <f>SUMIFS('Leave Management'!$L:$L,'Leave Management'!$C:$C,Detail!$A261,'Leave Management'!$B:$B,Detail!H$1)</f>
        <v>0</v>
      </c>
      <c r="I261" s="7">
        <f>SUMIFS('Leave Management'!$L:$L,'Leave Management'!$C:$C,Detail!$A261,'Leave Management'!$B:$B,Detail!I$1)</f>
        <v>0</v>
      </c>
      <c r="J261" s="7">
        <f>SUMIFS('Leave Management'!$L:$L,'Leave Management'!$C:$C,Detail!$A261,'Leave Management'!$B:$B,Detail!J$1)</f>
        <v>0</v>
      </c>
      <c r="K261" s="7">
        <f>SUMIFS('Leave Management'!$L:$L,'Leave Management'!$C:$C,Detail!$A261,'Leave Management'!$B:$B,Detail!K$1)</f>
        <v>0</v>
      </c>
      <c r="L261" s="7">
        <f>SUMIFS('Leave Management'!$L:$L,'Leave Management'!$C:$C,Detail!$A261,'Leave Management'!$B:$B,Detail!L$1)</f>
        <v>0</v>
      </c>
      <c r="M261" s="7">
        <f>SUMIFS('Leave Management'!$L:$L,'Leave Management'!$C:$C,Detail!$A261,'Leave Management'!$B:$B,Detail!M$1)</f>
        <v>0</v>
      </c>
      <c r="N261" s="7">
        <f>SUMIFS('Leave Management'!$L:$L,'Leave Management'!$C:$C,Detail!$A261,'Leave Management'!$B:$B,Detail!N$1)</f>
        <v>0</v>
      </c>
      <c r="O261" s="7">
        <f t="shared" si="10"/>
        <v>12</v>
      </c>
    </row>
    <row r="262" spans="1:15" x14ac:dyDescent="0.25">
      <c r="A262" s="24">
        <v>43360</v>
      </c>
      <c r="B262" s="2" t="str">
        <f t="shared" si="9"/>
        <v>Mon</v>
      </c>
      <c r="C262" s="7">
        <f>SUMIFS('Leave Management'!$L:$L,'Leave Management'!$C:$C,Detail!$A262,'Leave Management'!$B:$B,Detail!C$1)</f>
        <v>1</v>
      </c>
      <c r="D262" s="7">
        <f>SUMIFS('Leave Management'!$L:$L,'Leave Management'!$C:$C,Detail!$A262,'Leave Management'!$B:$B,Detail!D$1)</f>
        <v>0</v>
      </c>
      <c r="E262" s="7">
        <f>SUMIFS('Leave Management'!$L:$L,'Leave Management'!$C:$C,Detail!$A262,'Leave Management'!$B:$B,Detail!E$1)</f>
        <v>0</v>
      </c>
      <c r="F262" s="7">
        <f>SUMIFS('Leave Management'!$L:$L,'Leave Management'!$C:$C,Detail!$A262,'Leave Management'!$B:$B,Detail!F$1)</f>
        <v>0</v>
      </c>
      <c r="G262" s="7">
        <f>SUMIFS('Leave Management'!$L:$L,'Leave Management'!$C:$C,Detail!$A262,'Leave Management'!$B:$B,Detail!G$1)</f>
        <v>0</v>
      </c>
      <c r="H262" s="7">
        <f>SUMIFS('Leave Management'!$L:$L,'Leave Management'!$C:$C,Detail!$A262,'Leave Management'!$B:$B,Detail!H$1)</f>
        <v>1</v>
      </c>
      <c r="I262" s="7">
        <f>SUMIFS('Leave Management'!$L:$L,'Leave Management'!$C:$C,Detail!$A262,'Leave Management'!$B:$B,Detail!I$1)</f>
        <v>0</v>
      </c>
      <c r="J262" s="7">
        <f>SUMIFS('Leave Management'!$L:$L,'Leave Management'!$C:$C,Detail!$A262,'Leave Management'!$B:$B,Detail!J$1)</f>
        <v>0</v>
      </c>
      <c r="K262" s="7">
        <f>SUMIFS('Leave Management'!$L:$L,'Leave Management'!$C:$C,Detail!$A262,'Leave Management'!$B:$B,Detail!K$1)</f>
        <v>0</v>
      </c>
      <c r="L262" s="7">
        <f>SUMIFS('Leave Management'!$L:$L,'Leave Management'!$C:$C,Detail!$A262,'Leave Management'!$B:$B,Detail!L$1)</f>
        <v>0</v>
      </c>
      <c r="M262" s="7">
        <f>SUMIFS('Leave Management'!$L:$L,'Leave Management'!$C:$C,Detail!$A262,'Leave Management'!$B:$B,Detail!M$1)</f>
        <v>0</v>
      </c>
      <c r="N262" s="7">
        <f>SUMIFS('Leave Management'!$L:$L,'Leave Management'!$C:$C,Detail!$A262,'Leave Management'!$B:$B,Detail!N$1)</f>
        <v>0</v>
      </c>
      <c r="O262" s="7">
        <f t="shared" si="10"/>
        <v>10</v>
      </c>
    </row>
    <row r="263" spans="1:15" x14ac:dyDescent="0.25">
      <c r="A263" s="24">
        <v>43361</v>
      </c>
      <c r="B263" s="2" t="str">
        <f t="shared" si="9"/>
        <v>Tue</v>
      </c>
      <c r="C263" s="7">
        <f>SUMIFS('Leave Management'!$L:$L,'Leave Management'!$C:$C,Detail!$A263,'Leave Management'!$B:$B,Detail!C$1)</f>
        <v>0</v>
      </c>
      <c r="D263" s="7">
        <f>SUMIFS('Leave Management'!$L:$L,'Leave Management'!$C:$C,Detail!$A263,'Leave Management'!$B:$B,Detail!D$1)</f>
        <v>0</v>
      </c>
      <c r="E263" s="7">
        <f>SUMIFS('Leave Management'!$L:$L,'Leave Management'!$C:$C,Detail!$A263,'Leave Management'!$B:$B,Detail!E$1)</f>
        <v>0</v>
      </c>
      <c r="F263" s="7">
        <f>SUMIFS('Leave Management'!$L:$L,'Leave Management'!$C:$C,Detail!$A263,'Leave Management'!$B:$B,Detail!F$1)</f>
        <v>0</v>
      </c>
      <c r="G263" s="7">
        <f>SUMIFS('Leave Management'!$L:$L,'Leave Management'!$C:$C,Detail!$A263,'Leave Management'!$B:$B,Detail!G$1)</f>
        <v>0</v>
      </c>
      <c r="H263" s="7">
        <f>SUMIFS('Leave Management'!$L:$L,'Leave Management'!$C:$C,Detail!$A263,'Leave Management'!$B:$B,Detail!H$1)</f>
        <v>1</v>
      </c>
      <c r="I263" s="7">
        <f>SUMIFS('Leave Management'!$L:$L,'Leave Management'!$C:$C,Detail!$A263,'Leave Management'!$B:$B,Detail!I$1)</f>
        <v>0</v>
      </c>
      <c r="J263" s="7">
        <f>SUMIFS('Leave Management'!$L:$L,'Leave Management'!$C:$C,Detail!$A263,'Leave Management'!$B:$B,Detail!J$1)</f>
        <v>0</v>
      </c>
      <c r="K263" s="7">
        <f>SUMIFS('Leave Management'!$L:$L,'Leave Management'!$C:$C,Detail!$A263,'Leave Management'!$B:$B,Detail!K$1)</f>
        <v>0</v>
      </c>
      <c r="L263" s="7">
        <f>SUMIFS('Leave Management'!$L:$L,'Leave Management'!$C:$C,Detail!$A263,'Leave Management'!$B:$B,Detail!L$1)</f>
        <v>0</v>
      </c>
      <c r="M263" s="7">
        <f>SUMIFS('Leave Management'!$L:$L,'Leave Management'!$C:$C,Detail!$A263,'Leave Management'!$B:$B,Detail!M$1)</f>
        <v>0</v>
      </c>
      <c r="N263" s="7">
        <f>SUMIFS('Leave Management'!$L:$L,'Leave Management'!$C:$C,Detail!$A263,'Leave Management'!$B:$B,Detail!N$1)</f>
        <v>0</v>
      </c>
      <c r="O263" s="7">
        <f t="shared" si="10"/>
        <v>11</v>
      </c>
    </row>
    <row r="264" spans="1:15" x14ac:dyDescent="0.25">
      <c r="A264" s="24">
        <v>43362</v>
      </c>
      <c r="B264" s="2" t="str">
        <f t="shared" si="9"/>
        <v>Wed</v>
      </c>
      <c r="C264" s="7">
        <f>SUMIFS('Leave Management'!$L:$L,'Leave Management'!$C:$C,Detail!$A264,'Leave Management'!$B:$B,Detail!C$1)</f>
        <v>0</v>
      </c>
      <c r="D264" s="7">
        <f>SUMIFS('Leave Management'!$L:$L,'Leave Management'!$C:$C,Detail!$A264,'Leave Management'!$B:$B,Detail!D$1)</f>
        <v>0</v>
      </c>
      <c r="E264" s="7">
        <f>SUMIFS('Leave Management'!$L:$L,'Leave Management'!$C:$C,Detail!$A264,'Leave Management'!$B:$B,Detail!E$1)</f>
        <v>0</v>
      </c>
      <c r="F264" s="7">
        <f>SUMIFS('Leave Management'!$L:$L,'Leave Management'!$C:$C,Detail!$A264,'Leave Management'!$B:$B,Detail!F$1)</f>
        <v>0</v>
      </c>
      <c r="G264" s="7">
        <f>SUMIFS('Leave Management'!$L:$L,'Leave Management'!$C:$C,Detail!$A264,'Leave Management'!$B:$B,Detail!G$1)</f>
        <v>0</v>
      </c>
      <c r="H264" s="7">
        <f>SUMIFS('Leave Management'!$L:$L,'Leave Management'!$C:$C,Detail!$A264,'Leave Management'!$B:$B,Detail!H$1)</f>
        <v>0</v>
      </c>
      <c r="I264" s="7">
        <f>SUMIFS('Leave Management'!$L:$L,'Leave Management'!$C:$C,Detail!$A264,'Leave Management'!$B:$B,Detail!I$1)</f>
        <v>0</v>
      </c>
      <c r="J264" s="7">
        <f>SUMIFS('Leave Management'!$L:$L,'Leave Management'!$C:$C,Detail!$A264,'Leave Management'!$B:$B,Detail!J$1)</f>
        <v>0</v>
      </c>
      <c r="K264" s="7">
        <f>SUMIFS('Leave Management'!$L:$L,'Leave Management'!$C:$C,Detail!$A264,'Leave Management'!$B:$B,Detail!K$1)</f>
        <v>0</v>
      </c>
      <c r="L264" s="7">
        <f>SUMIFS('Leave Management'!$L:$L,'Leave Management'!$C:$C,Detail!$A264,'Leave Management'!$B:$B,Detail!L$1)</f>
        <v>0</v>
      </c>
      <c r="M264" s="7">
        <f>SUMIFS('Leave Management'!$L:$L,'Leave Management'!$C:$C,Detail!$A264,'Leave Management'!$B:$B,Detail!M$1)</f>
        <v>0</v>
      </c>
      <c r="N264" s="7">
        <f>SUMIFS('Leave Management'!$L:$L,'Leave Management'!$C:$C,Detail!$A264,'Leave Management'!$B:$B,Detail!N$1)</f>
        <v>0</v>
      </c>
      <c r="O264" s="7">
        <f t="shared" si="10"/>
        <v>12</v>
      </c>
    </row>
    <row r="265" spans="1:15" x14ac:dyDescent="0.25">
      <c r="A265" s="24">
        <v>43363</v>
      </c>
      <c r="B265" s="2" t="str">
        <f t="shared" si="9"/>
        <v>Thu</v>
      </c>
      <c r="C265" s="7">
        <f>SUMIFS('Leave Management'!$L:$L,'Leave Management'!$C:$C,Detail!$A265,'Leave Management'!$B:$B,Detail!C$1)</f>
        <v>0</v>
      </c>
      <c r="D265" s="7">
        <f>SUMIFS('Leave Management'!$L:$L,'Leave Management'!$C:$C,Detail!$A265,'Leave Management'!$B:$B,Detail!D$1)</f>
        <v>0</v>
      </c>
      <c r="E265" s="7">
        <f>SUMIFS('Leave Management'!$L:$L,'Leave Management'!$C:$C,Detail!$A265,'Leave Management'!$B:$B,Detail!E$1)</f>
        <v>0</v>
      </c>
      <c r="F265" s="7">
        <f>SUMIFS('Leave Management'!$L:$L,'Leave Management'!$C:$C,Detail!$A265,'Leave Management'!$B:$B,Detail!F$1)</f>
        <v>0</v>
      </c>
      <c r="G265" s="7">
        <f>SUMIFS('Leave Management'!$L:$L,'Leave Management'!$C:$C,Detail!$A265,'Leave Management'!$B:$B,Detail!G$1)</f>
        <v>0</v>
      </c>
      <c r="H265" s="7">
        <f>SUMIFS('Leave Management'!$L:$L,'Leave Management'!$C:$C,Detail!$A265,'Leave Management'!$B:$B,Detail!H$1)</f>
        <v>0</v>
      </c>
      <c r="I265" s="7">
        <f>SUMIFS('Leave Management'!$L:$L,'Leave Management'!$C:$C,Detail!$A265,'Leave Management'!$B:$B,Detail!I$1)</f>
        <v>0</v>
      </c>
      <c r="J265" s="7">
        <f>SUMIFS('Leave Management'!$L:$L,'Leave Management'!$C:$C,Detail!$A265,'Leave Management'!$B:$B,Detail!J$1)</f>
        <v>0</v>
      </c>
      <c r="K265" s="7">
        <f>SUMIFS('Leave Management'!$L:$L,'Leave Management'!$C:$C,Detail!$A265,'Leave Management'!$B:$B,Detail!K$1)</f>
        <v>0</v>
      </c>
      <c r="L265" s="7">
        <f>SUMIFS('Leave Management'!$L:$L,'Leave Management'!$C:$C,Detail!$A265,'Leave Management'!$B:$B,Detail!L$1)</f>
        <v>0</v>
      </c>
      <c r="M265" s="7">
        <f>SUMIFS('Leave Management'!$L:$L,'Leave Management'!$C:$C,Detail!$A265,'Leave Management'!$B:$B,Detail!M$1)</f>
        <v>0</v>
      </c>
      <c r="N265" s="7">
        <f>SUMIFS('Leave Management'!$L:$L,'Leave Management'!$C:$C,Detail!$A265,'Leave Management'!$B:$B,Detail!N$1)</f>
        <v>0</v>
      </c>
      <c r="O265" s="7">
        <f t="shared" si="10"/>
        <v>12</v>
      </c>
    </row>
    <row r="266" spans="1:15" x14ac:dyDescent="0.25">
      <c r="A266" s="24">
        <v>43364</v>
      </c>
      <c r="B266" s="2" t="str">
        <f t="shared" si="9"/>
        <v>Fri</v>
      </c>
      <c r="C266" s="7">
        <f>SUMIFS('Leave Management'!$L:$L,'Leave Management'!$C:$C,Detail!$A266,'Leave Management'!$B:$B,Detail!C$1)</f>
        <v>0</v>
      </c>
      <c r="D266" s="7">
        <f>SUMIFS('Leave Management'!$L:$L,'Leave Management'!$C:$C,Detail!$A266,'Leave Management'!$B:$B,Detail!D$1)</f>
        <v>0</v>
      </c>
      <c r="E266" s="7">
        <f>SUMIFS('Leave Management'!$L:$L,'Leave Management'!$C:$C,Detail!$A266,'Leave Management'!$B:$B,Detail!E$1)</f>
        <v>0</v>
      </c>
      <c r="F266" s="7">
        <f>SUMIFS('Leave Management'!$L:$L,'Leave Management'!$C:$C,Detail!$A266,'Leave Management'!$B:$B,Detail!F$1)</f>
        <v>0</v>
      </c>
      <c r="G266" s="7">
        <f>SUMIFS('Leave Management'!$L:$L,'Leave Management'!$C:$C,Detail!$A266,'Leave Management'!$B:$B,Detail!G$1)</f>
        <v>0</v>
      </c>
      <c r="H266" s="7">
        <f>SUMIFS('Leave Management'!$L:$L,'Leave Management'!$C:$C,Detail!$A266,'Leave Management'!$B:$B,Detail!H$1)</f>
        <v>0</v>
      </c>
      <c r="I266" s="7">
        <f>SUMIFS('Leave Management'!$L:$L,'Leave Management'!$C:$C,Detail!$A266,'Leave Management'!$B:$B,Detail!I$1)</f>
        <v>0</v>
      </c>
      <c r="J266" s="7">
        <f>SUMIFS('Leave Management'!$L:$L,'Leave Management'!$C:$C,Detail!$A266,'Leave Management'!$B:$B,Detail!J$1)</f>
        <v>0</v>
      </c>
      <c r="K266" s="7">
        <f>SUMIFS('Leave Management'!$L:$L,'Leave Management'!$C:$C,Detail!$A266,'Leave Management'!$B:$B,Detail!K$1)</f>
        <v>0</v>
      </c>
      <c r="L266" s="7">
        <f>SUMIFS('Leave Management'!$L:$L,'Leave Management'!$C:$C,Detail!$A266,'Leave Management'!$B:$B,Detail!L$1)</f>
        <v>0</v>
      </c>
      <c r="M266" s="7">
        <f>SUMIFS('Leave Management'!$L:$L,'Leave Management'!$C:$C,Detail!$A266,'Leave Management'!$B:$B,Detail!M$1)</f>
        <v>0</v>
      </c>
      <c r="N266" s="7">
        <f>SUMIFS('Leave Management'!$L:$L,'Leave Management'!$C:$C,Detail!$A266,'Leave Management'!$B:$B,Detail!N$1)</f>
        <v>0</v>
      </c>
      <c r="O266" s="7">
        <f t="shared" si="10"/>
        <v>12</v>
      </c>
    </row>
    <row r="267" spans="1:15" x14ac:dyDescent="0.25">
      <c r="A267" s="24">
        <v>43365</v>
      </c>
      <c r="B267" s="2" t="str">
        <f t="shared" si="9"/>
        <v>Sat</v>
      </c>
      <c r="C267" s="7">
        <f>SUMIFS('Leave Management'!$L:$L,'Leave Management'!$C:$C,Detail!$A267,'Leave Management'!$B:$B,Detail!C$1)</f>
        <v>0</v>
      </c>
      <c r="D267" s="7">
        <f>SUMIFS('Leave Management'!$L:$L,'Leave Management'!$C:$C,Detail!$A267,'Leave Management'!$B:$B,Detail!D$1)</f>
        <v>0</v>
      </c>
      <c r="E267" s="7">
        <f>SUMIFS('Leave Management'!$L:$L,'Leave Management'!$C:$C,Detail!$A267,'Leave Management'!$B:$B,Detail!E$1)</f>
        <v>0</v>
      </c>
      <c r="F267" s="7">
        <f>SUMIFS('Leave Management'!$L:$L,'Leave Management'!$C:$C,Detail!$A267,'Leave Management'!$B:$B,Detail!F$1)</f>
        <v>0</v>
      </c>
      <c r="G267" s="7">
        <f>SUMIFS('Leave Management'!$L:$L,'Leave Management'!$C:$C,Detail!$A267,'Leave Management'!$B:$B,Detail!G$1)</f>
        <v>0</v>
      </c>
      <c r="H267" s="7">
        <f>SUMIFS('Leave Management'!$L:$L,'Leave Management'!$C:$C,Detail!$A267,'Leave Management'!$B:$B,Detail!H$1)</f>
        <v>0</v>
      </c>
      <c r="I267" s="7">
        <f>SUMIFS('Leave Management'!$L:$L,'Leave Management'!$C:$C,Detail!$A267,'Leave Management'!$B:$B,Detail!I$1)</f>
        <v>0</v>
      </c>
      <c r="J267" s="7">
        <f>SUMIFS('Leave Management'!$L:$L,'Leave Management'!$C:$C,Detail!$A267,'Leave Management'!$B:$B,Detail!J$1)</f>
        <v>0</v>
      </c>
      <c r="K267" s="7">
        <f>SUMIFS('Leave Management'!$L:$L,'Leave Management'!$C:$C,Detail!$A267,'Leave Management'!$B:$B,Detail!K$1)</f>
        <v>0</v>
      </c>
      <c r="L267" s="7">
        <f>SUMIFS('Leave Management'!$L:$L,'Leave Management'!$C:$C,Detail!$A267,'Leave Management'!$B:$B,Detail!L$1)</f>
        <v>0</v>
      </c>
      <c r="M267" s="7">
        <f>SUMIFS('Leave Management'!$L:$L,'Leave Management'!$C:$C,Detail!$A267,'Leave Management'!$B:$B,Detail!M$1)</f>
        <v>0</v>
      </c>
      <c r="N267" s="7">
        <f>SUMIFS('Leave Management'!$L:$L,'Leave Management'!$C:$C,Detail!$A267,'Leave Management'!$B:$B,Detail!N$1)</f>
        <v>0</v>
      </c>
      <c r="O267" s="7">
        <f t="shared" si="10"/>
        <v>12</v>
      </c>
    </row>
    <row r="268" spans="1:15" x14ac:dyDescent="0.25">
      <c r="A268" s="24">
        <v>43366</v>
      </c>
      <c r="B268" s="2" t="str">
        <f t="shared" si="9"/>
        <v>Sun</v>
      </c>
      <c r="C268" s="7">
        <f>SUMIFS('Leave Management'!$L:$L,'Leave Management'!$C:$C,Detail!$A268,'Leave Management'!$B:$B,Detail!C$1)</f>
        <v>0</v>
      </c>
      <c r="D268" s="7">
        <f>SUMIFS('Leave Management'!$L:$L,'Leave Management'!$C:$C,Detail!$A268,'Leave Management'!$B:$B,Detail!D$1)</f>
        <v>0</v>
      </c>
      <c r="E268" s="7">
        <f>SUMIFS('Leave Management'!$L:$L,'Leave Management'!$C:$C,Detail!$A268,'Leave Management'!$B:$B,Detail!E$1)</f>
        <v>0</v>
      </c>
      <c r="F268" s="7">
        <f>SUMIFS('Leave Management'!$L:$L,'Leave Management'!$C:$C,Detail!$A268,'Leave Management'!$B:$B,Detail!F$1)</f>
        <v>0</v>
      </c>
      <c r="G268" s="7">
        <f>SUMIFS('Leave Management'!$L:$L,'Leave Management'!$C:$C,Detail!$A268,'Leave Management'!$B:$B,Detail!G$1)</f>
        <v>0</v>
      </c>
      <c r="H268" s="7">
        <f>SUMIFS('Leave Management'!$L:$L,'Leave Management'!$C:$C,Detail!$A268,'Leave Management'!$B:$B,Detail!H$1)</f>
        <v>0</v>
      </c>
      <c r="I268" s="7">
        <f>SUMIFS('Leave Management'!$L:$L,'Leave Management'!$C:$C,Detail!$A268,'Leave Management'!$B:$B,Detail!I$1)</f>
        <v>0</v>
      </c>
      <c r="J268" s="7">
        <f>SUMIFS('Leave Management'!$L:$L,'Leave Management'!$C:$C,Detail!$A268,'Leave Management'!$B:$B,Detail!J$1)</f>
        <v>0</v>
      </c>
      <c r="K268" s="7">
        <f>SUMIFS('Leave Management'!$L:$L,'Leave Management'!$C:$C,Detail!$A268,'Leave Management'!$B:$B,Detail!K$1)</f>
        <v>0</v>
      </c>
      <c r="L268" s="7">
        <f>SUMIFS('Leave Management'!$L:$L,'Leave Management'!$C:$C,Detail!$A268,'Leave Management'!$B:$B,Detail!L$1)</f>
        <v>0</v>
      </c>
      <c r="M268" s="7">
        <f>SUMIFS('Leave Management'!$L:$L,'Leave Management'!$C:$C,Detail!$A268,'Leave Management'!$B:$B,Detail!M$1)</f>
        <v>0</v>
      </c>
      <c r="N268" s="7">
        <f>SUMIFS('Leave Management'!$L:$L,'Leave Management'!$C:$C,Detail!$A268,'Leave Management'!$B:$B,Detail!N$1)</f>
        <v>0</v>
      </c>
      <c r="O268" s="7">
        <f t="shared" si="10"/>
        <v>12</v>
      </c>
    </row>
    <row r="269" spans="1:15" x14ac:dyDescent="0.25">
      <c r="A269" s="24">
        <v>43367</v>
      </c>
      <c r="B269" s="2" t="str">
        <f t="shared" si="9"/>
        <v>Mon</v>
      </c>
      <c r="C269" s="7">
        <f>SUMIFS('Leave Management'!$L:$L,'Leave Management'!$C:$C,Detail!$A269,'Leave Management'!$B:$B,Detail!C$1)</f>
        <v>1</v>
      </c>
      <c r="D269" s="7">
        <f>SUMIFS('Leave Management'!$L:$L,'Leave Management'!$C:$C,Detail!$A269,'Leave Management'!$B:$B,Detail!D$1)</f>
        <v>0</v>
      </c>
      <c r="E269" s="7">
        <f>SUMIFS('Leave Management'!$L:$L,'Leave Management'!$C:$C,Detail!$A269,'Leave Management'!$B:$B,Detail!E$1)</f>
        <v>0</v>
      </c>
      <c r="F269" s="7">
        <f>SUMIFS('Leave Management'!$L:$L,'Leave Management'!$C:$C,Detail!$A269,'Leave Management'!$B:$B,Detail!F$1)</f>
        <v>0</v>
      </c>
      <c r="G269" s="7">
        <f>SUMIFS('Leave Management'!$L:$L,'Leave Management'!$C:$C,Detail!$A269,'Leave Management'!$B:$B,Detail!G$1)</f>
        <v>0</v>
      </c>
      <c r="H269" s="7">
        <f>SUMIFS('Leave Management'!$L:$L,'Leave Management'!$C:$C,Detail!$A269,'Leave Management'!$B:$B,Detail!H$1)</f>
        <v>0</v>
      </c>
      <c r="I269" s="7">
        <f>SUMIFS('Leave Management'!$L:$L,'Leave Management'!$C:$C,Detail!$A269,'Leave Management'!$B:$B,Detail!I$1)</f>
        <v>0</v>
      </c>
      <c r="J269" s="7">
        <f>SUMIFS('Leave Management'!$L:$L,'Leave Management'!$C:$C,Detail!$A269,'Leave Management'!$B:$B,Detail!J$1)</f>
        <v>0</v>
      </c>
      <c r="K269" s="7">
        <f>SUMIFS('Leave Management'!$L:$L,'Leave Management'!$C:$C,Detail!$A269,'Leave Management'!$B:$B,Detail!K$1)</f>
        <v>0</v>
      </c>
      <c r="L269" s="7">
        <f>SUMIFS('Leave Management'!$L:$L,'Leave Management'!$C:$C,Detail!$A269,'Leave Management'!$B:$B,Detail!L$1)</f>
        <v>0</v>
      </c>
      <c r="M269" s="7">
        <f>SUMIFS('Leave Management'!$L:$L,'Leave Management'!$C:$C,Detail!$A269,'Leave Management'!$B:$B,Detail!M$1)</f>
        <v>0</v>
      </c>
      <c r="N269" s="7">
        <f>SUMIFS('Leave Management'!$L:$L,'Leave Management'!$C:$C,Detail!$A269,'Leave Management'!$B:$B,Detail!N$1)</f>
        <v>0</v>
      </c>
      <c r="O269" s="7">
        <f t="shared" si="10"/>
        <v>11</v>
      </c>
    </row>
    <row r="270" spans="1:15" x14ac:dyDescent="0.25">
      <c r="A270" s="24">
        <v>43368</v>
      </c>
      <c r="B270" s="2" t="str">
        <f t="shared" si="9"/>
        <v>Tue</v>
      </c>
      <c r="C270" s="7">
        <f>SUMIFS('Leave Management'!$L:$L,'Leave Management'!$C:$C,Detail!$A270,'Leave Management'!$B:$B,Detail!C$1)</f>
        <v>1</v>
      </c>
      <c r="D270" s="7">
        <f>SUMIFS('Leave Management'!$L:$L,'Leave Management'!$C:$C,Detail!$A270,'Leave Management'!$B:$B,Detail!D$1)</f>
        <v>0</v>
      </c>
      <c r="E270" s="7">
        <f>SUMIFS('Leave Management'!$L:$L,'Leave Management'!$C:$C,Detail!$A270,'Leave Management'!$B:$B,Detail!E$1)</f>
        <v>0</v>
      </c>
      <c r="F270" s="7">
        <f>SUMIFS('Leave Management'!$L:$L,'Leave Management'!$C:$C,Detail!$A270,'Leave Management'!$B:$B,Detail!F$1)</f>
        <v>0</v>
      </c>
      <c r="G270" s="7">
        <f>SUMIFS('Leave Management'!$L:$L,'Leave Management'!$C:$C,Detail!$A270,'Leave Management'!$B:$B,Detail!G$1)</f>
        <v>0</v>
      </c>
      <c r="H270" s="7">
        <f>SUMIFS('Leave Management'!$L:$L,'Leave Management'!$C:$C,Detail!$A270,'Leave Management'!$B:$B,Detail!H$1)</f>
        <v>0</v>
      </c>
      <c r="I270" s="7">
        <f>SUMIFS('Leave Management'!$L:$L,'Leave Management'!$C:$C,Detail!$A270,'Leave Management'!$B:$B,Detail!I$1)</f>
        <v>0</v>
      </c>
      <c r="J270" s="7">
        <f>SUMIFS('Leave Management'!$L:$L,'Leave Management'!$C:$C,Detail!$A270,'Leave Management'!$B:$B,Detail!J$1)</f>
        <v>0</v>
      </c>
      <c r="K270" s="7">
        <f>SUMIFS('Leave Management'!$L:$L,'Leave Management'!$C:$C,Detail!$A270,'Leave Management'!$B:$B,Detail!K$1)</f>
        <v>0</v>
      </c>
      <c r="L270" s="7">
        <f>SUMIFS('Leave Management'!$L:$L,'Leave Management'!$C:$C,Detail!$A270,'Leave Management'!$B:$B,Detail!L$1)</f>
        <v>0</v>
      </c>
      <c r="M270" s="7">
        <f>SUMIFS('Leave Management'!$L:$L,'Leave Management'!$C:$C,Detail!$A270,'Leave Management'!$B:$B,Detail!M$1)</f>
        <v>0</v>
      </c>
      <c r="N270" s="7">
        <f>SUMIFS('Leave Management'!$L:$L,'Leave Management'!$C:$C,Detail!$A270,'Leave Management'!$B:$B,Detail!N$1)</f>
        <v>0</v>
      </c>
      <c r="O270" s="7">
        <f t="shared" si="10"/>
        <v>11</v>
      </c>
    </row>
    <row r="271" spans="1:15" x14ac:dyDescent="0.25">
      <c r="A271" s="24">
        <v>43369</v>
      </c>
      <c r="B271" s="2" t="str">
        <f t="shared" si="9"/>
        <v>Wed</v>
      </c>
      <c r="C271" s="7">
        <f>SUMIFS('Leave Management'!$L:$L,'Leave Management'!$C:$C,Detail!$A271,'Leave Management'!$B:$B,Detail!C$1)</f>
        <v>0</v>
      </c>
      <c r="D271" s="7">
        <f>SUMIFS('Leave Management'!$L:$L,'Leave Management'!$C:$C,Detail!$A271,'Leave Management'!$B:$B,Detail!D$1)</f>
        <v>0</v>
      </c>
      <c r="E271" s="7">
        <f>SUMIFS('Leave Management'!$L:$L,'Leave Management'!$C:$C,Detail!$A271,'Leave Management'!$B:$B,Detail!E$1)</f>
        <v>0</v>
      </c>
      <c r="F271" s="7">
        <f>SUMIFS('Leave Management'!$L:$L,'Leave Management'!$C:$C,Detail!$A271,'Leave Management'!$B:$B,Detail!F$1)</f>
        <v>0</v>
      </c>
      <c r="G271" s="7">
        <f>SUMIFS('Leave Management'!$L:$L,'Leave Management'!$C:$C,Detail!$A271,'Leave Management'!$B:$B,Detail!G$1)</f>
        <v>0</v>
      </c>
      <c r="H271" s="7">
        <f>SUMIFS('Leave Management'!$L:$L,'Leave Management'!$C:$C,Detail!$A271,'Leave Management'!$B:$B,Detail!H$1)</f>
        <v>0</v>
      </c>
      <c r="I271" s="7">
        <f>SUMIFS('Leave Management'!$L:$L,'Leave Management'!$C:$C,Detail!$A271,'Leave Management'!$B:$B,Detail!I$1)</f>
        <v>0</v>
      </c>
      <c r="J271" s="7">
        <f>SUMIFS('Leave Management'!$L:$L,'Leave Management'!$C:$C,Detail!$A271,'Leave Management'!$B:$B,Detail!J$1)</f>
        <v>0</v>
      </c>
      <c r="K271" s="7">
        <f>SUMIFS('Leave Management'!$L:$L,'Leave Management'!$C:$C,Detail!$A271,'Leave Management'!$B:$B,Detail!K$1)</f>
        <v>0</v>
      </c>
      <c r="L271" s="7">
        <f>SUMIFS('Leave Management'!$L:$L,'Leave Management'!$C:$C,Detail!$A271,'Leave Management'!$B:$B,Detail!L$1)</f>
        <v>0</v>
      </c>
      <c r="M271" s="7">
        <f>SUMIFS('Leave Management'!$L:$L,'Leave Management'!$C:$C,Detail!$A271,'Leave Management'!$B:$B,Detail!M$1)</f>
        <v>0</v>
      </c>
      <c r="N271" s="7">
        <f>SUMIFS('Leave Management'!$L:$L,'Leave Management'!$C:$C,Detail!$A271,'Leave Management'!$B:$B,Detail!N$1)</f>
        <v>0</v>
      </c>
      <c r="O271" s="7">
        <f t="shared" si="10"/>
        <v>12</v>
      </c>
    </row>
    <row r="272" spans="1:15" x14ac:dyDescent="0.25">
      <c r="A272" s="24">
        <v>43370</v>
      </c>
      <c r="B272" s="2" t="str">
        <f t="shared" si="9"/>
        <v>Thu</v>
      </c>
      <c r="C272" s="7">
        <f>SUMIFS('Leave Management'!$L:$L,'Leave Management'!$C:$C,Detail!$A272,'Leave Management'!$B:$B,Detail!C$1)</f>
        <v>0</v>
      </c>
      <c r="D272" s="7">
        <f>SUMIFS('Leave Management'!$L:$L,'Leave Management'!$C:$C,Detail!$A272,'Leave Management'!$B:$B,Detail!D$1)</f>
        <v>0</v>
      </c>
      <c r="E272" s="7">
        <f>SUMIFS('Leave Management'!$L:$L,'Leave Management'!$C:$C,Detail!$A272,'Leave Management'!$B:$B,Detail!E$1)</f>
        <v>0</v>
      </c>
      <c r="F272" s="7">
        <f>SUMIFS('Leave Management'!$L:$L,'Leave Management'!$C:$C,Detail!$A272,'Leave Management'!$B:$B,Detail!F$1)</f>
        <v>0</v>
      </c>
      <c r="G272" s="7">
        <f>SUMIFS('Leave Management'!$L:$L,'Leave Management'!$C:$C,Detail!$A272,'Leave Management'!$B:$B,Detail!G$1)</f>
        <v>0</v>
      </c>
      <c r="H272" s="7">
        <f>SUMIFS('Leave Management'!$L:$L,'Leave Management'!$C:$C,Detail!$A272,'Leave Management'!$B:$B,Detail!H$1)</f>
        <v>0</v>
      </c>
      <c r="I272" s="7">
        <f>SUMIFS('Leave Management'!$L:$L,'Leave Management'!$C:$C,Detail!$A272,'Leave Management'!$B:$B,Detail!I$1)</f>
        <v>0</v>
      </c>
      <c r="J272" s="7">
        <f>SUMIFS('Leave Management'!$L:$L,'Leave Management'!$C:$C,Detail!$A272,'Leave Management'!$B:$B,Detail!J$1)</f>
        <v>0</v>
      </c>
      <c r="K272" s="7">
        <f>SUMIFS('Leave Management'!$L:$L,'Leave Management'!$C:$C,Detail!$A272,'Leave Management'!$B:$B,Detail!K$1)</f>
        <v>0</v>
      </c>
      <c r="L272" s="7">
        <f>SUMIFS('Leave Management'!$L:$L,'Leave Management'!$C:$C,Detail!$A272,'Leave Management'!$B:$B,Detail!L$1)</f>
        <v>0</v>
      </c>
      <c r="M272" s="7">
        <f>SUMIFS('Leave Management'!$L:$L,'Leave Management'!$C:$C,Detail!$A272,'Leave Management'!$B:$B,Detail!M$1)</f>
        <v>0</v>
      </c>
      <c r="N272" s="7">
        <f>SUMIFS('Leave Management'!$L:$L,'Leave Management'!$C:$C,Detail!$A272,'Leave Management'!$B:$B,Detail!N$1)</f>
        <v>0</v>
      </c>
      <c r="O272" s="7">
        <f t="shared" si="10"/>
        <v>12</v>
      </c>
    </row>
    <row r="273" spans="1:15" x14ac:dyDescent="0.25">
      <c r="A273" s="24">
        <v>43371</v>
      </c>
      <c r="B273" s="2" t="str">
        <f t="shared" si="9"/>
        <v>Fri</v>
      </c>
      <c r="C273" s="7">
        <f>SUMIFS('Leave Management'!$L:$L,'Leave Management'!$C:$C,Detail!$A273,'Leave Management'!$B:$B,Detail!C$1)</f>
        <v>0</v>
      </c>
      <c r="D273" s="7">
        <f>SUMIFS('Leave Management'!$L:$L,'Leave Management'!$C:$C,Detail!$A273,'Leave Management'!$B:$B,Detail!D$1)</f>
        <v>0</v>
      </c>
      <c r="E273" s="7">
        <f>SUMIFS('Leave Management'!$L:$L,'Leave Management'!$C:$C,Detail!$A273,'Leave Management'!$B:$B,Detail!E$1)</f>
        <v>0</v>
      </c>
      <c r="F273" s="7">
        <f>SUMIFS('Leave Management'!$L:$L,'Leave Management'!$C:$C,Detail!$A273,'Leave Management'!$B:$B,Detail!F$1)</f>
        <v>0</v>
      </c>
      <c r="G273" s="7">
        <f>SUMIFS('Leave Management'!$L:$L,'Leave Management'!$C:$C,Detail!$A273,'Leave Management'!$B:$B,Detail!G$1)</f>
        <v>0</v>
      </c>
      <c r="H273" s="7">
        <f>SUMIFS('Leave Management'!$L:$L,'Leave Management'!$C:$C,Detail!$A273,'Leave Management'!$B:$B,Detail!H$1)</f>
        <v>0</v>
      </c>
      <c r="I273" s="7">
        <f>SUMIFS('Leave Management'!$L:$L,'Leave Management'!$C:$C,Detail!$A273,'Leave Management'!$B:$B,Detail!I$1)</f>
        <v>0</v>
      </c>
      <c r="J273" s="7">
        <f>SUMIFS('Leave Management'!$L:$L,'Leave Management'!$C:$C,Detail!$A273,'Leave Management'!$B:$B,Detail!J$1)</f>
        <v>0</v>
      </c>
      <c r="K273" s="7">
        <f>SUMIFS('Leave Management'!$L:$L,'Leave Management'!$C:$C,Detail!$A273,'Leave Management'!$B:$B,Detail!K$1)</f>
        <v>0</v>
      </c>
      <c r="L273" s="7">
        <f>SUMIFS('Leave Management'!$L:$L,'Leave Management'!$C:$C,Detail!$A273,'Leave Management'!$B:$B,Detail!L$1)</f>
        <v>0</v>
      </c>
      <c r="M273" s="7">
        <f>SUMIFS('Leave Management'!$L:$L,'Leave Management'!$C:$C,Detail!$A273,'Leave Management'!$B:$B,Detail!M$1)</f>
        <v>0</v>
      </c>
      <c r="N273" s="7">
        <f>SUMIFS('Leave Management'!$L:$L,'Leave Management'!$C:$C,Detail!$A273,'Leave Management'!$B:$B,Detail!N$1)</f>
        <v>0</v>
      </c>
      <c r="O273" s="7">
        <f t="shared" si="10"/>
        <v>12</v>
      </c>
    </row>
    <row r="274" spans="1:15" x14ac:dyDescent="0.25">
      <c r="A274" s="24">
        <v>43372</v>
      </c>
      <c r="B274" s="2" t="str">
        <f t="shared" si="9"/>
        <v>Sat</v>
      </c>
      <c r="C274" s="7">
        <f>SUMIFS('Leave Management'!$L:$L,'Leave Management'!$C:$C,Detail!$A274,'Leave Management'!$B:$B,Detail!C$1)</f>
        <v>0</v>
      </c>
      <c r="D274" s="7">
        <f>SUMIFS('Leave Management'!$L:$L,'Leave Management'!$C:$C,Detail!$A274,'Leave Management'!$B:$B,Detail!D$1)</f>
        <v>0</v>
      </c>
      <c r="E274" s="7">
        <f>SUMIFS('Leave Management'!$L:$L,'Leave Management'!$C:$C,Detail!$A274,'Leave Management'!$B:$B,Detail!E$1)</f>
        <v>0</v>
      </c>
      <c r="F274" s="7">
        <f>SUMIFS('Leave Management'!$L:$L,'Leave Management'!$C:$C,Detail!$A274,'Leave Management'!$B:$B,Detail!F$1)</f>
        <v>0</v>
      </c>
      <c r="G274" s="7">
        <f>SUMIFS('Leave Management'!$L:$L,'Leave Management'!$C:$C,Detail!$A274,'Leave Management'!$B:$B,Detail!G$1)</f>
        <v>0</v>
      </c>
      <c r="H274" s="7">
        <f>SUMIFS('Leave Management'!$L:$L,'Leave Management'!$C:$C,Detail!$A274,'Leave Management'!$B:$B,Detail!H$1)</f>
        <v>0</v>
      </c>
      <c r="I274" s="7">
        <f>SUMIFS('Leave Management'!$L:$L,'Leave Management'!$C:$C,Detail!$A274,'Leave Management'!$B:$B,Detail!I$1)</f>
        <v>0</v>
      </c>
      <c r="J274" s="7">
        <f>SUMIFS('Leave Management'!$L:$L,'Leave Management'!$C:$C,Detail!$A274,'Leave Management'!$B:$B,Detail!J$1)</f>
        <v>0</v>
      </c>
      <c r="K274" s="7">
        <f>SUMIFS('Leave Management'!$L:$L,'Leave Management'!$C:$C,Detail!$A274,'Leave Management'!$B:$B,Detail!K$1)</f>
        <v>0</v>
      </c>
      <c r="L274" s="7">
        <f>SUMIFS('Leave Management'!$L:$L,'Leave Management'!$C:$C,Detail!$A274,'Leave Management'!$B:$B,Detail!L$1)</f>
        <v>0</v>
      </c>
      <c r="M274" s="7">
        <f>SUMIFS('Leave Management'!$L:$L,'Leave Management'!$C:$C,Detail!$A274,'Leave Management'!$B:$B,Detail!M$1)</f>
        <v>0</v>
      </c>
      <c r="N274" s="7">
        <f>SUMIFS('Leave Management'!$L:$L,'Leave Management'!$C:$C,Detail!$A274,'Leave Management'!$B:$B,Detail!N$1)</f>
        <v>0</v>
      </c>
      <c r="O274" s="7">
        <f t="shared" si="10"/>
        <v>12</v>
      </c>
    </row>
    <row r="275" spans="1:15" x14ac:dyDescent="0.25">
      <c r="A275" s="24">
        <v>43373</v>
      </c>
      <c r="B275" s="2" t="str">
        <f t="shared" si="9"/>
        <v>Sun</v>
      </c>
      <c r="C275" s="7">
        <f>SUMIFS('Leave Management'!$L:$L,'Leave Management'!$C:$C,Detail!$A275,'Leave Management'!$B:$B,Detail!C$1)</f>
        <v>0</v>
      </c>
      <c r="D275" s="7">
        <f>SUMIFS('Leave Management'!$L:$L,'Leave Management'!$C:$C,Detail!$A275,'Leave Management'!$B:$B,Detail!D$1)</f>
        <v>0</v>
      </c>
      <c r="E275" s="7">
        <f>SUMIFS('Leave Management'!$L:$L,'Leave Management'!$C:$C,Detail!$A275,'Leave Management'!$B:$B,Detail!E$1)</f>
        <v>0</v>
      </c>
      <c r="F275" s="7">
        <f>SUMIFS('Leave Management'!$L:$L,'Leave Management'!$C:$C,Detail!$A275,'Leave Management'!$B:$B,Detail!F$1)</f>
        <v>0</v>
      </c>
      <c r="G275" s="7">
        <f>SUMIFS('Leave Management'!$L:$L,'Leave Management'!$C:$C,Detail!$A275,'Leave Management'!$B:$B,Detail!G$1)</f>
        <v>0</v>
      </c>
      <c r="H275" s="7">
        <f>SUMIFS('Leave Management'!$L:$L,'Leave Management'!$C:$C,Detail!$A275,'Leave Management'!$B:$B,Detail!H$1)</f>
        <v>0</v>
      </c>
      <c r="I275" s="7">
        <f>SUMIFS('Leave Management'!$L:$L,'Leave Management'!$C:$C,Detail!$A275,'Leave Management'!$B:$B,Detail!I$1)</f>
        <v>0</v>
      </c>
      <c r="J275" s="7">
        <f>SUMIFS('Leave Management'!$L:$L,'Leave Management'!$C:$C,Detail!$A275,'Leave Management'!$B:$B,Detail!J$1)</f>
        <v>0</v>
      </c>
      <c r="K275" s="7">
        <f>SUMIFS('Leave Management'!$L:$L,'Leave Management'!$C:$C,Detail!$A275,'Leave Management'!$B:$B,Detail!K$1)</f>
        <v>0</v>
      </c>
      <c r="L275" s="7">
        <f>SUMIFS('Leave Management'!$L:$L,'Leave Management'!$C:$C,Detail!$A275,'Leave Management'!$B:$B,Detail!L$1)</f>
        <v>0</v>
      </c>
      <c r="M275" s="7">
        <f>SUMIFS('Leave Management'!$L:$L,'Leave Management'!$C:$C,Detail!$A275,'Leave Management'!$B:$B,Detail!M$1)</f>
        <v>0</v>
      </c>
      <c r="N275" s="7">
        <f>SUMIFS('Leave Management'!$L:$L,'Leave Management'!$C:$C,Detail!$A275,'Leave Management'!$B:$B,Detail!N$1)</f>
        <v>0</v>
      </c>
      <c r="O275" s="7">
        <f t="shared" si="10"/>
        <v>12</v>
      </c>
    </row>
    <row r="276" spans="1:15" x14ac:dyDescent="0.25">
      <c r="A276" s="24">
        <v>43374</v>
      </c>
      <c r="B276" s="2" t="str">
        <f t="shared" si="9"/>
        <v>Mon</v>
      </c>
      <c r="C276" s="7">
        <f>SUMIFS('Leave Management'!$L:$L,'Leave Management'!$C:$C,Detail!$A276,'Leave Management'!$B:$B,Detail!C$1)</f>
        <v>0</v>
      </c>
      <c r="D276" s="7">
        <f>SUMIFS('Leave Management'!$L:$L,'Leave Management'!$C:$C,Detail!$A276,'Leave Management'!$B:$B,Detail!D$1)</f>
        <v>0</v>
      </c>
      <c r="E276" s="7">
        <f>SUMIFS('Leave Management'!$L:$L,'Leave Management'!$C:$C,Detail!$A276,'Leave Management'!$B:$B,Detail!E$1)</f>
        <v>0</v>
      </c>
      <c r="F276" s="7">
        <f>SUMIFS('Leave Management'!$L:$L,'Leave Management'!$C:$C,Detail!$A276,'Leave Management'!$B:$B,Detail!F$1)</f>
        <v>0</v>
      </c>
      <c r="G276" s="7">
        <f>SUMIFS('Leave Management'!$L:$L,'Leave Management'!$C:$C,Detail!$A276,'Leave Management'!$B:$B,Detail!G$1)</f>
        <v>0</v>
      </c>
      <c r="H276" s="7">
        <f>SUMIFS('Leave Management'!$L:$L,'Leave Management'!$C:$C,Detail!$A276,'Leave Management'!$B:$B,Detail!H$1)</f>
        <v>0</v>
      </c>
      <c r="I276" s="7">
        <f>SUMIFS('Leave Management'!$L:$L,'Leave Management'!$C:$C,Detail!$A276,'Leave Management'!$B:$B,Detail!I$1)</f>
        <v>0</v>
      </c>
      <c r="J276" s="7">
        <f>SUMIFS('Leave Management'!$L:$L,'Leave Management'!$C:$C,Detail!$A276,'Leave Management'!$B:$B,Detail!J$1)</f>
        <v>0</v>
      </c>
      <c r="K276" s="7">
        <f>SUMIFS('Leave Management'!$L:$L,'Leave Management'!$C:$C,Detail!$A276,'Leave Management'!$B:$B,Detail!K$1)</f>
        <v>0</v>
      </c>
      <c r="L276" s="7">
        <f>SUMIFS('Leave Management'!$L:$L,'Leave Management'!$C:$C,Detail!$A276,'Leave Management'!$B:$B,Detail!L$1)</f>
        <v>0</v>
      </c>
      <c r="M276" s="7">
        <f>SUMIFS('Leave Management'!$L:$L,'Leave Management'!$C:$C,Detail!$A276,'Leave Management'!$B:$B,Detail!M$1)</f>
        <v>0</v>
      </c>
      <c r="N276" s="7">
        <f>SUMIFS('Leave Management'!$L:$L,'Leave Management'!$C:$C,Detail!$A276,'Leave Management'!$B:$B,Detail!N$1)</f>
        <v>0</v>
      </c>
      <c r="O276" s="7">
        <f t="shared" si="10"/>
        <v>12</v>
      </c>
    </row>
    <row r="277" spans="1:15" x14ac:dyDescent="0.25">
      <c r="A277" s="24">
        <v>43375</v>
      </c>
      <c r="B277" s="2" t="str">
        <f t="shared" si="9"/>
        <v>Tue</v>
      </c>
      <c r="C277" s="7">
        <f>SUMIFS('Leave Management'!$L:$L,'Leave Management'!$C:$C,Detail!$A277,'Leave Management'!$B:$B,Detail!C$1)</f>
        <v>0</v>
      </c>
      <c r="D277" s="7">
        <f>SUMIFS('Leave Management'!$L:$L,'Leave Management'!$C:$C,Detail!$A277,'Leave Management'!$B:$B,Detail!D$1)</f>
        <v>0</v>
      </c>
      <c r="E277" s="7">
        <f>SUMIFS('Leave Management'!$L:$L,'Leave Management'!$C:$C,Detail!$A277,'Leave Management'!$B:$B,Detail!E$1)</f>
        <v>0</v>
      </c>
      <c r="F277" s="7">
        <f>SUMIFS('Leave Management'!$L:$L,'Leave Management'!$C:$C,Detail!$A277,'Leave Management'!$B:$B,Detail!F$1)</f>
        <v>0</v>
      </c>
      <c r="G277" s="7">
        <f>SUMIFS('Leave Management'!$L:$L,'Leave Management'!$C:$C,Detail!$A277,'Leave Management'!$B:$B,Detail!G$1)</f>
        <v>0</v>
      </c>
      <c r="H277" s="7">
        <f>SUMIFS('Leave Management'!$L:$L,'Leave Management'!$C:$C,Detail!$A277,'Leave Management'!$B:$B,Detail!H$1)</f>
        <v>0</v>
      </c>
      <c r="I277" s="7">
        <f>SUMIFS('Leave Management'!$L:$L,'Leave Management'!$C:$C,Detail!$A277,'Leave Management'!$B:$B,Detail!I$1)</f>
        <v>0</v>
      </c>
      <c r="J277" s="7">
        <f>SUMIFS('Leave Management'!$L:$L,'Leave Management'!$C:$C,Detail!$A277,'Leave Management'!$B:$B,Detail!J$1)</f>
        <v>0</v>
      </c>
      <c r="K277" s="7">
        <f>SUMIFS('Leave Management'!$L:$L,'Leave Management'!$C:$C,Detail!$A277,'Leave Management'!$B:$B,Detail!K$1)</f>
        <v>0</v>
      </c>
      <c r="L277" s="7">
        <f>SUMIFS('Leave Management'!$L:$L,'Leave Management'!$C:$C,Detail!$A277,'Leave Management'!$B:$B,Detail!L$1)</f>
        <v>0</v>
      </c>
      <c r="M277" s="7">
        <f>SUMIFS('Leave Management'!$L:$L,'Leave Management'!$C:$C,Detail!$A277,'Leave Management'!$B:$B,Detail!M$1)</f>
        <v>0</v>
      </c>
      <c r="N277" s="7">
        <f>SUMIFS('Leave Management'!$L:$L,'Leave Management'!$C:$C,Detail!$A277,'Leave Management'!$B:$B,Detail!N$1)</f>
        <v>0</v>
      </c>
      <c r="O277" s="7">
        <f t="shared" si="10"/>
        <v>12</v>
      </c>
    </row>
    <row r="278" spans="1:15" x14ac:dyDescent="0.25">
      <c r="A278" s="24">
        <v>43376</v>
      </c>
      <c r="B278" s="2" t="str">
        <f t="shared" si="9"/>
        <v>Wed</v>
      </c>
      <c r="C278" s="7">
        <f>SUMIFS('Leave Management'!$L:$L,'Leave Management'!$C:$C,Detail!$A278,'Leave Management'!$B:$B,Detail!C$1)</f>
        <v>0</v>
      </c>
      <c r="D278" s="7">
        <f>SUMIFS('Leave Management'!$L:$L,'Leave Management'!$C:$C,Detail!$A278,'Leave Management'!$B:$B,Detail!D$1)</f>
        <v>0</v>
      </c>
      <c r="E278" s="7">
        <f>SUMIFS('Leave Management'!$L:$L,'Leave Management'!$C:$C,Detail!$A278,'Leave Management'!$B:$B,Detail!E$1)</f>
        <v>0</v>
      </c>
      <c r="F278" s="7">
        <f>SUMIFS('Leave Management'!$L:$L,'Leave Management'!$C:$C,Detail!$A278,'Leave Management'!$B:$B,Detail!F$1)</f>
        <v>0</v>
      </c>
      <c r="G278" s="7">
        <f>SUMIFS('Leave Management'!$L:$L,'Leave Management'!$C:$C,Detail!$A278,'Leave Management'!$B:$B,Detail!G$1)</f>
        <v>0</v>
      </c>
      <c r="H278" s="7">
        <f>SUMIFS('Leave Management'!$L:$L,'Leave Management'!$C:$C,Detail!$A278,'Leave Management'!$B:$B,Detail!H$1)</f>
        <v>0</v>
      </c>
      <c r="I278" s="7">
        <f>SUMIFS('Leave Management'!$L:$L,'Leave Management'!$C:$C,Detail!$A278,'Leave Management'!$B:$B,Detail!I$1)</f>
        <v>0</v>
      </c>
      <c r="J278" s="7">
        <f>SUMIFS('Leave Management'!$L:$L,'Leave Management'!$C:$C,Detail!$A278,'Leave Management'!$B:$B,Detail!J$1)</f>
        <v>0</v>
      </c>
      <c r="K278" s="7">
        <f>SUMIFS('Leave Management'!$L:$L,'Leave Management'!$C:$C,Detail!$A278,'Leave Management'!$B:$B,Detail!K$1)</f>
        <v>0</v>
      </c>
      <c r="L278" s="7">
        <f>SUMIFS('Leave Management'!$L:$L,'Leave Management'!$C:$C,Detail!$A278,'Leave Management'!$B:$B,Detail!L$1)</f>
        <v>0</v>
      </c>
      <c r="M278" s="7">
        <f>SUMIFS('Leave Management'!$L:$L,'Leave Management'!$C:$C,Detail!$A278,'Leave Management'!$B:$B,Detail!M$1)</f>
        <v>0</v>
      </c>
      <c r="N278" s="7">
        <f>SUMIFS('Leave Management'!$L:$L,'Leave Management'!$C:$C,Detail!$A278,'Leave Management'!$B:$B,Detail!N$1)</f>
        <v>0</v>
      </c>
      <c r="O278" s="7">
        <f t="shared" si="10"/>
        <v>12</v>
      </c>
    </row>
    <row r="279" spans="1:15" x14ac:dyDescent="0.25">
      <c r="A279" s="24">
        <v>43377</v>
      </c>
      <c r="B279" s="2" t="str">
        <f t="shared" si="9"/>
        <v>Thu</v>
      </c>
      <c r="C279" s="7">
        <f>SUMIFS('Leave Management'!$L:$L,'Leave Management'!$C:$C,Detail!$A279,'Leave Management'!$B:$B,Detail!C$1)</f>
        <v>0</v>
      </c>
      <c r="D279" s="7">
        <f>SUMIFS('Leave Management'!$L:$L,'Leave Management'!$C:$C,Detail!$A279,'Leave Management'!$B:$B,Detail!D$1)</f>
        <v>0</v>
      </c>
      <c r="E279" s="7">
        <f>SUMIFS('Leave Management'!$L:$L,'Leave Management'!$C:$C,Detail!$A279,'Leave Management'!$B:$B,Detail!E$1)</f>
        <v>0</v>
      </c>
      <c r="F279" s="7">
        <f>SUMIFS('Leave Management'!$L:$L,'Leave Management'!$C:$C,Detail!$A279,'Leave Management'!$B:$B,Detail!F$1)</f>
        <v>0</v>
      </c>
      <c r="G279" s="7">
        <f>SUMIFS('Leave Management'!$L:$L,'Leave Management'!$C:$C,Detail!$A279,'Leave Management'!$B:$B,Detail!G$1)</f>
        <v>0</v>
      </c>
      <c r="H279" s="7">
        <f>SUMIFS('Leave Management'!$L:$L,'Leave Management'!$C:$C,Detail!$A279,'Leave Management'!$B:$B,Detail!H$1)</f>
        <v>0</v>
      </c>
      <c r="I279" s="7">
        <f>SUMIFS('Leave Management'!$L:$L,'Leave Management'!$C:$C,Detail!$A279,'Leave Management'!$B:$B,Detail!I$1)</f>
        <v>0</v>
      </c>
      <c r="J279" s="7">
        <f>SUMIFS('Leave Management'!$L:$L,'Leave Management'!$C:$C,Detail!$A279,'Leave Management'!$B:$B,Detail!J$1)</f>
        <v>0</v>
      </c>
      <c r="K279" s="7">
        <f>SUMIFS('Leave Management'!$L:$L,'Leave Management'!$C:$C,Detail!$A279,'Leave Management'!$B:$B,Detail!K$1)</f>
        <v>0</v>
      </c>
      <c r="L279" s="7">
        <f>SUMIFS('Leave Management'!$L:$L,'Leave Management'!$C:$C,Detail!$A279,'Leave Management'!$B:$B,Detail!L$1)</f>
        <v>0</v>
      </c>
      <c r="M279" s="7">
        <f>SUMIFS('Leave Management'!$L:$L,'Leave Management'!$C:$C,Detail!$A279,'Leave Management'!$B:$B,Detail!M$1)</f>
        <v>0</v>
      </c>
      <c r="N279" s="7">
        <f>SUMIFS('Leave Management'!$L:$L,'Leave Management'!$C:$C,Detail!$A279,'Leave Management'!$B:$B,Detail!N$1)</f>
        <v>0</v>
      </c>
      <c r="O279" s="7">
        <f t="shared" si="10"/>
        <v>12</v>
      </c>
    </row>
    <row r="280" spans="1:15" x14ac:dyDescent="0.25">
      <c r="A280" s="24">
        <v>43378</v>
      </c>
      <c r="B280" s="2" t="str">
        <f t="shared" si="9"/>
        <v>Fri</v>
      </c>
      <c r="C280" s="7">
        <f>SUMIFS('Leave Management'!$L:$L,'Leave Management'!$C:$C,Detail!$A280,'Leave Management'!$B:$B,Detail!C$1)</f>
        <v>0</v>
      </c>
      <c r="D280" s="7">
        <f>SUMIFS('Leave Management'!$L:$L,'Leave Management'!$C:$C,Detail!$A280,'Leave Management'!$B:$B,Detail!D$1)</f>
        <v>0</v>
      </c>
      <c r="E280" s="7">
        <f>SUMIFS('Leave Management'!$L:$L,'Leave Management'!$C:$C,Detail!$A280,'Leave Management'!$B:$B,Detail!E$1)</f>
        <v>0</v>
      </c>
      <c r="F280" s="7">
        <f>SUMIFS('Leave Management'!$L:$L,'Leave Management'!$C:$C,Detail!$A280,'Leave Management'!$B:$B,Detail!F$1)</f>
        <v>0</v>
      </c>
      <c r="G280" s="7">
        <f>SUMIFS('Leave Management'!$L:$L,'Leave Management'!$C:$C,Detail!$A280,'Leave Management'!$B:$B,Detail!G$1)</f>
        <v>0</v>
      </c>
      <c r="H280" s="7">
        <f>SUMIFS('Leave Management'!$L:$L,'Leave Management'!$C:$C,Detail!$A280,'Leave Management'!$B:$B,Detail!H$1)</f>
        <v>0</v>
      </c>
      <c r="I280" s="7">
        <f>SUMIFS('Leave Management'!$L:$L,'Leave Management'!$C:$C,Detail!$A280,'Leave Management'!$B:$B,Detail!I$1)</f>
        <v>0</v>
      </c>
      <c r="J280" s="7">
        <f>SUMIFS('Leave Management'!$L:$L,'Leave Management'!$C:$C,Detail!$A280,'Leave Management'!$B:$B,Detail!J$1)</f>
        <v>0</v>
      </c>
      <c r="K280" s="7">
        <f>SUMIFS('Leave Management'!$L:$L,'Leave Management'!$C:$C,Detail!$A280,'Leave Management'!$B:$B,Detail!K$1)</f>
        <v>0</v>
      </c>
      <c r="L280" s="7">
        <f>SUMIFS('Leave Management'!$L:$L,'Leave Management'!$C:$C,Detail!$A280,'Leave Management'!$B:$B,Detail!L$1)</f>
        <v>0</v>
      </c>
      <c r="M280" s="7">
        <f>SUMIFS('Leave Management'!$L:$L,'Leave Management'!$C:$C,Detail!$A280,'Leave Management'!$B:$B,Detail!M$1)</f>
        <v>0</v>
      </c>
      <c r="N280" s="7">
        <f>SUMIFS('Leave Management'!$L:$L,'Leave Management'!$C:$C,Detail!$A280,'Leave Management'!$B:$B,Detail!N$1)</f>
        <v>0</v>
      </c>
      <c r="O280" s="7">
        <f t="shared" si="10"/>
        <v>12</v>
      </c>
    </row>
    <row r="281" spans="1:15" x14ac:dyDescent="0.25">
      <c r="A281" s="24">
        <v>43379</v>
      </c>
      <c r="B281" s="2" t="str">
        <f t="shared" si="9"/>
        <v>Sat</v>
      </c>
      <c r="C281" s="7">
        <f>SUMIFS('Leave Management'!$L:$L,'Leave Management'!$C:$C,Detail!$A281,'Leave Management'!$B:$B,Detail!C$1)</f>
        <v>0</v>
      </c>
      <c r="D281" s="7">
        <f>SUMIFS('Leave Management'!$L:$L,'Leave Management'!$C:$C,Detail!$A281,'Leave Management'!$B:$B,Detail!D$1)</f>
        <v>0</v>
      </c>
      <c r="E281" s="7">
        <f>SUMIFS('Leave Management'!$L:$L,'Leave Management'!$C:$C,Detail!$A281,'Leave Management'!$B:$B,Detail!E$1)</f>
        <v>0</v>
      </c>
      <c r="F281" s="7">
        <f>SUMIFS('Leave Management'!$L:$L,'Leave Management'!$C:$C,Detail!$A281,'Leave Management'!$B:$B,Detail!F$1)</f>
        <v>0</v>
      </c>
      <c r="G281" s="7">
        <f>SUMIFS('Leave Management'!$L:$L,'Leave Management'!$C:$C,Detail!$A281,'Leave Management'!$B:$B,Detail!G$1)</f>
        <v>0</v>
      </c>
      <c r="H281" s="7">
        <f>SUMIFS('Leave Management'!$L:$L,'Leave Management'!$C:$C,Detail!$A281,'Leave Management'!$B:$B,Detail!H$1)</f>
        <v>0</v>
      </c>
      <c r="I281" s="7">
        <f>SUMIFS('Leave Management'!$L:$L,'Leave Management'!$C:$C,Detail!$A281,'Leave Management'!$B:$B,Detail!I$1)</f>
        <v>0</v>
      </c>
      <c r="J281" s="7">
        <f>SUMIFS('Leave Management'!$L:$L,'Leave Management'!$C:$C,Detail!$A281,'Leave Management'!$B:$B,Detail!J$1)</f>
        <v>0</v>
      </c>
      <c r="K281" s="7">
        <f>SUMIFS('Leave Management'!$L:$L,'Leave Management'!$C:$C,Detail!$A281,'Leave Management'!$B:$B,Detail!K$1)</f>
        <v>0</v>
      </c>
      <c r="L281" s="7">
        <f>SUMIFS('Leave Management'!$L:$L,'Leave Management'!$C:$C,Detail!$A281,'Leave Management'!$B:$B,Detail!L$1)</f>
        <v>0</v>
      </c>
      <c r="M281" s="7">
        <f>SUMIFS('Leave Management'!$L:$L,'Leave Management'!$C:$C,Detail!$A281,'Leave Management'!$B:$B,Detail!M$1)</f>
        <v>0</v>
      </c>
      <c r="N281" s="7">
        <f>SUMIFS('Leave Management'!$L:$L,'Leave Management'!$C:$C,Detail!$A281,'Leave Management'!$B:$B,Detail!N$1)</f>
        <v>0</v>
      </c>
      <c r="O281" s="7">
        <f t="shared" si="10"/>
        <v>12</v>
      </c>
    </row>
    <row r="282" spans="1:15" x14ac:dyDescent="0.25">
      <c r="A282" s="24">
        <v>43380</v>
      </c>
      <c r="B282" s="2" t="str">
        <f t="shared" si="9"/>
        <v>Sun</v>
      </c>
      <c r="C282" s="7">
        <f>SUMIFS('Leave Management'!$L:$L,'Leave Management'!$C:$C,Detail!$A282,'Leave Management'!$B:$B,Detail!C$1)</f>
        <v>0</v>
      </c>
      <c r="D282" s="7">
        <f>SUMIFS('Leave Management'!$L:$L,'Leave Management'!$C:$C,Detail!$A282,'Leave Management'!$B:$B,Detail!D$1)</f>
        <v>0</v>
      </c>
      <c r="E282" s="7">
        <f>SUMIFS('Leave Management'!$L:$L,'Leave Management'!$C:$C,Detail!$A282,'Leave Management'!$B:$B,Detail!E$1)</f>
        <v>0</v>
      </c>
      <c r="F282" s="7">
        <f>SUMIFS('Leave Management'!$L:$L,'Leave Management'!$C:$C,Detail!$A282,'Leave Management'!$B:$B,Detail!F$1)</f>
        <v>0</v>
      </c>
      <c r="G282" s="7">
        <f>SUMIFS('Leave Management'!$L:$L,'Leave Management'!$C:$C,Detail!$A282,'Leave Management'!$B:$B,Detail!G$1)</f>
        <v>0</v>
      </c>
      <c r="H282" s="7">
        <f>SUMIFS('Leave Management'!$L:$L,'Leave Management'!$C:$C,Detail!$A282,'Leave Management'!$B:$B,Detail!H$1)</f>
        <v>0</v>
      </c>
      <c r="I282" s="7">
        <f>SUMIFS('Leave Management'!$L:$L,'Leave Management'!$C:$C,Detail!$A282,'Leave Management'!$B:$B,Detail!I$1)</f>
        <v>0</v>
      </c>
      <c r="J282" s="7">
        <f>SUMIFS('Leave Management'!$L:$L,'Leave Management'!$C:$C,Detail!$A282,'Leave Management'!$B:$B,Detail!J$1)</f>
        <v>0</v>
      </c>
      <c r="K282" s="7">
        <f>SUMIFS('Leave Management'!$L:$L,'Leave Management'!$C:$C,Detail!$A282,'Leave Management'!$B:$B,Detail!K$1)</f>
        <v>0</v>
      </c>
      <c r="L282" s="7">
        <f>SUMIFS('Leave Management'!$L:$L,'Leave Management'!$C:$C,Detail!$A282,'Leave Management'!$B:$B,Detail!L$1)</f>
        <v>0</v>
      </c>
      <c r="M282" s="7">
        <f>SUMIFS('Leave Management'!$L:$L,'Leave Management'!$C:$C,Detail!$A282,'Leave Management'!$B:$B,Detail!M$1)</f>
        <v>0</v>
      </c>
      <c r="N282" s="7">
        <f>SUMIFS('Leave Management'!$L:$L,'Leave Management'!$C:$C,Detail!$A282,'Leave Management'!$B:$B,Detail!N$1)</f>
        <v>0</v>
      </c>
      <c r="O282" s="7">
        <f t="shared" si="10"/>
        <v>12</v>
      </c>
    </row>
    <row r="283" spans="1:15" x14ac:dyDescent="0.25">
      <c r="A283" s="24">
        <v>43381</v>
      </c>
      <c r="B283" s="2" t="str">
        <f t="shared" si="9"/>
        <v>Mon</v>
      </c>
      <c r="C283" s="7">
        <f>SUMIFS('Leave Management'!$L:$L,'Leave Management'!$C:$C,Detail!$A283,'Leave Management'!$B:$B,Detail!C$1)</f>
        <v>0</v>
      </c>
      <c r="D283" s="7">
        <f>SUMIFS('Leave Management'!$L:$L,'Leave Management'!$C:$C,Detail!$A283,'Leave Management'!$B:$B,Detail!D$1)</f>
        <v>0</v>
      </c>
      <c r="E283" s="7">
        <f>SUMIFS('Leave Management'!$L:$L,'Leave Management'!$C:$C,Detail!$A283,'Leave Management'!$B:$B,Detail!E$1)</f>
        <v>1</v>
      </c>
      <c r="F283" s="7">
        <f>SUMIFS('Leave Management'!$L:$L,'Leave Management'!$C:$C,Detail!$A283,'Leave Management'!$B:$B,Detail!F$1)</f>
        <v>1</v>
      </c>
      <c r="G283" s="7">
        <f>SUMIFS('Leave Management'!$L:$L,'Leave Management'!$C:$C,Detail!$A283,'Leave Management'!$B:$B,Detail!G$1)</f>
        <v>0</v>
      </c>
      <c r="H283" s="7">
        <f>SUMIFS('Leave Management'!$L:$L,'Leave Management'!$C:$C,Detail!$A283,'Leave Management'!$B:$B,Detail!H$1)</f>
        <v>0</v>
      </c>
      <c r="I283" s="7">
        <f>SUMIFS('Leave Management'!$L:$L,'Leave Management'!$C:$C,Detail!$A283,'Leave Management'!$B:$B,Detail!I$1)</f>
        <v>0</v>
      </c>
      <c r="J283" s="7">
        <f>SUMIFS('Leave Management'!$L:$L,'Leave Management'!$C:$C,Detail!$A283,'Leave Management'!$B:$B,Detail!J$1)</f>
        <v>0</v>
      </c>
      <c r="K283" s="7">
        <f>SUMIFS('Leave Management'!$L:$L,'Leave Management'!$C:$C,Detail!$A283,'Leave Management'!$B:$B,Detail!K$1)</f>
        <v>0</v>
      </c>
      <c r="L283" s="7">
        <f>SUMIFS('Leave Management'!$L:$L,'Leave Management'!$C:$C,Detail!$A283,'Leave Management'!$B:$B,Detail!L$1)</f>
        <v>0</v>
      </c>
      <c r="M283" s="7">
        <f>SUMIFS('Leave Management'!$L:$L,'Leave Management'!$C:$C,Detail!$A283,'Leave Management'!$B:$B,Detail!M$1)</f>
        <v>0</v>
      </c>
      <c r="N283" s="7">
        <f>SUMIFS('Leave Management'!$L:$L,'Leave Management'!$C:$C,Detail!$A283,'Leave Management'!$B:$B,Detail!N$1)</f>
        <v>0</v>
      </c>
      <c r="O283" s="7">
        <f t="shared" si="10"/>
        <v>10</v>
      </c>
    </row>
    <row r="284" spans="1:15" x14ac:dyDescent="0.25">
      <c r="A284" s="24">
        <v>43382</v>
      </c>
      <c r="B284" s="2" t="str">
        <f t="shared" si="9"/>
        <v>Tue</v>
      </c>
      <c r="C284" s="7">
        <f>SUMIFS('Leave Management'!$L:$L,'Leave Management'!$C:$C,Detail!$A284,'Leave Management'!$B:$B,Detail!C$1)</f>
        <v>0</v>
      </c>
      <c r="D284" s="7">
        <f>SUMIFS('Leave Management'!$L:$L,'Leave Management'!$C:$C,Detail!$A284,'Leave Management'!$B:$B,Detail!D$1)</f>
        <v>0</v>
      </c>
      <c r="E284" s="7">
        <f>SUMIFS('Leave Management'!$L:$L,'Leave Management'!$C:$C,Detail!$A284,'Leave Management'!$B:$B,Detail!E$1)</f>
        <v>1</v>
      </c>
      <c r="F284" s="7">
        <f>SUMIFS('Leave Management'!$L:$L,'Leave Management'!$C:$C,Detail!$A284,'Leave Management'!$B:$B,Detail!F$1)</f>
        <v>1</v>
      </c>
      <c r="G284" s="7">
        <f>SUMIFS('Leave Management'!$L:$L,'Leave Management'!$C:$C,Detail!$A284,'Leave Management'!$B:$B,Detail!G$1)</f>
        <v>0</v>
      </c>
      <c r="H284" s="7">
        <f>SUMIFS('Leave Management'!$L:$L,'Leave Management'!$C:$C,Detail!$A284,'Leave Management'!$B:$B,Detail!H$1)</f>
        <v>0</v>
      </c>
      <c r="I284" s="7">
        <f>SUMIFS('Leave Management'!$L:$L,'Leave Management'!$C:$C,Detail!$A284,'Leave Management'!$B:$B,Detail!I$1)</f>
        <v>0</v>
      </c>
      <c r="J284" s="7">
        <f>SUMIFS('Leave Management'!$L:$L,'Leave Management'!$C:$C,Detail!$A284,'Leave Management'!$B:$B,Detail!J$1)</f>
        <v>0</v>
      </c>
      <c r="K284" s="7">
        <f>SUMIFS('Leave Management'!$L:$L,'Leave Management'!$C:$C,Detail!$A284,'Leave Management'!$B:$B,Detail!K$1)</f>
        <v>0</v>
      </c>
      <c r="L284" s="7">
        <f>SUMIFS('Leave Management'!$L:$L,'Leave Management'!$C:$C,Detail!$A284,'Leave Management'!$B:$B,Detail!L$1)</f>
        <v>0</v>
      </c>
      <c r="M284" s="7">
        <f>SUMIFS('Leave Management'!$L:$L,'Leave Management'!$C:$C,Detail!$A284,'Leave Management'!$B:$B,Detail!M$1)</f>
        <v>0</v>
      </c>
      <c r="N284" s="7">
        <f>SUMIFS('Leave Management'!$L:$L,'Leave Management'!$C:$C,Detail!$A284,'Leave Management'!$B:$B,Detail!N$1)</f>
        <v>0</v>
      </c>
      <c r="O284" s="7">
        <f t="shared" si="10"/>
        <v>10</v>
      </c>
    </row>
    <row r="285" spans="1:15" x14ac:dyDescent="0.25">
      <c r="A285" s="24">
        <v>43383</v>
      </c>
      <c r="B285" s="2" t="str">
        <f t="shared" si="9"/>
        <v>Wed</v>
      </c>
      <c r="C285" s="7">
        <f>SUMIFS('Leave Management'!$L:$L,'Leave Management'!$C:$C,Detail!$A285,'Leave Management'!$B:$B,Detail!C$1)</f>
        <v>0</v>
      </c>
      <c r="D285" s="7">
        <f>SUMIFS('Leave Management'!$L:$L,'Leave Management'!$C:$C,Detail!$A285,'Leave Management'!$B:$B,Detail!D$1)</f>
        <v>0</v>
      </c>
      <c r="E285" s="7">
        <f>SUMIFS('Leave Management'!$L:$L,'Leave Management'!$C:$C,Detail!$A285,'Leave Management'!$B:$B,Detail!E$1)</f>
        <v>0</v>
      </c>
      <c r="F285" s="7">
        <f>SUMIFS('Leave Management'!$L:$L,'Leave Management'!$C:$C,Detail!$A285,'Leave Management'!$B:$B,Detail!F$1)</f>
        <v>0</v>
      </c>
      <c r="G285" s="7">
        <f>SUMIFS('Leave Management'!$L:$L,'Leave Management'!$C:$C,Detail!$A285,'Leave Management'!$B:$B,Detail!G$1)</f>
        <v>0</v>
      </c>
      <c r="H285" s="7">
        <f>SUMIFS('Leave Management'!$L:$L,'Leave Management'!$C:$C,Detail!$A285,'Leave Management'!$B:$B,Detail!H$1)</f>
        <v>0</v>
      </c>
      <c r="I285" s="7">
        <f>SUMIFS('Leave Management'!$L:$L,'Leave Management'!$C:$C,Detail!$A285,'Leave Management'!$B:$B,Detail!I$1)</f>
        <v>0</v>
      </c>
      <c r="J285" s="7">
        <f>SUMIFS('Leave Management'!$L:$L,'Leave Management'!$C:$C,Detail!$A285,'Leave Management'!$B:$B,Detail!J$1)</f>
        <v>0</v>
      </c>
      <c r="K285" s="7">
        <f>SUMIFS('Leave Management'!$L:$L,'Leave Management'!$C:$C,Detail!$A285,'Leave Management'!$B:$B,Detail!K$1)</f>
        <v>0</v>
      </c>
      <c r="L285" s="7">
        <f>SUMIFS('Leave Management'!$L:$L,'Leave Management'!$C:$C,Detail!$A285,'Leave Management'!$B:$B,Detail!L$1)</f>
        <v>0</v>
      </c>
      <c r="M285" s="7">
        <f>SUMIFS('Leave Management'!$L:$L,'Leave Management'!$C:$C,Detail!$A285,'Leave Management'!$B:$B,Detail!M$1)</f>
        <v>0</v>
      </c>
      <c r="N285" s="7">
        <f>SUMIFS('Leave Management'!$L:$L,'Leave Management'!$C:$C,Detail!$A285,'Leave Management'!$B:$B,Detail!N$1)</f>
        <v>0</v>
      </c>
      <c r="O285" s="7">
        <f t="shared" si="10"/>
        <v>12</v>
      </c>
    </row>
    <row r="286" spans="1:15" x14ac:dyDescent="0.25">
      <c r="A286" s="24">
        <v>43384</v>
      </c>
      <c r="B286" s="2" t="str">
        <f t="shared" si="9"/>
        <v>Thu</v>
      </c>
      <c r="C286" s="7">
        <f>SUMIFS('Leave Management'!$L:$L,'Leave Management'!$C:$C,Detail!$A286,'Leave Management'!$B:$B,Detail!C$1)</f>
        <v>0</v>
      </c>
      <c r="D286" s="7">
        <f>SUMIFS('Leave Management'!$L:$L,'Leave Management'!$C:$C,Detail!$A286,'Leave Management'!$B:$B,Detail!D$1)</f>
        <v>0</v>
      </c>
      <c r="E286" s="7">
        <f>SUMIFS('Leave Management'!$L:$L,'Leave Management'!$C:$C,Detail!$A286,'Leave Management'!$B:$B,Detail!E$1)</f>
        <v>0</v>
      </c>
      <c r="F286" s="7">
        <f>SUMIFS('Leave Management'!$L:$L,'Leave Management'!$C:$C,Detail!$A286,'Leave Management'!$B:$B,Detail!F$1)</f>
        <v>0</v>
      </c>
      <c r="G286" s="7">
        <f>SUMIFS('Leave Management'!$L:$L,'Leave Management'!$C:$C,Detail!$A286,'Leave Management'!$B:$B,Detail!G$1)</f>
        <v>0</v>
      </c>
      <c r="H286" s="7">
        <f>SUMIFS('Leave Management'!$L:$L,'Leave Management'!$C:$C,Detail!$A286,'Leave Management'!$B:$B,Detail!H$1)</f>
        <v>0</v>
      </c>
      <c r="I286" s="7">
        <f>SUMIFS('Leave Management'!$L:$L,'Leave Management'!$C:$C,Detail!$A286,'Leave Management'!$B:$B,Detail!I$1)</f>
        <v>0</v>
      </c>
      <c r="J286" s="7">
        <f>SUMIFS('Leave Management'!$L:$L,'Leave Management'!$C:$C,Detail!$A286,'Leave Management'!$B:$B,Detail!J$1)</f>
        <v>0</v>
      </c>
      <c r="K286" s="7">
        <f>SUMIFS('Leave Management'!$L:$L,'Leave Management'!$C:$C,Detail!$A286,'Leave Management'!$B:$B,Detail!K$1)</f>
        <v>0</v>
      </c>
      <c r="L286" s="7">
        <f>SUMIFS('Leave Management'!$L:$L,'Leave Management'!$C:$C,Detail!$A286,'Leave Management'!$B:$B,Detail!L$1)</f>
        <v>0</v>
      </c>
      <c r="M286" s="7">
        <f>SUMIFS('Leave Management'!$L:$L,'Leave Management'!$C:$C,Detail!$A286,'Leave Management'!$B:$B,Detail!M$1)</f>
        <v>0</v>
      </c>
      <c r="N286" s="7">
        <f>SUMIFS('Leave Management'!$L:$L,'Leave Management'!$C:$C,Detail!$A286,'Leave Management'!$B:$B,Detail!N$1)</f>
        <v>0</v>
      </c>
      <c r="O286" s="7">
        <f t="shared" si="10"/>
        <v>12</v>
      </c>
    </row>
    <row r="287" spans="1:15" x14ac:dyDescent="0.25">
      <c r="A287" s="24">
        <v>43385</v>
      </c>
      <c r="B287" s="2" t="str">
        <f t="shared" si="9"/>
        <v>Fri</v>
      </c>
      <c r="C287" s="7">
        <f>SUMIFS('Leave Management'!$L:$L,'Leave Management'!$C:$C,Detail!$A287,'Leave Management'!$B:$B,Detail!C$1)</f>
        <v>0</v>
      </c>
      <c r="D287" s="7">
        <f>SUMIFS('Leave Management'!$L:$L,'Leave Management'!$C:$C,Detail!$A287,'Leave Management'!$B:$B,Detail!D$1)</f>
        <v>0</v>
      </c>
      <c r="E287" s="7">
        <f>SUMIFS('Leave Management'!$L:$L,'Leave Management'!$C:$C,Detail!$A287,'Leave Management'!$B:$B,Detail!E$1)</f>
        <v>0</v>
      </c>
      <c r="F287" s="7">
        <f>SUMIFS('Leave Management'!$L:$L,'Leave Management'!$C:$C,Detail!$A287,'Leave Management'!$B:$B,Detail!F$1)</f>
        <v>0</v>
      </c>
      <c r="G287" s="7">
        <f>SUMIFS('Leave Management'!$L:$L,'Leave Management'!$C:$C,Detail!$A287,'Leave Management'!$B:$B,Detail!G$1)</f>
        <v>0</v>
      </c>
      <c r="H287" s="7">
        <f>SUMIFS('Leave Management'!$L:$L,'Leave Management'!$C:$C,Detail!$A287,'Leave Management'!$B:$B,Detail!H$1)</f>
        <v>0</v>
      </c>
      <c r="I287" s="7">
        <f>SUMIFS('Leave Management'!$L:$L,'Leave Management'!$C:$C,Detail!$A287,'Leave Management'!$B:$B,Detail!I$1)</f>
        <v>0</v>
      </c>
      <c r="J287" s="7">
        <f>SUMIFS('Leave Management'!$L:$L,'Leave Management'!$C:$C,Detail!$A287,'Leave Management'!$B:$B,Detail!J$1)</f>
        <v>0</v>
      </c>
      <c r="K287" s="7">
        <f>SUMIFS('Leave Management'!$L:$L,'Leave Management'!$C:$C,Detail!$A287,'Leave Management'!$B:$B,Detail!K$1)</f>
        <v>0</v>
      </c>
      <c r="L287" s="7">
        <f>SUMIFS('Leave Management'!$L:$L,'Leave Management'!$C:$C,Detail!$A287,'Leave Management'!$B:$B,Detail!L$1)</f>
        <v>0</v>
      </c>
      <c r="M287" s="7">
        <f>SUMIFS('Leave Management'!$L:$L,'Leave Management'!$C:$C,Detail!$A287,'Leave Management'!$B:$B,Detail!M$1)</f>
        <v>0</v>
      </c>
      <c r="N287" s="7">
        <f>SUMIFS('Leave Management'!$L:$L,'Leave Management'!$C:$C,Detail!$A287,'Leave Management'!$B:$B,Detail!N$1)</f>
        <v>0</v>
      </c>
      <c r="O287" s="7">
        <f t="shared" si="10"/>
        <v>12</v>
      </c>
    </row>
    <row r="288" spans="1:15" x14ac:dyDescent="0.25">
      <c r="A288" s="24">
        <v>43386</v>
      </c>
      <c r="B288" s="2" t="str">
        <f t="shared" si="9"/>
        <v>Sat</v>
      </c>
      <c r="C288" s="7">
        <f>SUMIFS('Leave Management'!$L:$L,'Leave Management'!$C:$C,Detail!$A288,'Leave Management'!$B:$B,Detail!C$1)</f>
        <v>0</v>
      </c>
      <c r="D288" s="7">
        <f>SUMIFS('Leave Management'!$L:$L,'Leave Management'!$C:$C,Detail!$A288,'Leave Management'!$B:$B,Detail!D$1)</f>
        <v>0</v>
      </c>
      <c r="E288" s="7">
        <f>SUMIFS('Leave Management'!$L:$L,'Leave Management'!$C:$C,Detail!$A288,'Leave Management'!$B:$B,Detail!E$1)</f>
        <v>0</v>
      </c>
      <c r="F288" s="7">
        <f>SUMIFS('Leave Management'!$L:$L,'Leave Management'!$C:$C,Detail!$A288,'Leave Management'!$B:$B,Detail!F$1)</f>
        <v>0</v>
      </c>
      <c r="G288" s="7">
        <f>SUMIFS('Leave Management'!$L:$L,'Leave Management'!$C:$C,Detail!$A288,'Leave Management'!$B:$B,Detail!G$1)</f>
        <v>0</v>
      </c>
      <c r="H288" s="7">
        <f>SUMIFS('Leave Management'!$L:$L,'Leave Management'!$C:$C,Detail!$A288,'Leave Management'!$B:$B,Detail!H$1)</f>
        <v>0</v>
      </c>
      <c r="I288" s="7">
        <f>SUMIFS('Leave Management'!$L:$L,'Leave Management'!$C:$C,Detail!$A288,'Leave Management'!$B:$B,Detail!I$1)</f>
        <v>0</v>
      </c>
      <c r="J288" s="7">
        <f>SUMIFS('Leave Management'!$L:$L,'Leave Management'!$C:$C,Detail!$A288,'Leave Management'!$B:$B,Detail!J$1)</f>
        <v>0</v>
      </c>
      <c r="K288" s="7">
        <f>SUMIFS('Leave Management'!$L:$L,'Leave Management'!$C:$C,Detail!$A288,'Leave Management'!$B:$B,Detail!K$1)</f>
        <v>0</v>
      </c>
      <c r="L288" s="7">
        <f>SUMIFS('Leave Management'!$L:$L,'Leave Management'!$C:$C,Detail!$A288,'Leave Management'!$B:$B,Detail!L$1)</f>
        <v>0</v>
      </c>
      <c r="M288" s="7">
        <f>SUMIFS('Leave Management'!$L:$L,'Leave Management'!$C:$C,Detail!$A288,'Leave Management'!$B:$B,Detail!M$1)</f>
        <v>0</v>
      </c>
      <c r="N288" s="7">
        <f>SUMIFS('Leave Management'!$L:$L,'Leave Management'!$C:$C,Detail!$A288,'Leave Management'!$B:$B,Detail!N$1)</f>
        <v>0</v>
      </c>
      <c r="O288" s="7">
        <f t="shared" si="10"/>
        <v>12</v>
      </c>
    </row>
    <row r="289" spans="1:15" x14ac:dyDescent="0.25">
      <c r="A289" s="24">
        <v>43387</v>
      </c>
      <c r="B289" s="2" t="str">
        <f t="shared" si="9"/>
        <v>Sun</v>
      </c>
      <c r="C289" s="7">
        <f>SUMIFS('Leave Management'!$L:$L,'Leave Management'!$C:$C,Detail!$A289,'Leave Management'!$B:$B,Detail!C$1)</f>
        <v>0</v>
      </c>
      <c r="D289" s="7">
        <f>SUMIFS('Leave Management'!$L:$L,'Leave Management'!$C:$C,Detail!$A289,'Leave Management'!$B:$B,Detail!D$1)</f>
        <v>0</v>
      </c>
      <c r="E289" s="7">
        <f>SUMIFS('Leave Management'!$L:$L,'Leave Management'!$C:$C,Detail!$A289,'Leave Management'!$B:$B,Detail!E$1)</f>
        <v>0</v>
      </c>
      <c r="F289" s="7">
        <f>SUMIFS('Leave Management'!$L:$L,'Leave Management'!$C:$C,Detail!$A289,'Leave Management'!$B:$B,Detail!F$1)</f>
        <v>0</v>
      </c>
      <c r="G289" s="7">
        <f>SUMIFS('Leave Management'!$L:$L,'Leave Management'!$C:$C,Detail!$A289,'Leave Management'!$B:$B,Detail!G$1)</f>
        <v>0</v>
      </c>
      <c r="H289" s="7">
        <f>SUMIFS('Leave Management'!$L:$L,'Leave Management'!$C:$C,Detail!$A289,'Leave Management'!$B:$B,Detail!H$1)</f>
        <v>0</v>
      </c>
      <c r="I289" s="7">
        <f>SUMIFS('Leave Management'!$L:$L,'Leave Management'!$C:$C,Detail!$A289,'Leave Management'!$B:$B,Detail!I$1)</f>
        <v>0</v>
      </c>
      <c r="J289" s="7">
        <f>SUMIFS('Leave Management'!$L:$L,'Leave Management'!$C:$C,Detail!$A289,'Leave Management'!$B:$B,Detail!J$1)</f>
        <v>0</v>
      </c>
      <c r="K289" s="7">
        <f>SUMIFS('Leave Management'!$L:$L,'Leave Management'!$C:$C,Detail!$A289,'Leave Management'!$B:$B,Detail!K$1)</f>
        <v>0</v>
      </c>
      <c r="L289" s="7">
        <f>SUMIFS('Leave Management'!$L:$L,'Leave Management'!$C:$C,Detail!$A289,'Leave Management'!$B:$B,Detail!L$1)</f>
        <v>0</v>
      </c>
      <c r="M289" s="7">
        <f>SUMIFS('Leave Management'!$L:$L,'Leave Management'!$C:$C,Detail!$A289,'Leave Management'!$B:$B,Detail!M$1)</f>
        <v>0</v>
      </c>
      <c r="N289" s="7">
        <f>SUMIFS('Leave Management'!$L:$L,'Leave Management'!$C:$C,Detail!$A289,'Leave Management'!$B:$B,Detail!N$1)</f>
        <v>0</v>
      </c>
      <c r="O289" s="7">
        <f t="shared" si="10"/>
        <v>12</v>
      </c>
    </row>
    <row r="290" spans="1:15" x14ac:dyDescent="0.25">
      <c r="A290" s="24">
        <v>43388</v>
      </c>
      <c r="B290" s="2" t="str">
        <f t="shared" si="9"/>
        <v>Mon</v>
      </c>
      <c r="C290" s="7">
        <f>SUMIFS('Leave Management'!$L:$L,'Leave Management'!$C:$C,Detail!$A290,'Leave Management'!$B:$B,Detail!C$1)</f>
        <v>0</v>
      </c>
      <c r="D290" s="7">
        <f>SUMIFS('Leave Management'!$L:$L,'Leave Management'!$C:$C,Detail!$A290,'Leave Management'!$B:$B,Detail!D$1)</f>
        <v>1</v>
      </c>
      <c r="E290" s="7">
        <f>SUMIFS('Leave Management'!$L:$L,'Leave Management'!$C:$C,Detail!$A290,'Leave Management'!$B:$B,Detail!E$1)</f>
        <v>0</v>
      </c>
      <c r="F290" s="7">
        <f>SUMIFS('Leave Management'!$L:$L,'Leave Management'!$C:$C,Detail!$A290,'Leave Management'!$B:$B,Detail!F$1)</f>
        <v>0</v>
      </c>
      <c r="G290" s="7">
        <f>SUMIFS('Leave Management'!$L:$L,'Leave Management'!$C:$C,Detail!$A290,'Leave Management'!$B:$B,Detail!G$1)</f>
        <v>0</v>
      </c>
      <c r="H290" s="7">
        <f>SUMIFS('Leave Management'!$L:$L,'Leave Management'!$C:$C,Detail!$A290,'Leave Management'!$B:$B,Detail!H$1)</f>
        <v>0</v>
      </c>
      <c r="I290" s="7">
        <f>SUMIFS('Leave Management'!$L:$L,'Leave Management'!$C:$C,Detail!$A290,'Leave Management'!$B:$B,Detail!I$1)</f>
        <v>0</v>
      </c>
      <c r="J290" s="7">
        <f>SUMIFS('Leave Management'!$L:$L,'Leave Management'!$C:$C,Detail!$A290,'Leave Management'!$B:$B,Detail!J$1)</f>
        <v>0</v>
      </c>
      <c r="K290" s="7">
        <f>SUMIFS('Leave Management'!$L:$L,'Leave Management'!$C:$C,Detail!$A290,'Leave Management'!$B:$B,Detail!K$1)</f>
        <v>0</v>
      </c>
      <c r="L290" s="7">
        <f>SUMIFS('Leave Management'!$L:$L,'Leave Management'!$C:$C,Detail!$A290,'Leave Management'!$B:$B,Detail!L$1)</f>
        <v>0</v>
      </c>
      <c r="M290" s="7">
        <f>SUMIFS('Leave Management'!$L:$L,'Leave Management'!$C:$C,Detail!$A290,'Leave Management'!$B:$B,Detail!M$1)</f>
        <v>0</v>
      </c>
      <c r="N290" s="7">
        <f>SUMIFS('Leave Management'!$L:$L,'Leave Management'!$C:$C,Detail!$A290,'Leave Management'!$B:$B,Detail!N$1)</f>
        <v>0</v>
      </c>
      <c r="O290" s="7">
        <f t="shared" si="10"/>
        <v>11</v>
      </c>
    </row>
    <row r="291" spans="1:15" x14ac:dyDescent="0.25">
      <c r="A291" s="24">
        <v>43389</v>
      </c>
      <c r="B291" s="2" t="str">
        <f t="shared" si="9"/>
        <v>Tue</v>
      </c>
      <c r="C291" s="7">
        <f>SUMIFS('Leave Management'!$L:$L,'Leave Management'!$C:$C,Detail!$A291,'Leave Management'!$B:$B,Detail!C$1)</f>
        <v>0</v>
      </c>
      <c r="D291" s="7">
        <f>SUMIFS('Leave Management'!$L:$L,'Leave Management'!$C:$C,Detail!$A291,'Leave Management'!$B:$B,Detail!D$1)</f>
        <v>0</v>
      </c>
      <c r="E291" s="7">
        <f>SUMIFS('Leave Management'!$L:$L,'Leave Management'!$C:$C,Detail!$A291,'Leave Management'!$B:$B,Detail!E$1)</f>
        <v>0</v>
      </c>
      <c r="F291" s="7">
        <f>SUMIFS('Leave Management'!$L:$L,'Leave Management'!$C:$C,Detail!$A291,'Leave Management'!$B:$B,Detail!F$1)</f>
        <v>0</v>
      </c>
      <c r="G291" s="7">
        <f>SUMIFS('Leave Management'!$L:$L,'Leave Management'!$C:$C,Detail!$A291,'Leave Management'!$B:$B,Detail!G$1)</f>
        <v>0</v>
      </c>
      <c r="H291" s="7">
        <f>SUMIFS('Leave Management'!$L:$L,'Leave Management'!$C:$C,Detail!$A291,'Leave Management'!$B:$B,Detail!H$1)</f>
        <v>0</v>
      </c>
      <c r="I291" s="7">
        <f>SUMIFS('Leave Management'!$L:$L,'Leave Management'!$C:$C,Detail!$A291,'Leave Management'!$B:$B,Detail!I$1)</f>
        <v>0</v>
      </c>
      <c r="J291" s="7">
        <f>SUMIFS('Leave Management'!$L:$L,'Leave Management'!$C:$C,Detail!$A291,'Leave Management'!$B:$B,Detail!J$1)</f>
        <v>0</v>
      </c>
      <c r="K291" s="7">
        <f>SUMIFS('Leave Management'!$L:$L,'Leave Management'!$C:$C,Detail!$A291,'Leave Management'!$B:$B,Detail!K$1)</f>
        <v>0</v>
      </c>
      <c r="L291" s="7">
        <f>SUMIFS('Leave Management'!$L:$L,'Leave Management'!$C:$C,Detail!$A291,'Leave Management'!$B:$B,Detail!L$1)</f>
        <v>0</v>
      </c>
      <c r="M291" s="7">
        <f>SUMIFS('Leave Management'!$L:$L,'Leave Management'!$C:$C,Detail!$A291,'Leave Management'!$B:$B,Detail!M$1)</f>
        <v>0</v>
      </c>
      <c r="N291" s="7">
        <f>SUMIFS('Leave Management'!$L:$L,'Leave Management'!$C:$C,Detail!$A291,'Leave Management'!$B:$B,Detail!N$1)</f>
        <v>0</v>
      </c>
      <c r="O291" s="7">
        <f t="shared" si="10"/>
        <v>12</v>
      </c>
    </row>
    <row r="292" spans="1:15" x14ac:dyDescent="0.25">
      <c r="A292" s="24">
        <v>43390</v>
      </c>
      <c r="B292" s="2" t="str">
        <f t="shared" si="9"/>
        <v>Wed</v>
      </c>
      <c r="C292" s="7">
        <f>SUMIFS('Leave Management'!$L:$L,'Leave Management'!$C:$C,Detail!$A292,'Leave Management'!$B:$B,Detail!C$1)</f>
        <v>0</v>
      </c>
      <c r="D292" s="7">
        <f>SUMIFS('Leave Management'!$L:$L,'Leave Management'!$C:$C,Detail!$A292,'Leave Management'!$B:$B,Detail!D$1)</f>
        <v>0</v>
      </c>
      <c r="E292" s="7">
        <f>SUMIFS('Leave Management'!$L:$L,'Leave Management'!$C:$C,Detail!$A292,'Leave Management'!$B:$B,Detail!E$1)</f>
        <v>0</v>
      </c>
      <c r="F292" s="7">
        <f>SUMIFS('Leave Management'!$L:$L,'Leave Management'!$C:$C,Detail!$A292,'Leave Management'!$B:$B,Detail!F$1)</f>
        <v>0</v>
      </c>
      <c r="G292" s="7">
        <f>SUMIFS('Leave Management'!$L:$L,'Leave Management'!$C:$C,Detail!$A292,'Leave Management'!$B:$B,Detail!G$1)</f>
        <v>0</v>
      </c>
      <c r="H292" s="7">
        <f>SUMIFS('Leave Management'!$L:$L,'Leave Management'!$C:$C,Detail!$A292,'Leave Management'!$B:$B,Detail!H$1)</f>
        <v>0</v>
      </c>
      <c r="I292" s="7">
        <f>SUMIFS('Leave Management'!$L:$L,'Leave Management'!$C:$C,Detail!$A292,'Leave Management'!$B:$B,Detail!I$1)</f>
        <v>0</v>
      </c>
      <c r="J292" s="7">
        <f>SUMIFS('Leave Management'!$L:$L,'Leave Management'!$C:$C,Detail!$A292,'Leave Management'!$B:$B,Detail!J$1)</f>
        <v>0</v>
      </c>
      <c r="K292" s="7">
        <f>SUMIFS('Leave Management'!$L:$L,'Leave Management'!$C:$C,Detail!$A292,'Leave Management'!$B:$B,Detail!K$1)</f>
        <v>0</v>
      </c>
      <c r="L292" s="7">
        <f>SUMIFS('Leave Management'!$L:$L,'Leave Management'!$C:$C,Detail!$A292,'Leave Management'!$B:$B,Detail!L$1)</f>
        <v>0</v>
      </c>
      <c r="M292" s="7">
        <f>SUMIFS('Leave Management'!$L:$L,'Leave Management'!$C:$C,Detail!$A292,'Leave Management'!$B:$B,Detail!M$1)</f>
        <v>0</v>
      </c>
      <c r="N292" s="7">
        <f>SUMIFS('Leave Management'!$L:$L,'Leave Management'!$C:$C,Detail!$A292,'Leave Management'!$B:$B,Detail!N$1)</f>
        <v>0</v>
      </c>
      <c r="O292" s="7">
        <f t="shared" si="10"/>
        <v>12</v>
      </c>
    </row>
    <row r="293" spans="1:15" x14ac:dyDescent="0.25">
      <c r="A293" s="24">
        <v>43391</v>
      </c>
      <c r="B293" s="2" t="str">
        <f t="shared" si="9"/>
        <v>Thu</v>
      </c>
      <c r="C293" s="7">
        <f>SUMIFS('Leave Management'!$L:$L,'Leave Management'!$C:$C,Detail!$A293,'Leave Management'!$B:$B,Detail!C$1)</f>
        <v>0</v>
      </c>
      <c r="D293" s="7">
        <f>SUMIFS('Leave Management'!$L:$L,'Leave Management'!$C:$C,Detail!$A293,'Leave Management'!$B:$B,Detail!D$1)</f>
        <v>0</v>
      </c>
      <c r="E293" s="7">
        <f>SUMIFS('Leave Management'!$L:$L,'Leave Management'!$C:$C,Detail!$A293,'Leave Management'!$B:$B,Detail!E$1)</f>
        <v>0</v>
      </c>
      <c r="F293" s="7">
        <f>SUMIFS('Leave Management'!$L:$L,'Leave Management'!$C:$C,Detail!$A293,'Leave Management'!$B:$B,Detail!F$1)</f>
        <v>0</v>
      </c>
      <c r="G293" s="7">
        <f>SUMIFS('Leave Management'!$L:$L,'Leave Management'!$C:$C,Detail!$A293,'Leave Management'!$B:$B,Detail!G$1)</f>
        <v>0</v>
      </c>
      <c r="H293" s="7">
        <f>SUMIFS('Leave Management'!$L:$L,'Leave Management'!$C:$C,Detail!$A293,'Leave Management'!$B:$B,Detail!H$1)</f>
        <v>0</v>
      </c>
      <c r="I293" s="7">
        <f>SUMIFS('Leave Management'!$L:$L,'Leave Management'!$C:$C,Detail!$A293,'Leave Management'!$B:$B,Detail!I$1)</f>
        <v>0</v>
      </c>
      <c r="J293" s="7">
        <f>SUMIFS('Leave Management'!$L:$L,'Leave Management'!$C:$C,Detail!$A293,'Leave Management'!$B:$B,Detail!J$1)</f>
        <v>0</v>
      </c>
      <c r="K293" s="7">
        <f>SUMIFS('Leave Management'!$L:$L,'Leave Management'!$C:$C,Detail!$A293,'Leave Management'!$B:$B,Detail!K$1)</f>
        <v>0</v>
      </c>
      <c r="L293" s="7">
        <f>SUMIFS('Leave Management'!$L:$L,'Leave Management'!$C:$C,Detail!$A293,'Leave Management'!$B:$B,Detail!L$1)</f>
        <v>0</v>
      </c>
      <c r="M293" s="7">
        <f>SUMIFS('Leave Management'!$L:$L,'Leave Management'!$C:$C,Detail!$A293,'Leave Management'!$B:$B,Detail!M$1)</f>
        <v>0</v>
      </c>
      <c r="N293" s="7">
        <f>SUMIFS('Leave Management'!$L:$L,'Leave Management'!$C:$C,Detail!$A293,'Leave Management'!$B:$B,Detail!N$1)</f>
        <v>0</v>
      </c>
      <c r="O293" s="7">
        <f t="shared" si="10"/>
        <v>12</v>
      </c>
    </row>
    <row r="294" spans="1:15" x14ac:dyDescent="0.25">
      <c r="A294" s="24">
        <v>43392</v>
      </c>
      <c r="B294" s="2" t="str">
        <f t="shared" si="9"/>
        <v>Fri</v>
      </c>
      <c r="C294" s="7">
        <f>SUMIFS('Leave Management'!$L:$L,'Leave Management'!$C:$C,Detail!$A294,'Leave Management'!$B:$B,Detail!C$1)</f>
        <v>0</v>
      </c>
      <c r="D294" s="7">
        <f>SUMIFS('Leave Management'!$L:$L,'Leave Management'!$C:$C,Detail!$A294,'Leave Management'!$B:$B,Detail!D$1)</f>
        <v>0</v>
      </c>
      <c r="E294" s="7">
        <f>SUMIFS('Leave Management'!$L:$L,'Leave Management'!$C:$C,Detail!$A294,'Leave Management'!$B:$B,Detail!E$1)</f>
        <v>0</v>
      </c>
      <c r="F294" s="7">
        <f>SUMIFS('Leave Management'!$L:$L,'Leave Management'!$C:$C,Detail!$A294,'Leave Management'!$B:$B,Detail!F$1)</f>
        <v>0</v>
      </c>
      <c r="G294" s="7">
        <f>SUMIFS('Leave Management'!$L:$L,'Leave Management'!$C:$C,Detail!$A294,'Leave Management'!$B:$B,Detail!G$1)</f>
        <v>0</v>
      </c>
      <c r="H294" s="7">
        <f>SUMIFS('Leave Management'!$L:$L,'Leave Management'!$C:$C,Detail!$A294,'Leave Management'!$B:$B,Detail!H$1)</f>
        <v>0</v>
      </c>
      <c r="I294" s="7">
        <f>SUMIFS('Leave Management'!$L:$L,'Leave Management'!$C:$C,Detail!$A294,'Leave Management'!$B:$B,Detail!I$1)</f>
        <v>0</v>
      </c>
      <c r="J294" s="7">
        <f>SUMIFS('Leave Management'!$L:$L,'Leave Management'!$C:$C,Detail!$A294,'Leave Management'!$B:$B,Detail!J$1)</f>
        <v>0</v>
      </c>
      <c r="K294" s="7">
        <f>SUMIFS('Leave Management'!$L:$L,'Leave Management'!$C:$C,Detail!$A294,'Leave Management'!$B:$B,Detail!K$1)</f>
        <v>0</v>
      </c>
      <c r="L294" s="7">
        <f>SUMIFS('Leave Management'!$L:$L,'Leave Management'!$C:$C,Detail!$A294,'Leave Management'!$B:$B,Detail!L$1)</f>
        <v>0</v>
      </c>
      <c r="M294" s="7">
        <f>SUMIFS('Leave Management'!$L:$L,'Leave Management'!$C:$C,Detail!$A294,'Leave Management'!$B:$B,Detail!M$1)</f>
        <v>0</v>
      </c>
      <c r="N294" s="7">
        <f>SUMIFS('Leave Management'!$L:$L,'Leave Management'!$C:$C,Detail!$A294,'Leave Management'!$B:$B,Detail!N$1)</f>
        <v>0</v>
      </c>
      <c r="O294" s="7">
        <f t="shared" si="10"/>
        <v>12</v>
      </c>
    </row>
    <row r="295" spans="1:15" x14ac:dyDescent="0.25">
      <c r="A295" s="24">
        <v>43393</v>
      </c>
      <c r="B295" s="2" t="str">
        <f t="shared" si="9"/>
        <v>Sat</v>
      </c>
      <c r="C295" s="7">
        <f>SUMIFS('Leave Management'!$L:$L,'Leave Management'!$C:$C,Detail!$A295,'Leave Management'!$B:$B,Detail!C$1)</f>
        <v>0</v>
      </c>
      <c r="D295" s="7">
        <f>SUMIFS('Leave Management'!$L:$L,'Leave Management'!$C:$C,Detail!$A295,'Leave Management'!$B:$B,Detail!D$1)</f>
        <v>0</v>
      </c>
      <c r="E295" s="7">
        <f>SUMIFS('Leave Management'!$L:$L,'Leave Management'!$C:$C,Detail!$A295,'Leave Management'!$B:$B,Detail!E$1)</f>
        <v>0</v>
      </c>
      <c r="F295" s="7">
        <f>SUMIFS('Leave Management'!$L:$L,'Leave Management'!$C:$C,Detail!$A295,'Leave Management'!$B:$B,Detail!F$1)</f>
        <v>0</v>
      </c>
      <c r="G295" s="7">
        <f>SUMIFS('Leave Management'!$L:$L,'Leave Management'!$C:$C,Detail!$A295,'Leave Management'!$B:$B,Detail!G$1)</f>
        <v>0</v>
      </c>
      <c r="H295" s="7">
        <f>SUMIFS('Leave Management'!$L:$L,'Leave Management'!$C:$C,Detail!$A295,'Leave Management'!$B:$B,Detail!H$1)</f>
        <v>0</v>
      </c>
      <c r="I295" s="7">
        <f>SUMIFS('Leave Management'!$L:$L,'Leave Management'!$C:$C,Detail!$A295,'Leave Management'!$B:$B,Detail!I$1)</f>
        <v>0</v>
      </c>
      <c r="J295" s="7">
        <f>SUMIFS('Leave Management'!$L:$L,'Leave Management'!$C:$C,Detail!$A295,'Leave Management'!$B:$B,Detail!J$1)</f>
        <v>0</v>
      </c>
      <c r="K295" s="7">
        <f>SUMIFS('Leave Management'!$L:$L,'Leave Management'!$C:$C,Detail!$A295,'Leave Management'!$B:$B,Detail!K$1)</f>
        <v>0</v>
      </c>
      <c r="L295" s="7">
        <f>SUMIFS('Leave Management'!$L:$L,'Leave Management'!$C:$C,Detail!$A295,'Leave Management'!$B:$B,Detail!L$1)</f>
        <v>0</v>
      </c>
      <c r="M295" s="7">
        <f>SUMIFS('Leave Management'!$L:$L,'Leave Management'!$C:$C,Detail!$A295,'Leave Management'!$B:$B,Detail!M$1)</f>
        <v>0</v>
      </c>
      <c r="N295" s="7">
        <f>SUMIFS('Leave Management'!$L:$L,'Leave Management'!$C:$C,Detail!$A295,'Leave Management'!$B:$B,Detail!N$1)</f>
        <v>0</v>
      </c>
      <c r="O295" s="7">
        <f t="shared" si="10"/>
        <v>12</v>
      </c>
    </row>
    <row r="296" spans="1:15" x14ac:dyDescent="0.25">
      <c r="A296" s="24">
        <v>43394</v>
      </c>
      <c r="B296" s="2" t="str">
        <f t="shared" si="9"/>
        <v>Sun</v>
      </c>
      <c r="C296" s="7">
        <f>SUMIFS('Leave Management'!$L:$L,'Leave Management'!$C:$C,Detail!$A296,'Leave Management'!$B:$B,Detail!C$1)</f>
        <v>0</v>
      </c>
      <c r="D296" s="7">
        <f>SUMIFS('Leave Management'!$L:$L,'Leave Management'!$C:$C,Detail!$A296,'Leave Management'!$B:$B,Detail!D$1)</f>
        <v>0</v>
      </c>
      <c r="E296" s="7">
        <f>SUMIFS('Leave Management'!$L:$L,'Leave Management'!$C:$C,Detail!$A296,'Leave Management'!$B:$B,Detail!E$1)</f>
        <v>0</v>
      </c>
      <c r="F296" s="7">
        <f>SUMIFS('Leave Management'!$L:$L,'Leave Management'!$C:$C,Detail!$A296,'Leave Management'!$B:$B,Detail!F$1)</f>
        <v>0</v>
      </c>
      <c r="G296" s="7">
        <f>SUMIFS('Leave Management'!$L:$L,'Leave Management'!$C:$C,Detail!$A296,'Leave Management'!$B:$B,Detail!G$1)</f>
        <v>0</v>
      </c>
      <c r="H296" s="7">
        <f>SUMIFS('Leave Management'!$L:$L,'Leave Management'!$C:$C,Detail!$A296,'Leave Management'!$B:$B,Detail!H$1)</f>
        <v>0</v>
      </c>
      <c r="I296" s="7">
        <f>SUMIFS('Leave Management'!$L:$L,'Leave Management'!$C:$C,Detail!$A296,'Leave Management'!$B:$B,Detail!I$1)</f>
        <v>0</v>
      </c>
      <c r="J296" s="7">
        <f>SUMIFS('Leave Management'!$L:$L,'Leave Management'!$C:$C,Detail!$A296,'Leave Management'!$B:$B,Detail!J$1)</f>
        <v>0</v>
      </c>
      <c r="K296" s="7">
        <f>SUMIFS('Leave Management'!$L:$L,'Leave Management'!$C:$C,Detail!$A296,'Leave Management'!$B:$B,Detail!K$1)</f>
        <v>0</v>
      </c>
      <c r="L296" s="7">
        <f>SUMIFS('Leave Management'!$L:$L,'Leave Management'!$C:$C,Detail!$A296,'Leave Management'!$B:$B,Detail!L$1)</f>
        <v>0</v>
      </c>
      <c r="M296" s="7">
        <f>SUMIFS('Leave Management'!$L:$L,'Leave Management'!$C:$C,Detail!$A296,'Leave Management'!$B:$B,Detail!M$1)</f>
        <v>0</v>
      </c>
      <c r="N296" s="7">
        <f>SUMIFS('Leave Management'!$L:$L,'Leave Management'!$C:$C,Detail!$A296,'Leave Management'!$B:$B,Detail!N$1)</f>
        <v>0</v>
      </c>
      <c r="O296" s="7">
        <f t="shared" si="10"/>
        <v>12</v>
      </c>
    </row>
    <row r="297" spans="1:15" x14ac:dyDescent="0.25">
      <c r="A297" s="24">
        <v>43395</v>
      </c>
      <c r="B297" s="2" t="str">
        <f t="shared" si="9"/>
        <v>Mon</v>
      </c>
      <c r="C297" s="7">
        <f>SUMIFS('Leave Management'!$L:$L,'Leave Management'!$C:$C,Detail!$A297,'Leave Management'!$B:$B,Detail!C$1)</f>
        <v>0</v>
      </c>
      <c r="D297" s="7">
        <f>SUMIFS('Leave Management'!$L:$L,'Leave Management'!$C:$C,Detail!$A297,'Leave Management'!$B:$B,Detail!D$1)</f>
        <v>0</v>
      </c>
      <c r="E297" s="7">
        <f>SUMIFS('Leave Management'!$L:$L,'Leave Management'!$C:$C,Detail!$A297,'Leave Management'!$B:$B,Detail!E$1)</f>
        <v>0</v>
      </c>
      <c r="F297" s="7">
        <f>SUMIFS('Leave Management'!$L:$L,'Leave Management'!$C:$C,Detail!$A297,'Leave Management'!$B:$B,Detail!F$1)</f>
        <v>0</v>
      </c>
      <c r="G297" s="7">
        <f>SUMIFS('Leave Management'!$L:$L,'Leave Management'!$C:$C,Detail!$A297,'Leave Management'!$B:$B,Detail!G$1)</f>
        <v>0</v>
      </c>
      <c r="H297" s="7">
        <f>SUMIFS('Leave Management'!$L:$L,'Leave Management'!$C:$C,Detail!$A297,'Leave Management'!$B:$B,Detail!H$1)</f>
        <v>1</v>
      </c>
      <c r="I297" s="7">
        <f>SUMIFS('Leave Management'!$L:$L,'Leave Management'!$C:$C,Detail!$A297,'Leave Management'!$B:$B,Detail!I$1)</f>
        <v>0</v>
      </c>
      <c r="J297" s="7">
        <f>SUMIFS('Leave Management'!$L:$L,'Leave Management'!$C:$C,Detail!$A297,'Leave Management'!$B:$B,Detail!J$1)</f>
        <v>0</v>
      </c>
      <c r="K297" s="7">
        <f>SUMIFS('Leave Management'!$L:$L,'Leave Management'!$C:$C,Detail!$A297,'Leave Management'!$B:$B,Detail!K$1)</f>
        <v>0</v>
      </c>
      <c r="L297" s="7">
        <f>SUMIFS('Leave Management'!$L:$L,'Leave Management'!$C:$C,Detail!$A297,'Leave Management'!$B:$B,Detail!L$1)</f>
        <v>0</v>
      </c>
      <c r="M297" s="7">
        <f>SUMIFS('Leave Management'!$L:$L,'Leave Management'!$C:$C,Detail!$A297,'Leave Management'!$B:$B,Detail!M$1)</f>
        <v>0</v>
      </c>
      <c r="N297" s="7">
        <f>SUMIFS('Leave Management'!$L:$L,'Leave Management'!$C:$C,Detail!$A297,'Leave Management'!$B:$B,Detail!N$1)</f>
        <v>0</v>
      </c>
      <c r="O297" s="7">
        <f t="shared" si="10"/>
        <v>11</v>
      </c>
    </row>
    <row r="298" spans="1:15" x14ac:dyDescent="0.25">
      <c r="A298" s="24">
        <v>43396</v>
      </c>
      <c r="B298" s="2" t="str">
        <f t="shared" si="9"/>
        <v>Tue</v>
      </c>
      <c r="C298" s="7">
        <f>SUMIFS('Leave Management'!$L:$L,'Leave Management'!$C:$C,Detail!$A298,'Leave Management'!$B:$B,Detail!C$1)</f>
        <v>0</v>
      </c>
      <c r="D298" s="7">
        <f>SUMIFS('Leave Management'!$L:$L,'Leave Management'!$C:$C,Detail!$A298,'Leave Management'!$B:$B,Detail!D$1)</f>
        <v>0</v>
      </c>
      <c r="E298" s="7">
        <f>SUMIFS('Leave Management'!$L:$L,'Leave Management'!$C:$C,Detail!$A298,'Leave Management'!$B:$B,Detail!E$1)</f>
        <v>0</v>
      </c>
      <c r="F298" s="7">
        <f>SUMIFS('Leave Management'!$L:$L,'Leave Management'!$C:$C,Detail!$A298,'Leave Management'!$B:$B,Detail!F$1)</f>
        <v>0</v>
      </c>
      <c r="G298" s="7">
        <f>SUMIFS('Leave Management'!$L:$L,'Leave Management'!$C:$C,Detail!$A298,'Leave Management'!$B:$B,Detail!G$1)</f>
        <v>0</v>
      </c>
      <c r="H298" s="7">
        <f>SUMIFS('Leave Management'!$L:$L,'Leave Management'!$C:$C,Detail!$A298,'Leave Management'!$B:$B,Detail!H$1)</f>
        <v>1</v>
      </c>
      <c r="I298" s="7">
        <f>SUMIFS('Leave Management'!$L:$L,'Leave Management'!$C:$C,Detail!$A298,'Leave Management'!$B:$B,Detail!I$1)</f>
        <v>0</v>
      </c>
      <c r="J298" s="7">
        <f>SUMIFS('Leave Management'!$L:$L,'Leave Management'!$C:$C,Detail!$A298,'Leave Management'!$B:$B,Detail!J$1)</f>
        <v>0</v>
      </c>
      <c r="K298" s="7">
        <f>SUMIFS('Leave Management'!$L:$L,'Leave Management'!$C:$C,Detail!$A298,'Leave Management'!$B:$B,Detail!K$1)</f>
        <v>0</v>
      </c>
      <c r="L298" s="7">
        <f>SUMIFS('Leave Management'!$L:$L,'Leave Management'!$C:$C,Detail!$A298,'Leave Management'!$B:$B,Detail!L$1)</f>
        <v>0</v>
      </c>
      <c r="M298" s="7">
        <f>SUMIFS('Leave Management'!$L:$L,'Leave Management'!$C:$C,Detail!$A298,'Leave Management'!$B:$B,Detail!M$1)</f>
        <v>0</v>
      </c>
      <c r="N298" s="7">
        <f>SUMIFS('Leave Management'!$L:$L,'Leave Management'!$C:$C,Detail!$A298,'Leave Management'!$B:$B,Detail!N$1)</f>
        <v>0</v>
      </c>
      <c r="O298" s="7">
        <f t="shared" si="10"/>
        <v>11</v>
      </c>
    </row>
    <row r="299" spans="1:15" x14ac:dyDescent="0.25">
      <c r="A299" s="24">
        <v>43397</v>
      </c>
      <c r="B299" s="2" t="str">
        <f t="shared" si="9"/>
        <v>Wed</v>
      </c>
      <c r="C299" s="7">
        <f>SUMIFS('Leave Management'!$L:$L,'Leave Management'!$C:$C,Detail!$A299,'Leave Management'!$B:$B,Detail!C$1)</f>
        <v>0</v>
      </c>
      <c r="D299" s="7">
        <f>SUMIFS('Leave Management'!$L:$L,'Leave Management'!$C:$C,Detail!$A299,'Leave Management'!$B:$B,Detail!D$1)</f>
        <v>0</v>
      </c>
      <c r="E299" s="7">
        <f>SUMIFS('Leave Management'!$L:$L,'Leave Management'!$C:$C,Detail!$A299,'Leave Management'!$B:$B,Detail!E$1)</f>
        <v>0</v>
      </c>
      <c r="F299" s="7">
        <f>SUMIFS('Leave Management'!$L:$L,'Leave Management'!$C:$C,Detail!$A299,'Leave Management'!$B:$B,Detail!F$1)</f>
        <v>0</v>
      </c>
      <c r="G299" s="7">
        <f>SUMIFS('Leave Management'!$L:$L,'Leave Management'!$C:$C,Detail!$A299,'Leave Management'!$B:$B,Detail!G$1)</f>
        <v>0</v>
      </c>
      <c r="H299" s="7">
        <f>SUMIFS('Leave Management'!$L:$L,'Leave Management'!$C:$C,Detail!$A299,'Leave Management'!$B:$B,Detail!H$1)</f>
        <v>0</v>
      </c>
      <c r="I299" s="7">
        <f>SUMIFS('Leave Management'!$L:$L,'Leave Management'!$C:$C,Detail!$A299,'Leave Management'!$B:$B,Detail!I$1)</f>
        <v>0</v>
      </c>
      <c r="J299" s="7">
        <f>SUMIFS('Leave Management'!$L:$L,'Leave Management'!$C:$C,Detail!$A299,'Leave Management'!$B:$B,Detail!J$1)</f>
        <v>0</v>
      </c>
      <c r="K299" s="7">
        <f>SUMIFS('Leave Management'!$L:$L,'Leave Management'!$C:$C,Detail!$A299,'Leave Management'!$B:$B,Detail!K$1)</f>
        <v>0</v>
      </c>
      <c r="L299" s="7">
        <f>SUMIFS('Leave Management'!$L:$L,'Leave Management'!$C:$C,Detail!$A299,'Leave Management'!$B:$B,Detail!L$1)</f>
        <v>0</v>
      </c>
      <c r="M299" s="7">
        <f>SUMIFS('Leave Management'!$L:$L,'Leave Management'!$C:$C,Detail!$A299,'Leave Management'!$B:$B,Detail!M$1)</f>
        <v>0</v>
      </c>
      <c r="N299" s="7">
        <f>SUMIFS('Leave Management'!$L:$L,'Leave Management'!$C:$C,Detail!$A299,'Leave Management'!$B:$B,Detail!N$1)</f>
        <v>0</v>
      </c>
      <c r="O299" s="7">
        <f t="shared" si="10"/>
        <v>12</v>
      </c>
    </row>
    <row r="300" spans="1:15" x14ac:dyDescent="0.25">
      <c r="A300" s="24">
        <v>43398</v>
      </c>
      <c r="B300" s="2" t="str">
        <f t="shared" si="9"/>
        <v>Thu</v>
      </c>
      <c r="C300" s="7">
        <f>SUMIFS('Leave Management'!$L:$L,'Leave Management'!$C:$C,Detail!$A300,'Leave Management'!$B:$B,Detail!C$1)</f>
        <v>0</v>
      </c>
      <c r="D300" s="7">
        <f>SUMIFS('Leave Management'!$L:$L,'Leave Management'!$C:$C,Detail!$A300,'Leave Management'!$B:$B,Detail!D$1)</f>
        <v>0</v>
      </c>
      <c r="E300" s="7">
        <f>SUMIFS('Leave Management'!$L:$L,'Leave Management'!$C:$C,Detail!$A300,'Leave Management'!$B:$B,Detail!E$1)</f>
        <v>0</v>
      </c>
      <c r="F300" s="7">
        <f>SUMIFS('Leave Management'!$L:$L,'Leave Management'!$C:$C,Detail!$A300,'Leave Management'!$B:$B,Detail!F$1)</f>
        <v>0</v>
      </c>
      <c r="G300" s="7">
        <f>SUMIFS('Leave Management'!$L:$L,'Leave Management'!$C:$C,Detail!$A300,'Leave Management'!$B:$B,Detail!G$1)</f>
        <v>0</v>
      </c>
      <c r="H300" s="7">
        <f>SUMIFS('Leave Management'!$L:$L,'Leave Management'!$C:$C,Detail!$A300,'Leave Management'!$B:$B,Detail!H$1)</f>
        <v>0</v>
      </c>
      <c r="I300" s="7">
        <f>SUMIFS('Leave Management'!$L:$L,'Leave Management'!$C:$C,Detail!$A300,'Leave Management'!$B:$B,Detail!I$1)</f>
        <v>0</v>
      </c>
      <c r="J300" s="7">
        <f>SUMIFS('Leave Management'!$L:$L,'Leave Management'!$C:$C,Detail!$A300,'Leave Management'!$B:$B,Detail!J$1)</f>
        <v>0</v>
      </c>
      <c r="K300" s="7">
        <f>SUMIFS('Leave Management'!$L:$L,'Leave Management'!$C:$C,Detail!$A300,'Leave Management'!$B:$B,Detail!K$1)</f>
        <v>0</v>
      </c>
      <c r="L300" s="7">
        <f>SUMIFS('Leave Management'!$L:$L,'Leave Management'!$C:$C,Detail!$A300,'Leave Management'!$B:$B,Detail!L$1)</f>
        <v>0</v>
      </c>
      <c r="M300" s="7">
        <f>SUMIFS('Leave Management'!$L:$L,'Leave Management'!$C:$C,Detail!$A300,'Leave Management'!$B:$B,Detail!M$1)</f>
        <v>0</v>
      </c>
      <c r="N300" s="7">
        <f>SUMIFS('Leave Management'!$L:$L,'Leave Management'!$C:$C,Detail!$A300,'Leave Management'!$B:$B,Detail!N$1)</f>
        <v>0</v>
      </c>
      <c r="O300" s="7">
        <f t="shared" si="10"/>
        <v>12</v>
      </c>
    </row>
    <row r="301" spans="1:15" x14ac:dyDescent="0.25">
      <c r="A301" s="24">
        <v>43399</v>
      </c>
      <c r="B301" s="2" t="str">
        <f t="shared" si="9"/>
        <v>Fri</v>
      </c>
      <c r="C301" s="7">
        <f>SUMIFS('Leave Management'!$L:$L,'Leave Management'!$C:$C,Detail!$A301,'Leave Management'!$B:$B,Detail!C$1)</f>
        <v>1</v>
      </c>
      <c r="D301" s="7">
        <f>SUMIFS('Leave Management'!$L:$L,'Leave Management'!$C:$C,Detail!$A301,'Leave Management'!$B:$B,Detail!D$1)</f>
        <v>0</v>
      </c>
      <c r="E301" s="7">
        <f>SUMIFS('Leave Management'!$L:$L,'Leave Management'!$C:$C,Detail!$A301,'Leave Management'!$B:$B,Detail!E$1)</f>
        <v>0</v>
      </c>
      <c r="F301" s="7">
        <f>SUMIFS('Leave Management'!$L:$L,'Leave Management'!$C:$C,Detail!$A301,'Leave Management'!$B:$B,Detail!F$1)</f>
        <v>1</v>
      </c>
      <c r="G301" s="7">
        <f>SUMIFS('Leave Management'!$L:$L,'Leave Management'!$C:$C,Detail!$A301,'Leave Management'!$B:$B,Detail!G$1)</f>
        <v>0</v>
      </c>
      <c r="H301" s="7">
        <f>SUMIFS('Leave Management'!$L:$L,'Leave Management'!$C:$C,Detail!$A301,'Leave Management'!$B:$B,Detail!H$1)</f>
        <v>0</v>
      </c>
      <c r="I301" s="7">
        <f>SUMIFS('Leave Management'!$L:$L,'Leave Management'!$C:$C,Detail!$A301,'Leave Management'!$B:$B,Detail!I$1)</f>
        <v>0</v>
      </c>
      <c r="J301" s="7">
        <f>SUMIFS('Leave Management'!$L:$L,'Leave Management'!$C:$C,Detail!$A301,'Leave Management'!$B:$B,Detail!J$1)</f>
        <v>0</v>
      </c>
      <c r="K301" s="7">
        <f>SUMIFS('Leave Management'!$L:$L,'Leave Management'!$C:$C,Detail!$A301,'Leave Management'!$B:$B,Detail!K$1)</f>
        <v>0</v>
      </c>
      <c r="L301" s="7">
        <f>SUMIFS('Leave Management'!$L:$L,'Leave Management'!$C:$C,Detail!$A301,'Leave Management'!$B:$B,Detail!L$1)</f>
        <v>0</v>
      </c>
      <c r="M301" s="7">
        <f>SUMIFS('Leave Management'!$L:$L,'Leave Management'!$C:$C,Detail!$A301,'Leave Management'!$B:$B,Detail!M$1)</f>
        <v>0</v>
      </c>
      <c r="N301" s="7">
        <f>SUMIFS('Leave Management'!$L:$L,'Leave Management'!$C:$C,Detail!$A301,'Leave Management'!$B:$B,Detail!N$1)</f>
        <v>0</v>
      </c>
      <c r="O301" s="7">
        <f t="shared" si="10"/>
        <v>10</v>
      </c>
    </row>
    <row r="302" spans="1:15" x14ac:dyDescent="0.25">
      <c r="A302" s="24">
        <v>43400</v>
      </c>
      <c r="B302" s="2" t="str">
        <f t="shared" si="9"/>
        <v>Sat</v>
      </c>
      <c r="C302" s="7">
        <f>SUMIFS('Leave Management'!$L:$L,'Leave Management'!$C:$C,Detail!$A302,'Leave Management'!$B:$B,Detail!C$1)</f>
        <v>0</v>
      </c>
      <c r="D302" s="7">
        <f>SUMIFS('Leave Management'!$L:$L,'Leave Management'!$C:$C,Detail!$A302,'Leave Management'!$B:$B,Detail!D$1)</f>
        <v>0</v>
      </c>
      <c r="E302" s="7">
        <f>SUMIFS('Leave Management'!$L:$L,'Leave Management'!$C:$C,Detail!$A302,'Leave Management'!$B:$B,Detail!E$1)</f>
        <v>0</v>
      </c>
      <c r="F302" s="7">
        <f>SUMIFS('Leave Management'!$L:$L,'Leave Management'!$C:$C,Detail!$A302,'Leave Management'!$B:$B,Detail!F$1)</f>
        <v>0</v>
      </c>
      <c r="G302" s="7">
        <f>SUMIFS('Leave Management'!$L:$L,'Leave Management'!$C:$C,Detail!$A302,'Leave Management'!$B:$B,Detail!G$1)</f>
        <v>0</v>
      </c>
      <c r="H302" s="7">
        <f>SUMIFS('Leave Management'!$L:$L,'Leave Management'!$C:$C,Detail!$A302,'Leave Management'!$B:$B,Detail!H$1)</f>
        <v>0</v>
      </c>
      <c r="I302" s="7">
        <f>SUMIFS('Leave Management'!$L:$L,'Leave Management'!$C:$C,Detail!$A302,'Leave Management'!$B:$B,Detail!I$1)</f>
        <v>0</v>
      </c>
      <c r="J302" s="7">
        <f>SUMIFS('Leave Management'!$L:$L,'Leave Management'!$C:$C,Detail!$A302,'Leave Management'!$B:$B,Detail!J$1)</f>
        <v>0</v>
      </c>
      <c r="K302" s="7">
        <f>SUMIFS('Leave Management'!$L:$L,'Leave Management'!$C:$C,Detail!$A302,'Leave Management'!$B:$B,Detail!K$1)</f>
        <v>0</v>
      </c>
      <c r="L302" s="7">
        <f>SUMIFS('Leave Management'!$L:$L,'Leave Management'!$C:$C,Detail!$A302,'Leave Management'!$B:$B,Detail!L$1)</f>
        <v>0</v>
      </c>
      <c r="M302" s="7">
        <f>SUMIFS('Leave Management'!$L:$L,'Leave Management'!$C:$C,Detail!$A302,'Leave Management'!$B:$B,Detail!M$1)</f>
        <v>0</v>
      </c>
      <c r="N302" s="7">
        <f>SUMIFS('Leave Management'!$L:$L,'Leave Management'!$C:$C,Detail!$A302,'Leave Management'!$B:$B,Detail!N$1)</f>
        <v>0</v>
      </c>
      <c r="O302" s="7">
        <f t="shared" si="10"/>
        <v>12</v>
      </c>
    </row>
    <row r="303" spans="1:15" x14ac:dyDescent="0.25">
      <c r="A303" s="24">
        <v>43401</v>
      </c>
      <c r="B303" s="2" t="str">
        <f t="shared" si="9"/>
        <v>Sun</v>
      </c>
      <c r="C303" s="7">
        <f>SUMIFS('Leave Management'!$L:$L,'Leave Management'!$C:$C,Detail!$A303,'Leave Management'!$B:$B,Detail!C$1)</f>
        <v>0</v>
      </c>
      <c r="D303" s="7">
        <f>SUMIFS('Leave Management'!$L:$L,'Leave Management'!$C:$C,Detail!$A303,'Leave Management'!$B:$B,Detail!D$1)</f>
        <v>0</v>
      </c>
      <c r="E303" s="7">
        <f>SUMIFS('Leave Management'!$L:$L,'Leave Management'!$C:$C,Detail!$A303,'Leave Management'!$B:$B,Detail!E$1)</f>
        <v>0</v>
      </c>
      <c r="F303" s="7">
        <f>SUMIFS('Leave Management'!$L:$L,'Leave Management'!$C:$C,Detail!$A303,'Leave Management'!$B:$B,Detail!F$1)</f>
        <v>0</v>
      </c>
      <c r="G303" s="7">
        <f>SUMIFS('Leave Management'!$L:$L,'Leave Management'!$C:$C,Detail!$A303,'Leave Management'!$B:$B,Detail!G$1)</f>
        <v>0</v>
      </c>
      <c r="H303" s="7">
        <f>SUMIFS('Leave Management'!$L:$L,'Leave Management'!$C:$C,Detail!$A303,'Leave Management'!$B:$B,Detail!H$1)</f>
        <v>0</v>
      </c>
      <c r="I303" s="7">
        <f>SUMIFS('Leave Management'!$L:$L,'Leave Management'!$C:$C,Detail!$A303,'Leave Management'!$B:$B,Detail!I$1)</f>
        <v>0</v>
      </c>
      <c r="J303" s="7">
        <f>SUMIFS('Leave Management'!$L:$L,'Leave Management'!$C:$C,Detail!$A303,'Leave Management'!$B:$B,Detail!J$1)</f>
        <v>0</v>
      </c>
      <c r="K303" s="7">
        <f>SUMIFS('Leave Management'!$L:$L,'Leave Management'!$C:$C,Detail!$A303,'Leave Management'!$B:$B,Detail!K$1)</f>
        <v>0</v>
      </c>
      <c r="L303" s="7">
        <f>SUMIFS('Leave Management'!$L:$L,'Leave Management'!$C:$C,Detail!$A303,'Leave Management'!$B:$B,Detail!L$1)</f>
        <v>0</v>
      </c>
      <c r="M303" s="7">
        <f>SUMIFS('Leave Management'!$L:$L,'Leave Management'!$C:$C,Detail!$A303,'Leave Management'!$B:$B,Detail!M$1)</f>
        <v>0</v>
      </c>
      <c r="N303" s="7">
        <f>SUMIFS('Leave Management'!$L:$L,'Leave Management'!$C:$C,Detail!$A303,'Leave Management'!$B:$B,Detail!N$1)</f>
        <v>0</v>
      </c>
      <c r="O303" s="7">
        <f t="shared" si="10"/>
        <v>12</v>
      </c>
    </row>
    <row r="304" spans="1:15" x14ac:dyDescent="0.25">
      <c r="A304" s="24">
        <v>43402</v>
      </c>
      <c r="B304" s="2" t="str">
        <f t="shared" si="9"/>
        <v>Mon</v>
      </c>
      <c r="C304" s="7">
        <f>SUMIFS('Leave Management'!$L:$L,'Leave Management'!$C:$C,Detail!$A304,'Leave Management'!$B:$B,Detail!C$1)</f>
        <v>0</v>
      </c>
      <c r="D304" s="7">
        <f>SUMIFS('Leave Management'!$L:$L,'Leave Management'!$C:$C,Detail!$A304,'Leave Management'!$B:$B,Detail!D$1)</f>
        <v>0</v>
      </c>
      <c r="E304" s="7">
        <f>SUMIFS('Leave Management'!$L:$L,'Leave Management'!$C:$C,Detail!$A304,'Leave Management'!$B:$B,Detail!E$1)</f>
        <v>0</v>
      </c>
      <c r="F304" s="7">
        <f>SUMIFS('Leave Management'!$L:$L,'Leave Management'!$C:$C,Detail!$A304,'Leave Management'!$B:$B,Detail!F$1)</f>
        <v>0</v>
      </c>
      <c r="G304" s="7">
        <f>SUMIFS('Leave Management'!$L:$L,'Leave Management'!$C:$C,Detail!$A304,'Leave Management'!$B:$B,Detail!G$1)</f>
        <v>0</v>
      </c>
      <c r="H304" s="7">
        <f>SUMIFS('Leave Management'!$L:$L,'Leave Management'!$C:$C,Detail!$A304,'Leave Management'!$B:$B,Detail!H$1)</f>
        <v>0</v>
      </c>
      <c r="I304" s="7">
        <f>SUMIFS('Leave Management'!$L:$L,'Leave Management'!$C:$C,Detail!$A304,'Leave Management'!$B:$B,Detail!I$1)</f>
        <v>0</v>
      </c>
      <c r="J304" s="7">
        <f>SUMIFS('Leave Management'!$L:$L,'Leave Management'!$C:$C,Detail!$A304,'Leave Management'!$B:$B,Detail!J$1)</f>
        <v>0</v>
      </c>
      <c r="K304" s="7">
        <f>SUMIFS('Leave Management'!$L:$L,'Leave Management'!$C:$C,Detail!$A304,'Leave Management'!$B:$B,Detail!K$1)</f>
        <v>0</v>
      </c>
      <c r="L304" s="7">
        <f>SUMIFS('Leave Management'!$L:$L,'Leave Management'!$C:$C,Detail!$A304,'Leave Management'!$B:$B,Detail!L$1)</f>
        <v>0</v>
      </c>
      <c r="M304" s="7">
        <f>SUMIFS('Leave Management'!$L:$L,'Leave Management'!$C:$C,Detail!$A304,'Leave Management'!$B:$B,Detail!M$1)</f>
        <v>0</v>
      </c>
      <c r="N304" s="7">
        <f>SUMIFS('Leave Management'!$L:$L,'Leave Management'!$C:$C,Detail!$A304,'Leave Management'!$B:$B,Detail!N$1)</f>
        <v>0</v>
      </c>
      <c r="O304" s="7">
        <f t="shared" si="10"/>
        <v>12</v>
      </c>
    </row>
    <row r="305" spans="1:15" x14ac:dyDescent="0.25">
      <c r="A305" s="24">
        <v>43403</v>
      </c>
      <c r="B305" s="2" t="str">
        <f t="shared" si="9"/>
        <v>Tue</v>
      </c>
      <c r="C305" s="7">
        <f>SUMIFS('Leave Management'!$L:$L,'Leave Management'!$C:$C,Detail!$A305,'Leave Management'!$B:$B,Detail!C$1)</f>
        <v>0</v>
      </c>
      <c r="D305" s="7">
        <f>SUMIFS('Leave Management'!$L:$L,'Leave Management'!$C:$C,Detail!$A305,'Leave Management'!$B:$B,Detail!D$1)</f>
        <v>0</v>
      </c>
      <c r="E305" s="7">
        <f>SUMIFS('Leave Management'!$L:$L,'Leave Management'!$C:$C,Detail!$A305,'Leave Management'!$B:$B,Detail!E$1)</f>
        <v>0</v>
      </c>
      <c r="F305" s="7">
        <f>SUMIFS('Leave Management'!$L:$L,'Leave Management'!$C:$C,Detail!$A305,'Leave Management'!$B:$B,Detail!F$1)</f>
        <v>0</v>
      </c>
      <c r="G305" s="7">
        <f>SUMIFS('Leave Management'!$L:$L,'Leave Management'!$C:$C,Detail!$A305,'Leave Management'!$B:$B,Detail!G$1)</f>
        <v>0</v>
      </c>
      <c r="H305" s="7">
        <f>SUMIFS('Leave Management'!$L:$L,'Leave Management'!$C:$C,Detail!$A305,'Leave Management'!$B:$B,Detail!H$1)</f>
        <v>0</v>
      </c>
      <c r="I305" s="7">
        <f>SUMIFS('Leave Management'!$L:$L,'Leave Management'!$C:$C,Detail!$A305,'Leave Management'!$B:$B,Detail!I$1)</f>
        <v>0</v>
      </c>
      <c r="J305" s="7">
        <f>SUMIFS('Leave Management'!$L:$L,'Leave Management'!$C:$C,Detail!$A305,'Leave Management'!$B:$B,Detail!J$1)</f>
        <v>0</v>
      </c>
      <c r="K305" s="7">
        <f>SUMIFS('Leave Management'!$L:$L,'Leave Management'!$C:$C,Detail!$A305,'Leave Management'!$B:$B,Detail!K$1)</f>
        <v>0</v>
      </c>
      <c r="L305" s="7">
        <f>SUMIFS('Leave Management'!$L:$L,'Leave Management'!$C:$C,Detail!$A305,'Leave Management'!$B:$B,Detail!L$1)</f>
        <v>0</v>
      </c>
      <c r="M305" s="7">
        <f>SUMIFS('Leave Management'!$L:$L,'Leave Management'!$C:$C,Detail!$A305,'Leave Management'!$B:$B,Detail!M$1)</f>
        <v>0</v>
      </c>
      <c r="N305" s="7">
        <f>SUMIFS('Leave Management'!$L:$L,'Leave Management'!$C:$C,Detail!$A305,'Leave Management'!$B:$B,Detail!N$1)</f>
        <v>0</v>
      </c>
      <c r="O305" s="7">
        <f t="shared" si="10"/>
        <v>12</v>
      </c>
    </row>
    <row r="306" spans="1:15" x14ac:dyDescent="0.25">
      <c r="A306" s="24">
        <v>43404</v>
      </c>
      <c r="B306" s="2" t="str">
        <f t="shared" si="9"/>
        <v>Wed</v>
      </c>
      <c r="C306" s="7">
        <f>SUMIFS('Leave Management'!$L:$L,'Leave Management'!$C:$C,Detail!$A306,'Leave Management'!$B:$B,Detail!C$1)</f>
        <v>0</v>
      </c>
      <c r="D306" s="7">
        <f>SUMIFS('Leave Management'!$L:$L,'Leave Management'!$C:$C,Detail!$A306,'Leave Management'!$B:$B,Detail!D$1)</f>
        <v>0</v>
      </c>
      <c r="E306" s="7">
        <f>SUMIFS('Leave Management'!$L:$L,'Leave Management'!$C:$C,Detail!$A306,'Leave Management'!$B:$B,Detail!E$1)</f>
        <v>1</v>
      </c>
      <c r="F306" s="7">
        <f>SUMIFS('Leave Management'!$L:$L,'Leave Management'!$C:$C,Detail!$A306,'Leave Management'!$B:$B,Detail!F$1)</f>
        <v>1</v>
      </c>
      <c r="G306" s="7">
        <f>SUMIFS('Leave Management'!$L:$L,'Leave Management'!$C:$C,Detail!$A306,'Leave Management'!$B:$B,Detail!G$1)</f>
        <v>0</v>
      </c>
      <c r="H306" s="7">
        <f>SUMIFS('Leave Management'!$L:$L,'Leave Management'!$C:$C,Detail!$A306,'Leave Management'!$B:$B,Detail!H$1)</f>
        <v>0</v>
      </c>
      <c r="I306" s="7">
        <f>SUMIFS('Leave Management'!$L:$L,'Leave Management'!$C:$C,Detail!$A306,'Leave Management'!$B:$B,Detail!I$1)</f>
        <v>0</v>
      </c>
      <c r="J306" s="7">
        <f>SUMIFS('Leave Management'!$L:$L,'Leave Management'!$C:$C,Detail!$A306,'Leave Management'!$B:$B,Detail!J$1)</f>
        <v>0</v>
      </c>
      <c r="K306" s="7">
        <f>SUMIFS('Leave Management'!$L:$L,'Leave Management'!$C:$C,Detail!$A306,'Leave Management'!$B:$B,Detail!K$1)</f>
        <v>0</v>
      </c>
      <c r="L306" s="7">
        <f>SUMIFS('Leave Management'!$L:$L,'Leave Management'!$C:$C,Detail!$A306,'Leave Management'!$B:$B,Detail!L$1)</f>
        <v>0</v>
      </c>
      <c r="M306" s="7">
        <f>SUMIFS('Leave Management'!$L:$L,'Leave Management'!$C:$C,Detail!$A306,'Leave Management'!$B:$B,Detail!M$1)</f>
        <v>0</v>
      </c>
      <c r="N306" s="7">
        <f>SUMIFS('Leave Management'!$L:$L,'Leave Management'!$C:$C,Detail!$A306,'Leave Management'!$B:$B,Detail!N$1)</f>
        <v>0</v>
      </c>
      <c r="O306" s="7">
        <f t="shared" si="10"/>
        <v>10</v>
      </c>
    </row>
    <row r="307" spans="1:15" x14ac:dyDescent="0.25">
      <c r="A307" s="24">
        <v>43405</v>
      </c>
      <c r="B307" s="2" t="str">
        <f t="shared" si="9"/>
        <v>Thu</v>
      </c>
      <c r="C307" s="7">
        <f>SUMIFS('Leave Management'!$L:$L,'Leave Management'!$C:$C,Detail!$A307,'Leave Management'!$B:$B,Detail!C$1)</f>
        <v>0</v>
      </c>
      <c r="D307" s="7">
        <f>SUMIFS('Leave Management'!$L:$L,'Leave Management'!$C:$C,Detail!$A307,'Leave Management'!$B:$B,Detail!D$1)</f>
        <v>0</v>
      </c>
      <c r="E307" s="7">
        <f>SUMIFS('Leave Management'!$L:$L,'Leave Management'!$C:$C,Detail!$A307,'Leave Management'!$B:$B,Detail!E$1)</f>
        <v>1</v>
      </c>
      <c r="F307" s="7">
        <f>SUMIFS('Leave Management'!$L:$L,'Leave Management'!$C:$C,Detail!$A307,'Leave Management'!$B:$B,Detail!F$1)</f>
        <v>1</v>
      </c>
      <c r="G307" s="7">
        <f>SUMIFS('Leave Management'!$L:$L,'Leave Management'!$C:$C,Detail!$A307,'Leave Management'!$B:$B,Detail!G$1)</f>
        <v>0</v>
      </c>
      <c r="H307" s="7">
        <f>SUMIFS('Leave Management'!$L:$L,'Leave Management'!$C:$C,Detail!$A307,'Leave Management'!$B:$B,Detail!H$1)</f>
        <v>0</v>
      </c>
      <c r="I307" s="7">
        <f>SUMIFS('Leave Management'!$L:$L,'Leave Management'!$C:$C,Detail!$A307,'Leave Management'!$B:$B,Detail!I$1)</f>
        <v>0</v>
      </c>
      <c r="J307" s="7">
        <f>SUMIFS('Leave Management'!$L:$L,'Leave Management'!$C:$C,Detail!$A307,'Leave Management'!$B:$B,Detail!J$1)</f>
        <v>0</v>
      </c>
      <c r="K307" s="7">
        <f>SUMIFS('Leave Management'!$L:$L,'Leave Management'!$C:$C,Detail!$A307,'Leave Management'!$B:$B,Detail!K$1)</f>
        <v>0</v>
      </c>
      <c r="L307" s="7">
        <f>SUMIFS('Leave Management'!$L:$L,'Leave Management'!$C:$C,Detail!$A307,'Leave Management'!$B:$B,Detail!L$1)</f>
        <v>0</v>
      </c>
      <c r="M307" s="7">
        <f>SUMIFS('Leave Management'!$L:$L,'Leave Management'!$C:$C,Detail!$A307,'Leave Management'!$B:$B,Detail!M$1)</f>
        <v>0</v>
      </c>
      <c r="N307" s="7">
        <f>SUMIFS('Leave Management'!$L:$L,'Leave Management'!$C:$C,Detail!$A307,'Leave Management'!$B:$B,Detail!N$1)</f>
        <v>0</v>
      </c>
      <c r="O307" s="7">
        <f t="shared" si="10"/>
        <v>10</v>
      </c>
    </row>
    <row r="308" spans="1:15" x14ac:dyDescent="0.25">
      <c r="A308" s="24">
        <v>43406</v>
      </c>
      <c r="B308" s="2" t="str">
        <f t="shared" si="9"/>
        <v>Fri</v>
      </c>
      <c r="C308" s="7">
        <f>SUMIFS('Leave Management'!$L:$L,'Leave Management'!$C:$C,Detail!$A308,'Leave Management'!$B:$B,Detail!C$1)</f>
        <v>0</v>
      </c>
      <c r="D308" s="7">
        <f>SUMIFS('Leave Management'!$L:$L,'Leave Management'!$C:$C,Detail!$A308,'Leave Management'!$B:$B,Detail!D$1)</f>
        <v>0</v>
      </c>
      <c r="E308" s="7">
        <f>SUMIFS('Leave Management'!$L:$L,'Leave Management'!$C:$C,Detail!$A308,'Leave Management'!$B:$B,Detail!E$1)</f>
        <v>1</v>
      </c>
      <c r="F308" s="7">
        <f>SUMIFS('Leave Management'!$L:$L,'Leave Management'!$C:$C,Detail!$A308,'Leave Management'!$B:$B,Detail!F$1)</f>
        <v>1</v>
      </c>
      <c r="G308" s="7">
        <f>SUMIFS('Leave Management'!$L:$L,'Leave Management'!$C:$C,Detail!$A308,'Leave Management'!$B:$B,Detail!G$1)</f>
        <v>0</v>
      </c>
      <c r="H308" s="7">
        <f>SUMIFS('Leave Management'!$L:$L,'Leave Management'!$C:$C,Detail!$A308,'Leave Management'!$B:$B,Detail!H$1)</f>
        <v>0</v>
      </c>
      <c r="I308" s="7">
        <f>SUMIFS('Leave Management'!$L:$L,'Leave Management'!$C:$C,Detail!$A308,'Leave Management'!$B:$B,Detail!I$1)</f>
        <v>0</v>
      </c>
      <c r="J308" s="7">
        <f>SUMIFS('Leave Management'!$L:$L,'Leave Management'!$C:$C,Detail!$A308,'Leave Management'!$B:$B,Detail!J$1)</f>
        <v>0</v>
      </c>
      <c r="K308" s="7">
        <f>SUMIFS('Leave Management'!$L:$L,'Leave Management'!$C:$C,Detail!$A308,'Leave Management'!$B:$B,Detail!K$1)</f>
        <v>0</v>
      </c>
      <c r="L308" s="7">
        <f>SUMIFS('Leave Management'!$L:$L,'Leave Management'!$C:$C,Detail!$A308,'Leave Management'!$B:$B,Detail!L$1)</f>
        <v>0</v>
      </c>
      <c r="M308" s="7">
        <f>SUMIFS('Leave Management'!$L:$L,'Leave Management'!$C:$C,Detail!$A308,'Leave Management'!$B:$B,Detail!M$1)</f>
        <v>0</v>
      </c>
      <c r="N308" s="7">
        <f>SUMIFS('Leave Management'!$L:$L,'Leave Management'!$C:$C,Detail!$A308,'Leave Management'!$B:$B,Detail!N$1)</f>
        <v>0</v>
      </c>
      <c r="O308" s="7">
        <f t="shared" si="10"/>
        <v>10</v>
      </c>
    </row>
    <row r="309" spans="1:15" x14ac:dyDescent="0.25">
      <c r="A309" s="24">
        <v>43407</v>
      </c>
      <c r="B309" s="2" t="str">
        <f t="shared" si="9"/>
        <v>Sat</v>
      </c>
      <c r="C309" s="7">
        <f>SUMIFS('Leave Management'!$L:$L,'Leave Management'!$C:$C,Detail!$A309,'Leave Management'!$B:$B,Detail!C$1)</f>
        <v>0</v>
      </c>
      <c r="D309" s="7">
        <f>SUMIFS('Leave Management'!$L:$L,'Leave Management'!$C:$C,Detail!$A309,'Leave Management'!$B:$B,Detail!D$1)</f>
        <v>0</v>
      </c>
      <c r="E309" s="7">
        <f>SUMIFS('Leave Management'!$L:$L,'Leave Management'!$C:$C,Detail!$A309,'Leave Management'!$B:$B,Detail!E$1)</f>
        <v>0</v>
      </c>
      <c r="F309" s="7">
        <f>SUMIFS('Leave Management'!$L:$L,'Leave Management'!$C:$C,Detail!$A309,'Leave Management'!$B:$B,Detail!F$1)</f>
        <v>0</v>
      </c>
      <c r="G309" s="7">
        <f>SUMIFS('Leave Management'!$L:$L,'Leave Management'!$C:$C,Detail!$A309,'Leave Management'!$B:$B,Detail!G$1)</f>
        <v>0</v>
      </c>
      <c r="H309" s="7">
        <f>SUMIFS('Leave Management'!$L:$L,'Leave Management'!$C:$C,Detail!$A309,'Leave Management'!$B:$B,Detail!H$1)</f>
        <v>0</v>
      </c>
      <c r="I309" s="7">
        <f>SUMIFS('Leave Management'!$L:$L,'Leave Management'!$C:$C,Detail!$A309,'Leave Management'!$B:$B,Detail!I$1)</f>
        <v>0</v>
      </c>
      <c r="J309" s="7">
        <f>SUMIFS('Leave Management'!$L:$L,'Leave Management'!$C:$C,Detail!$A309,'Leave Management'!$B:$B,Detail!J$1)</f>
        <v>0</v>
      </c>
      <c r="K309" s="7">
        <f>SUMIFS('Leave Management'!$L:$L,'Leave Management'!$C:$C,Detail!$A309,'Leave Management'!$B:$B,Detail!K$1)</f>
        <v>0</v>
      </c>
      <c r="L309" s="7">
        <f>SUMIFS('Leave Management'!$L:$L,'Leave Management'!$C:$C,Detail!$A309,'Leave Management'!$B:$B,Detail!L$1)</f>
        <v>0</v>
      </c>
      <c r="M309" s="7">
        <f>SUMIFS('Leave Management'!$L:$L,'Leave Management'!$C:$C,Detail!$A309,'Leave Management'!$B:$B,Detail!M$1)</f>
        <v>0</v>
      </c>
      <c r="N309" s="7">
        <f>SUMIFS('Leave Management'!$L:$L,'Leave Management'!$C:$C,Detail!$A309,'Leave Management'!$B:$B,Detail!N$1)</f>
        <v>0</v>
      </c>
      <c r="O309" s="7">
        <f t="shared" si="10"/>
        <v>12</v>
      </c>
    </row>
    <row r="310" spans="1:15" x14ac:dyDescent="0.25">
      <c r="A310" s="24">
        <v>43408</v>
      </c>
      <c r="B310" s="2" t="str">
        <f t="shared" si="9"/>
        <v>Sun</v>
      </c>
      <c r="C310" s="7">
        <f>SUMIFS('Leave Management'!$L:$L,'Leave Management'!$C:$C,Detail!$A310,'Leave Management'!$B:$B,Detail!C$1)</f>
        <v>0</v>
      </c>
      <c r="D310" s="7">
        <f>SUMIFS('Leave Management'!$L:$L,'Leave Management'!$C:$C,Detail!$A310,'Leave Management'!$B:$B,Detail!D$1)</f>
        <v>0</v>
      </c>
      <c r="E310" s="7">
        <f>SUMIFS('Leave Management'!$L:$L,'Leave Management'!$C:$C,Detail!$A310,'Leave Management'!$B:$B,Detail!E$1)</f>
        <v>0</v>
      </c>
      <c r="F310" s="7">
        <f>SUMIFS('Leave Management'!$L:$L,'Leave Management'!$C:$C,Detail!$A310,'Leave Management'!$B:$B,Detail!F$1)</f>
        <v>0</v>
      </c>
      <c r="G310" s="7">
        <f>SUMIFS('Leave Management'!$L:$L,'Leave Management'!$C:$C,Detail!$A310,'Leave Management'!$B:$B,Detail!G$1)</f>
        <v>0</v>
      </c>
      <c r="H310" s="7">
        <f>SUMIFS('Leave Management'!$L:$L,'Leave Management'!$C:$C,Detail!$A310,'Leave Management'!$B:$B,Detail!H$1)</f>
        <v>0</v>
      </c>
      <c r="I310" s="7">
        <f>SUMIFS('Leave Management'!$L:$L,'Leave Management'!$C:$C,Detail!$A310,'Leave Management'!$B:$B,Detail!I$1)</f>
        <v>0</v>
      </c>
      <c r="J310" s="7">
        <f>SUMIFS('Leave Management'!$L:$L,'Leave Management'!$C:$C,Detail!$A310,'Leave Management'!$B:$B,Detail!J$1)</f>
        <v>0</v>
      </c>
      <c r="K310" s="7">
        <f>SUMIFS('Leave Management'!$L:$L,'Leave Management'!$C:$C,Detail!$A310,'Leave Management'!$B:$B,Detail!K$1)</f>
        <v>0</v>
      </c>
      <c r="L310" s="7">
        <f>SUMIFS('Leave Management'!$L:$L,'Leave Management'!$C:$C,Detail!$A310,'Leave Management'!$B:$B,Detail!L$1)</f>
        <v>0</v>
      </c>
      <c r="M310" s="7">
        <f>SUMIFS('Leave Management'!$L:$L,'Leave Management'!$C:$C,Detail!$A310,'Leave Management'!$B:$B,Detail!M$1)</f>
        <v>0</v>
      </c>
      <c r="N310" s="7">
        <f>SUMIFS('Leave Management'!$L:$L,'Leave Management'!$C:$C,Detail!$A310,'Leave Management'!$B:$B,Detail!N$1)</f>
        <v>0</v>
      </c>
      <c r="O310" s="7">
        <f t="shared" si="10"/>
        <v>12</v>
      </c>
    </row>
    <row r="311" spans="1:15" x14ac:dyDescent="0.25">
      <c r="A311" s="24">
        <v>43409</v>
      </c>
      <c r="B311" s="2" t="str">
        <f t="shared" si="9"/>
        <v>Mon</v>
      </c>
      <c r="C311" s="7">
        <f>SUMIFS('Leave Management'!$L:$L,'Leave Management'!$C:$C,Detail!$A311,'Leave Management'!$B:$B,Detail!C$1)</f>
        <v>0</v>
      </c>
      <c r="D311" s="7">
        <f>SUMIFS('Leave Management'!$L:$L,'Leave Management'!$C:$C,Detail!$A311,'Leave Management'!$B:$B,Detail!D$1)</f>
        <v>0</v>
      </c>
      <c r="E311" s="7">
        <f>SUMIFS('Leave Management'!$L:$L,'Leave Management'!$C:$C,Detail!$A311,'Leave Management'!$B:$B,Detail!E$1)</f>
        <v>0</v>
      </c>
      <c r="F311" s="7">
        <f>SUMIFS('Leave Management'!$L:$L,'Leave Management'!$C:$C,Detail!$A311,'Leave Management'!$B:$B,Detail!F$1)</f>
        <v>0</v>
      </c>
      <c r="G311" s="7">
        <f>SUMIFS('Leave Management'!$L:$L,'Leave Management'!$C:$C,Detail!$A311,'Leave Management'!$B:$B,Detail!G$1)</f>
        <v>0</v>
      </c>
      <c r="H311" s="7">
        <f>SUMIFS('Leave Management'!$L:$L,'Leave Management'!$C:$C,Detail!$A311,'Leave Management'!$B:$B,Detail!H$1)</f>
        <v>0</v>
      </c>
      <c r="I311" s="7">
        <f>SUMIFS('Leave Management'!$L:$L,'Leave Management'!$C:$C,Detail!$A311,'Leave Management'!$B:$B,Detail!I$1)</f>
        <v>0</v>
      </c>
      <c r="J311" s="7">
        <f>SUMIFS('Leave Management'!$L:$L,'Leave Management'!$C:$C,Detail!$A311,'Leave Management'!$B:$B,Detail!J$1)</f>
        <v>0</v>
      </c>
      <c r="K311" s="7">
        <f>SUMIFS('Leave Management'!$L:$L,'Leave Management'!$C:$C,Detail!$A311,'Leave Management'!$B:$B,Detail!K$1)</f>
        <v>0</v>
      </c>
      <c r="L311" s="7">
        <f>SUMIFS('Leave Management'!$L:$L,'Leave Management'!$C:$C,Detail!$A311,'Leave Management'!$B:$B,Detail!L$1)</f>
        <v>0</v>
      </c>
      <c r="M311" s="7">
        <f>SUMIFS('Leave Management'!$L:$L,'Leave Management'!$C:$C,Detail!$A311,'Leave Management'!$B:$B,Detail!M$1)</f>
        <v>0</v>
      </c>
      <c r="N311" s="7">
        <f>SUMIFS('Leave Management'!$L:$L,'Leave Management'!$C:$C,Detail!$A311,'Leave Management'!$B:$B,Detail!N$1)</f>
        <v>0</v>
      </c>
      <c r="O311" s="7">
        <f t="shared" si="10"/>
        <v>12</v>
      </c>
    </row>
    <row r="312" spans="1:15" x14ac:dyDescent="0.25">
      <c r="A312" s="24">
        <v>43410</v>
      </c>
      <c r="B312" s="2" t="str">
        <f t="shared" si="9"/>
        <v>Tue</v>
      </c>
      <c r="C312" s="7">
        <f>SUMIFS('Leave Management'!$L:$L,'Leave Management'!$C:$C,Detail!$A312,'Leave Management'!$B:$B,Detail!C$1)</f>
        <v>0</v>
      </c>
      <c r="D312" s="7">
        <f>SUMIFS('Leave Management'!$L:$L,'Leave Management'!$C:$C,Detail!$A312,'Leave Management'!$B:$B,Detail!D$1)</f>
        <v>0</v>
      </c>
      <c r="E312" s="7">
        <f>SUMIFS('Leave Management'!$L:$L,'Leave Management'!$C:$C,Detail!$A312,'Leave Management'!$B:$B,Detail!E$1)</f>
        <v>0</v>
      </c>
      <c r="F312" s="7">
        <f>SUMIFS('Leave Management'!$L:$L,'Leave Management'!$C:$C,Detail!$A312,'Leave Management'!$B:$B,Detail!F$1)</f>
        <v>0</v>
      </c>
      <c r="G312" s="7">
        <f>SUMIFS('Leave Management'!$L:$L,'Leave Management'!$C:$C,Detail!$A312,'Leave Management'!$B:$B,Detail!G$1)</f>
        <v>0</v>
      </c>
      <c r="H312" s="7">
        <f>SUMIFS('Leave Management'!$L:$L,'Leave Management'!$C:$C,Detail!$A312,'Leave Management'!$B:$B,Detail!H$1)</f>
        <v>0</v>
      </c>
      <c r="I312" s="7">
        <f>SUMIFS('Leave Management'!$L:$L,'Leave Management'!$C:$C,Detail!$A312,'Leave Management'!$B:$B,Detail!I$1)</f>
        <v>0</v>
      </c>
      <c r="J312" s="7">
        <f>SUMIFS('Leave Management'!$L:$L,'Leave Management'!$C:$C,Detail!$A312,'Leave Management'!$B:$B,Detail!J$1)</f>
        <v>0</v>
      </c>
      <c r="K312" s="7">
        <f>SUMIFS('Leave Management'!$L:$L,'Leave Management'!$C:$C,Detail!$A312,'Leave Management'!$B:$B,Detail!K$1)</f>
        <v>0</v>
      </c>
      <c r="L312" s="7">
        <f>SUMIFS('Leave Management'!$L:$L,'Leave Management'!$C:$C,Detail!$A312,'Leave Management'!$B:$B,Detail!L$1)</f>
        <v>0</v>
      </c>
      <c r="M312" s="7">
        <f>SUMIFS('Leave Management'!$L:$L,'Leave Management'!$C:$C,Detail!$A312,'Leave Management'!$B:$B,Detail!M$1)</f>
        <v>0</v>
      </c>
      <c r="N312" s="7">
        <f>SUMIFS('Leave Management'!$L:$L,'Leave Management'!$C:$C,Detail!$A312,'Leave Management'!$B:$B,Detail!N$1)</f>
        <v>0</v>
      </c>
      <c r="O312" s="7">
        <f t="shared" si="10"/>
        <v>12</v>
      </c>
    </row>
    <row r="313" spans="1:15" x14ac:dyDescent="0.25">
      <c r="A313" s="24">
        <v>43411</v>
      </c>
      <c r="B313" s="2" t="str">
        <f t="shared" si="9"/>
        <v>Wed</v>
      </c>
      <c r="C313" s="7">
        <f>SUMIFS('Leave Management'!$L:$L,'Leave Management'!$C:$C,Detail!$A313,'Leave Management'!$B:$B,Detail!C$1)</f>
        <v>0</v>
      </c>
      <c r="D313" s="7">
        <f>SUMIFS('Leave Management'!$L:$L,'Leave Management'!$C:$C,Detail!$A313,'Leave Management'!$B:$B,Detail!D$1)</f>
        <v>0</v>
      </c>
      <c r="E313" s="7">
        <f>SUMIFS('Leave Management'!$L:$L,'Leave Management'!$C:$C,Detail!$A313,'Leave Management'!$B:$B,Detail!E$1)</f>
        <v>0</v>
      </c>
      <c r="F313" s="7">
        <f>SUMIFS('Leave Management'!$L:$L,'Leave Management'!$C:$C,Detail!$A313,'Leave Management'!$B:$B,Detail!F$1)</f>
        <v>0</v>
      </c>
      <c r="G313" s="7">
        <f>SUMIFS('Leave Management'!$L:$L,'Leave Management'!$C:$C,Detail!$A313,'Leave Management'!$B:$B,Detail!G$1)</f>
        <v>0</v>
      </c>
      <c r="H313" s="7">
        <f>SUMIFS('Leave Management'!$L:$L,'Leave Management'!$C:$C,Detail!$A313,'Leave Management'!$B:$B,Detail!H$1)</f>
        <v>0</v>
      </c>
      <c r="I313" s="7">
        <f>SUMIFS('Leave Management'!$L:$L,'Leave Management'!$C:$C,Detail!$A313,'Leave Management'!$B:$B,Detail!I$1)</f>
        <v>0</v>
      </c>
      <c r="J313" s="7">
        <f>SUMIFS('Leave Management'!$L:$L,'Leave Management'!$C:$C,Detail!$A313,'Leave Management'!$B:$B,Detail!J$1)</f>
        <v>0</v>
      </c>
      <c r="K313" s="7">
        <f>SUMIFS('Leave Management'!$L:$L,'Leave Management'!$C:$C,Detail!$A313,'Leave Management'!$B:$B,Detail!K$1)</f>
        <v>0</v>
      </c>
      <c r="L313" s="7">
        <f>SUMIFS('Leave Management'!$L:$L,'Leave Management'!$C:$C,Detail!$A313,'Leave Management'!$B:$B,Detail!L$1)</f>
        <v>0</v>
      </c>
      <c r="M313" s="7">
        <f>SUMIFS('Leave Management'!$L:$L,'Leave Management'!$C:$C,Detail!$A313,'Leave Management'!$B:$B,Detail!M$1)</f>
        <v>0</v>
      </c>
      <c r="N313" s="7">
        <f>SUMIFS('Leave Management'!$L:$L,'Leave Management'!$C:$C,Detail!$A313,'Leave Management'!$B:$B,Detail!N$1)</f>
        <v>0</v>
      </c>
      <c r="O313" s="7">
        <f t="shared" si="10"/>
        <v>12</v>
      </c>
    </row>
    <row r="314" spans="1:15" x14ac:dyDescent="0.25">
      <c r="A314" s="24">
        <v>43412</v>
      </c>
      <c r="B314" s="2" t="str">
        <f t="shared" si="9"/>
        <v>Thu</v>
      </c>
      <c r="C314" s="7">
        <f>SUMIFS('Leave Management'!$L:$L,'Leave Management'!$C:$C,Detail!$A314,'Leave Management'!$B:$B,Detail!C$1)</f>
        <v>0</v>
      </c>
      <c r="D314" s="7">
        <f>SUMIFS('Leave Management'!$L:$L,'Leave Management'!$C:$C,Detail!$A314,'Leave Management'!$B:$B,Detail!D$1)</f>
        <v>0</v>
      </c>
      <c r="E314" s="7">
        <f>SUMIFS('Leave Management'!$L:$L,'Leave Management'!$C:$C,Detail!$A314,'Leave Management'!$B:$B,Detail!E$1)</f>
        <v>0</v>
      </c>
      <c r="F314" s="7">
        <f>SUMIFS('Leave Management'!$L:$L,'Leave Management'!$C:$C,Detail!$A314,'Leave Management'!$B:$B,Detail!F$1)</f>
        <v>0</v>
      </c>
      <c r="G314" s="7">
        <f>SUMIFS('Leave Management'!$L:$L,'Leave Management'!$C:$C,Detail!$A314,'Leave Management'!$B:$B,Detail!G$1)</f>
        <v>0</v>
      </c>
      <c r="H314" s="7">
        <f>SUMIFS('Leave Management'!$L:$L,'Leave Management'!$C:$C,Detail!$A314,'Leave Management'!$B:$B,Detail!H$1)</f>
        <v>1</v>
      </c>
      <c r="I314" s="7">
        <f>SUMIFS('Leave Management'!$L:$L,'Leave Management'!$C:$C,Detail!$A314,'Leave Management'!$B:$B,Detail!I$1)</f>
        <v>1</v>
      </c>
      <c r="J314" s="7">
        <f>SUMIFS('Leave Management'!$L:$L,'Leave Management'!$C:$C,Detail!$A314,'Leave Management'!$B:$B,Detail!J$1)</f>
        <v>0</v>
      </c>
      <c r="K314" s="7">
        <f>SUMIFS('Leave Management'!$L:$L,'Leave Management'!$C:$C,Detail!$A314,'Leave Management'!$B:$B,Detail!K$1)</f>
        <v>0</v>
      </c>
      <c r="L314" s="7">
        <f>SUMIFS('Leave Management'!$L:$L,'Leave Management'!$C:$C,Detail!$A314,'Leave Management'!$B:$B,Detail!L$1)</f>
        <v>0</v>
      </c>
      <c r="M314" s="7">
        <f>SUMIFS('Leave Management'!$L:$L,'Leave Management'!$C:$C,Detail!$A314,'Leave Management'!$B:$B,Detail!M$1)</f>
        <v>0</v>
      </c>
      <c r="N314" s="7">
        <f>SUMIFS('Leave Management'!$L:$L,'Leave Management'!$C:$C,Detail!$A314,'Leave Management'!$B:$B,Detail!N$1)</f>
        <v>0</v>
      </c>
      <c r="O314" s="7">
        <f t="shared" si="10"/>
        <v>10</v>
      </c>
    </row>
    <row r="315" spans="1:15" x14ac:dyDescent="0.25">
      <c r="A315" s="24">
        <v>43413</v>
      </c>
      <c r="B315" s="2" t="str">
        <f t="shared" si="9"/>
        <v>Fri</v>
      </c>
      <c r="C315" s="7">
        <f>SUMIFS('Leave Management'!$L:$L,'Leave Management'!$C:$C,Detail!$A315,'Leave Management'!$B:$B,Detail!C$1)</f>
        <v>0</v>
      </c>
      <c r="D315" s="7">
        <f>SUMIFS('Leave Management'!$L:$L,'Leave Management'!$C:$C,Detail!$A315,'Leave Management'!$B:$B,Detail!D$1)</f>
        <v>0</v>
      </c>
      <c r="E315" s="7">
        <f>SUMIFS('Leave Management'!$L:$L,'Leave Management'!$C:$C,Detail!$A315,'Leave Management'!$B:$B,Detail!E$1)</f>
        <v>0</v>
      </c>
      <c r="F315" s="7">
        <f>SUMIFS('Leave Management'!$L:$L,'Leave Management'!$C:$C,Detail!$A315,'Leave Management'!$B:$B,Detail!F$1)</f>
        <v>0</v>
      </c>
      <c r="G315" s="7">
        <f>SUMIFS('Leave Management'!$L:$L,'Leave Management'!$C:$C,Detail!$A315,'Leave Management'!$B:$B,Detail!G$1)</f>
        <v>0</v>
      </c>
      <c r="H315" s="7">
        <f>SUMIFS('Leave Management'!$L:$L,'Leave Management'!$C:$C,Detail!$A315,'Leave Management'!$B:$B,Detail!H$1)</f>
        <v>0</v>
      </c>
      <c r="I315" s="7">
        <f>SUMIFS('Leave Management'!$L:$L,'Leave Management'!$C:$C,Detail!$A315,'Leave Management'!$B:$B,Detail!I$1)</f>
        <v>0</v>
      </c>
      <c r="J315" s="7">
        <f>SUMIFS('Leave Management'!$L:$L,'Leave Management'!$C:$C,Detail!$A315,'Leave Management'!$B:$B,Detail!J$1)</f>
        <v>0</v>
      </c>
      <c r="K315" s="7">
        <f>SUMIFS('Leave Management'!$L:$L,'Leave Management'!$C:$C,Detail!$A315,'Leave Management'!$B:$B,Detail!K$1)</f>
        <v>0</v>
      </c>
      <c r="L315" s="7">
        <f>SUMIFS('Leave Management'!$L:$L,'Leave Management'!$C:$C,Detail!$A315,'Leave Management'!$B:$B,Detail!L$1)</f>
        <v>0</v>
      </c>
      <c r="M315" s="7">
        <f>SUMIFS('Leave Management'!$L:$L,'Leave Management'!$C:$C,Detail!$A315,'Leave Management'!$B:$B,Detail!M$1)</f>
        <v>0</v>
      </c>
      <c r="N315" s="7">
        <f>SUMIFS('Leave Management'!$L:$L,'Leave Management'!$C:$C,Detail!$A315,'Leave Management'!$B:$B,Detail!N$1)</f>
        <v>0</v>
      </c>
      <c r="O315" s="7">
        <f t="shared" si="10"/>
        <v>12</v>
      </c>
    </row>
    <row r="316" spans="1:15" x14ac:dyDescent="0.25">
      <c r="A316" s="24">
        <v>43414</v>
      </c>
      <c r="B316" s="2" t="str">
        <f t="shared" si="9"/>
        <v>Sat</v>
      </c>
      <c r="C316" s="7">
        <f>SUMIFS('Leave Management'!$L:$L,'Leave Management'!$C:$C,Detail!$A316,'Leave Management'!$B:$B,Detail!C$1)</f>
        <v>0</v>
      </c>
      <c r="D316" s="7">
        <f>SUMIFS('Leave Management'!$L:$L,'Leave Management'!$C:$C,Detail!$A316,'Leave Management'!$B:$B,Detail!D$1)</f>
        <v>0</v>
      </c>
      <c r="E316" s="7">
        <f>SUMIFS('Leave Management'!$L:$L,'Leave Management'!$C:$C,Detail!$A316,'Leave Management'!$B:$B,Detail!E$1)</f>
        <v>0</v>
      </c>
      <c r="F316" s="7">
        <f>SUMIFS('Leave Management'!$L:$L,'Leave Management'!$C:$C,Detail!$A316,'Leave Management'!$B:$B,Detail!F$1)</f>
        <v>0</v>
      </c>
      <c r="G316" s="7">
        <f>SUMIFS('Leave Management'!$L:$L,'Leave Management'!$C:$C,Detail!$A316,'Leave Management'!$B:$B,Detail!G$1)</f>
        <v>0</v>
      </c>
      <c r="H316" s="7">
        <f>SUMIFS('Leave Management'!$L:$L,'Leave Management'!$C:$C,Detail!$A316,'Leave Management'!$B:$B,Detail!H$1)</f>
        <v>0</v>
      </c>
      <c r="I316" s="7">
        <f>SUMIFS('Leave Management'!$L:$L,'Leave Management'!$C:$C,Detail!$A316,'Leave Management'!$B:$B,Detail!I$1)</f>
        <v>0</v>
      </c>
      <c r="J316" s="7">
        <f>SUMIFS('Leave Management'!$L:$L,'Leave Management'!$C:$C,Detail!$A316,'Leave Management'!$B:$B,Detail!J$1)</f>
        <v>0</v>
      </c>
      <c r="K316" s="7">
        <f>SUMIFS('Leave Management'!$L:$L,'Leave Management'!$C:$C,Detail!$A316,'Leave Management'!$B:$B,Detail!K$1)</f>
        <v>0</v>
      </c>
      <c r="L316" s="7">
        <f>SUMIFS('Leave Management'!$L:$L,'Leave Management'!$C:$C,Detail!$A316,'Leave Management'!$B:$B,Detail!L$1)</f>
        <v>0</v>
      </c>
      <c r="M316" s="7">
        <f>SUMIFS('Leave Management'!$L:$L,'Leave Management'!$C:$C,Detail!$A316,'Leave Management'!$B:$B,Detail!M$1)</f>
        <v>0</v>
      </c>
      <c r="N316" s="7">
        <f>SUMIFS('Leave Management'!$L:$L,'Leave Management'!$C:$C,Detail!$A316,'Leave Management'!$B:$B,Detail!N$1)</f>
        <v>0</v>
      </c>
      <c r="O316" s="7">
        <f t="shared" si="10"/>
        <v>12</v>
      </c>
    </row>
    <row r="317" spans="1:15" x14ac:dyDescent="0.25">
      <c r="A317" s="24">
        <v>43415</v>
      </c>
      <c r="B317" s="2" t="str">
        <f t="shared" si="9"/>
        <v>Sun</v>
      </c>
      <c r="C317" s="7">
        <f>SUMIFS('Leave Management'!$L:$L,'Leave Management'!$C:$C,Detail!$A317,'Leave Management'!$B:$B,Detail!C$1)</f>
        <v>0</v>
      </c>
      <c r="D317" s="7">
        <f>SUMIFS('Leave Management'!$L:$L,'Leave Management'!$C:$C,Detail!$A317,'Leave Management'!$B:$B,Detail!D$1)</f>
        <v>0</v>
      </c>
      <c r="E317" s="7">
        <f>SUMIFS('Leave Management'!$L:$L,'Leave Management'!$C:$C,Detail!$A317,'Leave Management'!$B:$B,Detail!E$1)</f>
        <v>0</v>
      </c>
      <c r="F317" s="7">
        <f>SUMIFS('Leave Management'!$L:$L,'Leave Management'!$C:$C,Detail!$A317,'Leave Management'!$B:$B,Detail!F$1)</f>
        <v>0</v>
      </c>
      <c r="G317" s="7">
        <f>SUMIFS('Leave Management'!$L:$L,'Leave Management'!$C:$C,Detail!$A317,'Leave Management'!$B:$B,Detail!G$1)</f>
        <v>0</v>
      </c>
      <c r="H317" s="7">
        <f>SUMIFS('Leave Management'!$L:$L,'Leave Management'!$C:$C,Detail!$A317,'Leave Management'!$B:$B,Detail!H$1)</f>
        <v>0</v>
      </c>
      <c r="I317" s="7">
        <f>SUMIFS('Leave Management'!$L:$L,'Leave Management'!$C:$C,Detail!$A317,'Leave Management'!$B:$B,Detail!I$1)</f>
        <v>0</v>
      </c>
      <c r="J317" s="7">
        <f>SUMIFS('Leave Management'!$L:$L,'Leave Management'!$C:$C,Detail!$A317,'Leave Management'!$B:$B,Detail!J$1)</f>
        <v>0</v>
      </c>
      <c r="K317" s="7">
        <f>SUMIFS('Leave Management'!$L:$L,'Leave Management'!$C:$C,Detail!$A317,'Leave Management'!$B:$B,Detail!K$1)</f>
        <v>0</v>
      </c>
      <c r="L317" s="7">
        <f>SUMIFS('Leave Management'!$L:$L,'Leave Management'!$C:$C,Detail!$A317,'Leave Management'!$B:$B,Detail!L$1)</f>
        <v>0</v>
      </c>
      <c r="M317" s="7">
        <f>SUMIFS('Leave Management'!$L:$L,'Leave Management'!$C:$C,Detail!$A317,'Leave Management'!$B:$B,Detail!M$1)</f>
        <v>0</v>
      </c>
      <c r="N317" s="7">
        <f>SUMIFS('Leave Management'!$L:$L,'Leave Management'!$C:$C,Detail!$A317,'Leave Management'!$B:$B,Detail!N$1)</f>
        <v>0</v>
      </c>
      <c r="O317" s="7">
        <f t="shared" si="10"/>
        <v>12</v>
      </c>
    </row>
    <row r="318" spans="1:15" x14ac:dyDescent="0.25">
      <c r="A318" s="24">
        <v>43416</v>
      </c>
      <c r="B318" s="2" t="str">
        <f t="shared" si="9"/>
        <v>Mon</v>
      </c>
      <c r="C318" s="7">
        <f>SUMIFS('Leave Management'!$L:$L,'Leave Management'!$C:$C,Detail!$A318,'Leave Management'!$B:$B,Detail!C$1)</f>
        <v>0</v>
      </c>
      <c r="D318" s="7">
        <f>SUMIFS('Leave Management'!$L:$L,'Leave Management'!$C:$C,Detail!$A318,'Leave Management'!$B:$B,Detail!D$1)</f>
        <v>1</v>
      </c>
      <c r="E318" s="7">
        <f>SUMIFS('Leave Management'!$L:$L,'Leave Management'!$C:$C,Detail!$A318,'Leave Management'!$B:$B,Detail!E$1)</f>
        <v>0</v>
      </c>
      <c r="F318" s="7">
        <f>SUMIFS('Leave Management'!$L:$L,'Leave Management'!$C:$C,Detail!$A318,'Leave Management'!$B:$B,Detail!F$1)</f>
        <v>0</v>
      </c>
      <c r="G318" s="7">
        <f>SUMIFS('Leave Management'!$L:$L,'Leave Management'!$C:$C,Detail!$A318,'Leave Management'!$B:$B,Detail!G$1)</f>
        <v>0</v>
      </c>
      <c r="H318" s="7">
        <f>SUMIFS('Leave Management'!$L:$L,'Leave Management'!$C:$C,Detail!$A318,'Leave Management'!$B:$B,Detail!H$1)</f>
        <v>0</v>
      </c>
      <c r="I318" s="7">
        <f>SUMIFS('Leave Management'!$L:$L,'Leave Management'!$C:$C,Detail!$A318,'Leave Management'!$B:$B,Detail!I$1)</f>
        <v>0</v>
      </c>
      <c r="J318" s="7">
        <f>SUMIFS('Leave Management'!$L:$L,'Leave Management'!$C:$C,Detail!$A318,'Leave Management'!$B:$B,Detail!J$1)</f>
        <v>0</v>
      </c>
      <c r="K318" s="7">
        <f>SUMIFS('Leave Management'!$L:$L,'Leave Management'!$C:$C,Detail!$A318,'Leave Management'!$B:$B,Detail!K$1)</f>
        <v>0</v>
      </c>
      <c r="L318" s="7">
        <f>SUMIFS('Leave Management'!$L:$L,'Leave Management'!$C:$C,Detail!$A318,'Leave Management'!$B:$B,Detail!L$1)</f>
        <v>0</v>
      </c>
      <c r="M318" s="7">
        <f>SUMIFS('Leave Management'!$L:$L,'Leave Management'!$C:$C,Detail!$A318,'Leave Management'!$B:$B,Detail!M$1)</f>
        <v>0</v>
      </c>
      <c r="N318" s="7">
        <f>SUMIFS('Leave Management'!$L:$L,'Leave Management'!$C:$C,Detail!$A318,'Leave Management'!$B:$B,Detail!N$1)</f>
        <v>0</v>
      </c>
      <c r="O318" s="7">
        <f t="shared" si="10"/>
        <v>11</v>
      </c>
    </row>
    <row r="319" spans="1:15" x14ac:dyDescent="0.25">
      <c r="A319" s="24">
        <v>43417</v>
      </c>
      <c r="B319" s="2" t="str">
        <f t="shared" si="9"/>
        <v>Tue</v>
      </c>
      <c r="C319" s="7">
        <f>SUMIFS('Leave Management'!$L:$L,'Leave Management'!$C:$C,Detail!$A319,'Leave Management'!$B:$B,Detail!C$1)</f>
        <v>0</v>
      </c>
      <c r="D319" s="7">
        <f>SUMIFS('Leave Management'!$L:$L,'Leave Management'!$C:$C,Detail!$A319,'Leave Management'!$B:$B,Detail!D$1)</f>
        <v>0</v>
      </c>
      <c r="E319" s="7">
        <f>SUMIFS('Leave Management'!$L:$L,'Leave Management'!$C:$C,Detail!$A319,'Leave Management'!$B:$B,Detail!E$1)</f>
        <v>0</v>
      </c>
      <c r="F319" s="7">
        <f>SUMIFS('Leave Management'!$L:$L,'Leave Management'!$C:$C,Detail!$A319,'Leave Management'!$B:$B,Detail!F$1)</f>
        <v>0</v>
      </c>
      <c r="G319" s="7">
        <f>SUMIFS('Leave Management'!$L:$L,'Leave Management'!$C:$C,Detail!$A319,'Leave Management'!$B:$B,Detail!G$1)</f>
        <v>0</v>
      </c>
      <c r="H319" s="7">
        <f>SUMIFS('Leave Management'!$L:$L,'Leave Management'!$C:$C,Detail!$A319,'Leave Management'!$B:$B,Detail!H$1)</f>
        <v>0</v>
      </c>
      <c r="I319" s="7">
        <f>SUMIFS('Leave Management'!$L:$L,'Leave Management'!$C:$C,Detail!$A319,'Leave Management'!$B:$B,Detail!I$1)</f>
        <v>0</v>
      </c>
      <c r="J319" s="7">
        <f>SUMIFS('Leave Management'!$L:$L,'Leave Management'!$C:$C,Detail!$A319,'Leave Management'!$B:$B,Detail!J$1)</f>
        <v>0</v>
      </c>
      <c r="K319" s="7">
        <f>SUMIFS('Leave Management'!$L:$L,'Leave Management'!$C:$C,Detail!$A319,'Leave Management'!$B:$B,Detail!K$1)</f>
        <v>0</v>
      </c>
      <c r="L319" s="7">
        <f>SUMIFS('Leave Management'!$L:$L,'Leave Management'!$C:$C,Detail!$A319,'Leave Management'!$B:$B,Detail!L$1)</f>
        <v>0</v>
      </c>
      <c r="M319" s="7">
        <f>SUMIFS('Leave Management'!$L:$L,'Leave Management'!$C:$C,Detail!$A319,'Leave Management'!$B:$B,Detail!M$1)</f>
        <v>0</v>
      </c>
      <c r="N319" s="7">
        <f>SUMIFS('Leave Management'!$L:$L,'Leave Management'!$C:$C,Detail!$A319,'Leave Management'!$B:$B,Detail!N$1)</f>
        <v>0</v>
      </c>
      <c r="O319" s="7">
        <f t="shared" si="10"/>
        <v>12</v>
      </c>
    </row>
    <row r="320" spans="1:15" x14ac:dyDescent="0.25">
      <c r="A320" s="24">
        <v>43418</v>
      </c>
      <c r="B320" s="2" t="str">
        <f t="shared" si="9"/>
        <v>Wed</v>
      </c>
      <c r="C320" s="7">
        <f>SUMIFS('Leave Management'!$L:$L,'Leave Management'!$C:$C,Detail!$A320,'Leave Management'!$B:$B,Detail!C$1)</f>
        <v>0</v>
      </c>
      <c r="D320" s="7">
        <f>SUMIFS('Leave Management'!$L:$L,'Leave Management'!$C:$C,Detail!$A320,'Leave Management'!$B:$B,Detail!D$1)</f>
        <v>0</v>
      </c>
      <c r="E320" s="7">
        <f>SUMIFS('Leave Management'!$L:$L,'Leave Management'!$C:$C,Detail!$A320,'Leave Management'!$B:$B,Detail!E$1)</f>
        <v>0</v>
      </c>
      <c r="F320" s="7">
        <f>SUMIFS('Leave Management'!$L:$L,'Leave Management'!$C:$C,Detail!$A320,'Leave Management'!$B:$B,Detail!F$1)</f>
        <v>0</v>
      </c>
      <c r="G320" s="7">
        <f>SUMIFS('Leave Management'!$L:$L,'Leave Management'!$C:$C,Detail!$A320,'Leave Management'!$B:$B,Detail!G$1)</f>
        <v>0</v>
      </c>
      <c r="H320" s="7">
        <f>SUMIFS('Leave Management'!$L:$L,'Leave Management'!$C:$C,Detail!$A320,'Leave Management'!$B:$B,Detail!H$1)</f>
        <v>0</v>
      </c>
      <c r="I320" s="7">
        <f>SUMIFS('Leave Management'!$L:$L,'Leave Management'!$C:$C,Detail!$A320,'Leave Management'!$B:$B,Detail!I$1)</f>
        <v>0</v>
      </c>
      <c r="J320" s="7">
        <f>SUMIFS('Leave Management'!$L:$L,'Leave Management'!$C:$C,Detail!$A320,'Leave Management'!$B:$B,Detail!J$1)</f>
        <v>0</v>
      </c>
      <c r="K320" s="7">
        <f>SUMIFS('Leave Management'!$L:$L,'Leave Management'!$C:$C,Detail!$A320,'Leave Management'!$B:$B,Detail!K$1)</f>
        <v>0</v>
      </c>
      <c r="L320" s="7">
        <f>SUMIFS('Leave Management'!$L:$L,'Leave Management'!$C:$C,Detail!$A320,'Leave Management'!$B:$B,Detail!L$1)</f>
        <v>0</v>
      </c>
      <c r="M320" s="7">
        <f>SUMIFS('Leave Management'!$L:$L,'Leave Management'!$C:$C,Detail!$A320,'Leave Management'!$B:$B,Detail!M$1)</f>
        <v>0</v>
      </c>
      <c r="N320" s="7">
        <f>SUMIFS('Leave Management'!$L:$L,'Leave Management'!$C:$C,Detail!$A320,'Leave Management'!$B:$B,Detail!N$1)</f>
        <v>0</v>
      </c>
      <c r="O320" s="7">
        <f t="shared" si="10"/>
        <v>12</v>
      </c>
    </row>
    <row r="321" spans="1:15" x14ac:dyDescent="0.25">
      <c r="A321" s="24">
        <v>43419</v>
      </c>
      <c r="B321" s="2" t="str">
        <f t="shared" si="9"/>
        <v>Thu</v>
      </c>
      <c r="C321" s="7">
        <f>SUMIFS('Leave Management'!$L:$L,'Leave Management'!$C:$C,Detail!$A321,'Leave Management'!$B:$B,Detail!C$1)</f>
        <v>0</v>
      </c>
      <c r="D321" s="7">
        <f>SUMIFS('Leave Management'!$L:$L,'Leave Management'!$C:$C,Detail!$A321,'Leave Management'!$B:$B,Detail!D$1)</f>
        <v>0</v>
      </c>
      <c r="E321" s="7">
        <f>SUMIFS('Leave Management'!$L:$L,'Leave Management'!$C:$C,Detail!$A321,'Leave Management'!$B:$B,Detail!E$1)</f>
        <v>0</v>
      </c>
      <c r="F321" s="7">
        <f>SUMIFS('Leave Management'!$L:$L,'Leave Management'!$C:$C,Detail!$A321,'Leave Management'!$B:$B,Detail!F$1)</f>
        <v>0</v>
      </c>
      <c r="G321" s="7">
        <f>SUMIFS('Leave Management'!$L:$L,'Leave Management'!$C:$C,Detail!$A321,'Leave Management'!$B:$B,Detail!G$1)</f>
        <v>0</v>
      </c>
      <c r="H321" s="7">
        <f>SUMIFS('Leave Management'!$L:$L,'Leave Management'!$C:$C,Detail!$A321,'Leave Management'!$B:$B,Detail!H$1)</f>
        <v>0</v>
      </c>
      <c r="I321" s="7">
        <f>SUMIFS('Leave Management'!$L:$L,'Leave Management'!$C:$C,Detail!$A321,'Leave Management'!$B:$B,Detail!I$1)</f>
        <v>0</v>
      </c>
      <c r="J321" s="7">
        <f>SUMIFS('Leave Management'!$L:$L,'Leave Management'!$C:$C,Detail!$A321,'Leave Management'!$B:$B,Detail!J$1)</f>
        <v>0</v>
      </c>
      <c r="K321" s="7">
        <f>SUMIFS('Leave Management'!$L:$L,'Leave Management'!$C:$C,Detail!$A321,'Leave Management'!$B:$B,Detail!K$1)</f>
        <v>0</v>
      </c>
      <c r="L321" s="7">
        <f>SUMIFS('Leave Management'!$L:$L,'Leave Management'!$C:$C,Detail!$A321,'Leave Management'!$B:$B,Detail!L$1)</f>
        <v>0</v>
      </c>
      <c r="M321" s="7">
        <f>SUMIFS('Leave Management'!$L:$L,'Leave Management'!$C:$C,Detail!$A321,'Leave Management'!$B:$B,Detail!M$1)</f>
        <v>0</v>
      </c>
      <c r="N321" s="7">
        <f>SUMIFS('Leave Management'!$L:$L,'Leave Management'!$C:$C,Detail!$A321,'Leave Management'!$B:$B,Detail!N$1)</f>
        <v>0</v>
      </c>
      <c r="O321" s="7">
        <f t="shared" si="10"/>
        <v>12</v>
      </c>
    </row>
    <row r="322" spans="1:15" x14ac:dyDescent="0.25">
      <c r="A322" s="24">
        <v>43420</v>
      </c>
      <c r="B322" s="2" t="str">
        <f t="shared" si="9"/>
        <v>Fri</v>
      </c>
      <c r="C322" s="7">
        <f>SUMIFS('Leave Management'!$L:$L,'Leave Management'!$C:$C,Detail!$A322,'Leave Management'!$B:$B,Detail!C$1)</f>
        <v>0</v>
      </c>
      <c r="D322" s="7">
        <f>SUMIFS('Leave Management'!$L:$L,'Leave Management'!$C:$C,Detail!$A322,'Leave Management'!$B:$B,Detail!D$1)</f>
        <v>0</v>
      </c>
      <c r="E322" s="7">
        <f>SUMIFS('Leave Management'!$L:$L,'Leave Management'!$C:$C,Detail!$A322,'Leave Management'!$B:$B,Detail!E$1)</f>
        <v>0</v>
      </c>
      <c r="F322" s="7">
        <f>SUMIFS('Leave Management'!$L:$L,'Leave Management'!$C:$C,Detail!$A322,'Leave Management'!$B:$B,Detail!F$1)</f>
        <v>0</v>
      </c>
      <c r="G322" s="7">
        <f>SUMIFS('Leave Management'!$L:$L,'Leave Management'!$C:$C,Detail!$A322,'Leave Management'!$B:$B,Detail!G$1)</f>
        <v>0</v>
      </c>
      <c r="H322" s="7">
        <f>SUMIFS('Leave Management'!$L:$L,'Leave Management'!$C:$C,Detail!$A322,'Leave Management'!$B:$B,Detail!H$1)</f>
        <v>0</v>
      </c>
      <c r="I322" s="7">
        <f>SUMIFS('Leave Management'!$L:$L,'Leave Management'!$C:$C,Detail!$A322,'Leave Management'!$B:$B,Detail!I$1)</f>
        <v>0</v>
      </c>
      <c r="J322" s="7">
        <f>SUMIFS('Leave Management'!$L:$L,'Leave Management'!$C:$C,Detail!$A322,'Leave Management'!$B:$B,Detail!J$1)</f>
        <v>0</v>
      </c>
      <c r="K322" s="7">
        <f>SUMIFS('Leave Management'!$L:$L,'Leave Management'!$C:$C,Detail!$A322,'Leave Management'!$B:$B,Detail!K$1)</f>
        <v>0</v>
      </c>
      <c r="L322" s="7">
        <f>SUMIFS('Leave Management'!$L:$L,'Leave Management'!$C:$C,Detail!$A322,'Leave Management'!$B:$B,Detail!L$1)</f>
        <v>0</v>
      </c>
      <c r="M322" s="7">
        <f>SUMIFS('Leave Management'!$L:$L,'Leave Management'!$C:$C,Detail!$A322,'Leave Management'!$B:$B,Detail!M$1)</f>
        <v>0</v>
      </c>
      <c r="N322" s="7">
        <f>SUMIFS('Leave Management'!$L:$L,'Leave Management'!$C:$C,Detail!$A322,'Leave Management'!$B:$B,Detail!N$1)</f>
        <v>0</v>
      </c>
      <c r="O322" s="7">
        <f t="shared" si="10"/>
        <v>12</v>
      </c>
    </row>
    <row r="323" spans="1:15" x14ac:dyDescent="0.25">
      <c r="A323" s="24">
        <v>43421</v>
      </c>
      <c r="B323" s="2" t="str">
        <f t="shared" si="9"/>
        <v>Sat</v>
      </c>
      <c r="C323" s="7">
        <f>SUMIFS('Leave Management'!$L:$L,'Leave Management'!$C:$C,Detail!$A323,'Leave Management'!$B:$B,Detail!C$1)</f>
        <v>0</v>
      </c>
      <c r="D323" s="7">
        <f>SUMIFS('Leave Management'!$L:$L,'Leave Management'!$C:$C,Detail!$A323,'Leave Management'!$B:$B,Detail!D$1)</f>
        <v>0</v>
      </c>
      <c r="E323" s="7">
        <f>SUMIFS('Leave Management'!$L:$L,'Leave Management'!$C:$C,Detail!$A323,'Leave Management'!$B:$B,Detail!E$1)</f>
        <v>0</v>
      </c>
      <c r="F323" s="7">
        <f>SUMIFS('Leave Management'!$L:$L,'Leave Management'!$C:$C,Detail!$A323,'Leave Management'!$B:$B,Detail!F$1)</f>
        <v>0</v>
      </c>
      <c r="G323" s="7">
        <f>SUMIFS('Leave Management'!$L:$L,'Leave Management'!$C:$C,Detail!$A323,'Leave Management'!$B:$B,Detail!G$1)</f>
        <v>0</v>
      </c>
      <c r="H323" s="7">
        <f>SUMIFS('Leave Management'!$L:$L,'Leave Management'!$C:$C,Detail!$A323,'Leave Management'!$B:$B,Detail!H$1)</f>
        <v>0</v>
      </c>
      <c r="I323" s="7">
        <f>SUMIFS('Leave Management'!$L:$L,'Leave Management'!$C:$C,Detail!$A323,'Leave Management'!$B:$B,Detail!I$1)</f>
        <v>0</v>
      </c>
      <c r="J323" s="7">
        <f>SUMIFS('Leave Management'!$L:$L,'Leave Management'!$C:$C,Detail!$A323,'Leave Management'!$B:$B,Detail!J$1)</f>
        <v>0</v>
      </c>
      <c r="K323" s="7">
        <f>SUMIFS('Leave Management'!$L:$L,'Leave Management'!$C:$C,Detail!$A323,'Leave Management'!$B:$B,Detail!K$1)</f>
        <v>0</v>
      </c>
      <c r="L323" s="7">
        <f>SUMIFS('Leave Management'!$L:$L,'Leave Management'!$C:$C,Detail!$A323,'Leave Management'!$B:$B,Detail!L$1)</f>
        <v>0</v>
      </c>
      <c r="M323" s="7">
        <f>SUMIFS('Leave Management'!$L:$L,'Leave Management'!$C:$C,Detail!$A323,'Leave Management'!$B:$B,Detail!M$1)</f>
        <v>0</v>
      </c>
      <c r="N323" s="7">
        <f>SUMIFS('Leave Management'!$L:$L,'Leave Management'!$C:$C,Detail!$A323,'Leave Management'!$B:$B,Detail!N$1)</f>
        <v>0</v>
      </c>
      <c r="O323" s="7">
        <f t="shared" si="10"/>
        <v>12</v>
      </c>
    </row>
    <row r="324" spans="1:15" x14ac:dyDescent="0.25">
      <c r="A324" s="24">
        <v>43422</v>
      </c>
      <c r="B324" s="2" t="str">
        <f t="shared" ref="B324:B383" si="11">CHOOSE(WEEKDAY(A324),"Sun","Mon","Tue","Wed","Thu","Fri","Sat")</f>
        <v>Sun</v>
      </c>
      <c r="C324" s="7">
        <f>SUMIFS('Leave Management'!$L:$L,'Leave Management'!$C:$C,Detail!$A324,'Leave Management'!$B:$B,Detail!C$1)</f>
        <v>0</v>
      </c>
      <c r="D324" s="7">
        <f>SUMIFS('Leave Management'!$L:$L,'Leave Management'!$C:$C,Detail!$A324,'Leave Management'!$B:$B,Detail!D$1)</f>
        <v>0</v>
      </c>
      <c r="E324" s="7">
        <f>SUMIFS('Leave Management'!$L:$L,'Leave Management'!$C:$C,Detail!$A324,'Leave Management'!$B:$B,Detail!E$1)</f>
        <v>0</v>
      </c>
      <c r="F324" s="7">
        <f>SUMIFS('Leave Management'!$L:$L,'Leave Management'!$C:$C,Detail!$A324,'Leave Management'!$B:$B,Detail!F$1)</f>
        <v>0</v>
      </c>
      <c r="G324" s="7">
        <f>SUMIFS('Leave Management'!$L:$L,'Leave Management'!$C:$C,Detail!$A324,'Leave Management'!$B:$B,Detail!G$1)</f>
        <v>0</v>
      </c>
      <c r="H324" s="7">
        <f>SUMIFS('Leave Management'!$L:$L,'Leave Management'!$C:$C,Detail!$A324,'Leave Management'!$B:$B,Detail!H$1)</f>
        <v>0</v>
      </c>
      <c r="I324" s="7">
        <f>SUMIFS('Leave Management'!$L:$L,'Leave Management'!$C:$C,Detail!$A324,'Leave Management'!$B:$B,Detail!I$1)</f>
        <v>0</v>
      </c>
      <c r="J324" s="7">
        <f>SUMIFS('Leave Management'!$L:$L,'Leave Management'!$C:$C,Detail!$A324,'Leave Management'!$B:$B,Detail!J$1)</f>
        <v>0</v>
      </c>
      <c r="K324" s="7">
        <f>SUMIFS('Leave Management'!$L:$L,'Leave Management'!$C:$C,Detail!$A324,'Leave Management'!$B:$B,Detail!K$1)</f>
        <v>0</v>
      </c>
      <c r="L324" s="7">
        <f>SUMIFS('Leave Management'!$L:$L,'Leave Management'!$C:$C,Detail!$A324,'Leave Management'!$B:$B,Detail!L$1)</f>
        <v>0</v>
      </c>
      <c r="M324" s="7">
        <f>SUMIFS('Leave Management'!$L:$L,'Leave Management'!$C:$C,Detail!$A324,'Leave Management'!$B:$B,Detail!M$1)</f>
        <v>0</v>
      </c>
      <c r="N324" s="7">
        <f>SUMIFS('Leave Management'!$L:$L,'Leave Management'!$C:$C,Detail!$A324,'Leave Management'!$B:$B,Detail!N$1)</f>
        <v>0</v>
      </c>
      <c r="O324" s="7">
        <f t="shared" ref="O324:O387" si="12">COUNTA($C$1:$N$1)-SUM($C324:$N324)</f>
        <v>12</v>
      </c>
    </row>
    <row r="325" spans="1:15" x14ac:dyDescent="0.25">
      <c r="A325" s="24">
        <v>43423</v>
      </c>
      <c r="B325" s="2" t="str">
        <f t="shared" si="11"/>
        <v>Mon</v>
      </c>
      <c r="C325" s="7">
        <f>SUMIFS('Leave Management'!$L:$L,'Leave Management'!$C:$C,Detail!$A325,'Leave Management'!$B:$B,Detail!C$1)</f>
        <v>0</v>
      </c>
      <c r="D325" s="7">
        <f>SUMIFS('Leave Management'!$L:$L,'Leave Management'!$C:$C,Detail!$A325,'Leave Management'!$B:$B,Detail!D$1)</f>
        <v>0</v>
      </c>
      <c r="E325" s="7">
        <f>SUMIFS('Leave Management'!$L:$L,'Leave Management'!$C:$C,Detail!$A325,'Leave Management'!$B:$B,Detail!E$1)</f>
        <v>0</v>
      </c>
      <c r="F325" s="7">
        <f>SUMIFS('Leave Management'!$L:$L,'Leave Management'!$C:$C,Detail!$A325,'Leave Management'!$B:$B,Detail!F$1)</f>
        <v>0</v>
      </c>
      <c r="G325" s="7">
        <f>SUMIFS('Leave Management'!$L:$L,'Leave Management'!$C:$C,Detail!$A325,'Leave Management'!$B:$B,Detail!G$1)</f>
        <v>0</v>
      </c>
      <c r="H325" s="7">
        <f>SUMIFS('Leave Management'!$L:$L,'Leave Management'!$C:$C,Detail!$A325,'Leave Management'!$B:$B,Detail!H$1)</f>
        <v>0</v>
      </c>
      <c r="I325" s="7">
        <f>SUMIFS('Leave Management'!$L:$L,'Leave Management'!$C:$C,Detail!$A325,'Leave Management'!$B:$B,Detail!I$1)</f>
        <v>0</v>
      </c>
      <c r="J325" s="7">
        <f>SUMIFS('Leave Management'!$L:$L,'Leave Management'!$C:$C,Detail!$A325,'Leave Management'!$B:$B,Detail!J$1)</f>
        <v>0</v>
      </c>
      <c r="K325" s="7">
        <f>SUMIFS('Leave Management'!$L:$L,'Leave Management'!$C:$C,Detail!$A325,'Leave Management'!$B:$B,Detail!K$1)</f>
        <v>0</v>
      </c>
      <c r="L325" s="7">
        <f>SUMIFS('Leave Management'!$L:$L,'Leave Management'!$C:$C,Detail!$A325,'Leave Management'!$B:$B,Detail!L$1)</f>
        <v>0</v>
      </c>
      <c r="M325" s="7">
        <f>SUMIFS('Leave Management'!$L:$L,'Leave Management'!$C:$C,Detail!$A325,'Leave Management'!$B:$B,Detail!M$1)</f>
        <v>0</v>
      </c>
      <c r="N325" s="7">
        <f>SUMIFS('Leave Management'!$L:$L,'Leave Management'!$C:$C,Detail!$A325,'Leave Management'!$B:$B,Detail!N$1)</f>
        <v>0</v>
      </c>
      <c r="O325" s="7">
        <f t="shared" si="12"/>
        <v>12</v>
      </c>
    </row>
    <row r="326" spans="1:15" x14ac:dyDescent="0.25">
      <c r="A326" s="24">
        <v>43424</v>
      </c>
      <c r="B326" s="2" t="str">
        <f t="shared" si="11"/>
        <v>Tue</v>
      </c>
      <c r="C326" s="7">
        <f>SUMIFS('Leave Management'!$L:$L,'Leave Management'!$C:$C,Detail!$A326,'Leave Management'!$B:$B,Detail!C$1)</f>
        <v>0</v>
      </c>
      <c r="D326" s="7">
        <f>SUMIFS('Leave Management'!$L:$L,'Leave Management'!$C:$C,Detail!$A326,'Leave Management'!$B:$B,Detail!D$1)</f>
        <v>0</v>
      </c>
      <c r="E326" s="7">
        <f>SUMIFS('Leave Management'!$L:$L,'Leave Management'!$C:$C,Detail!$A326,'Leave Management'!$B:$B,Detail!E$1)</f>
        <v>0</v>
      </c>
      <c r="F326" s="7">
        <f>SUMIFS('Leave Management'!$L:$L,'Leave Management'!$C:$C,Detail!$A326,'Leave Management'!$B:$B,Detail!F$1)</f>
        <v>0</v>
      </c>
      <c r="G326" s="7">
        <f>SUMIFS('Leave Management'!$L:$L,'Leave Management'!$C:$C,Detail!$A326,'Leave Management'!$B:$B,Detail!G$1)</f>
        <v>0</v>
      </c>
      <c r="H326" s="7">
        <f>SUMIFS('Leave Management'!$L:$L,'Leave Management'!$C:$C,Detail!$A326,'Leave Management'!$B:$B,Detail!H$1)</f>
        <v>0</v>
      </c>
      <c r="I326" s="7">
        <f>SUMIFS('Leave Management'!$L:$L,'Leave Management'!$C:$C,Detail!$A326,'Leave Management'!$B:$B,Detail!I$1)</f>
        <v>0</v>
      </c>
      <c r="J326" s="7">
        <f>SUMIFS('Leave Management'!$L:$L,'Leave Management'!$C:$C,Detail!$A326,'Leave Management'!$B:$B,Detail!J$1)</f>
        <v>0</v>
      </c>
      <c r="K326" s="7">
        <f>SUMIFS('Leave Management'!$L:$L,'Leave Management'!$C:$C,Detail!$A326,'Leave Management'!$B:$B,Detail!K$1)</f>
        <v>0</v>
      </c>
      <c r="L326" s="7">
        <f>SUMIFS('Leave Management'!$L:$L,'Leave Management'!$C:$C,Detail!$A326,'Leave Management'!$B:$B,Detail!L$1)</f>
        <v>0</v>
      </c>
      <c r="M326" s="7">
        <f>SUMIFS('Leave Management'!$L:$L,'Leave Management'!$C:$C,Detail!$A326,'Leave Management'!$B:$B,Detail!M$1)</f>
        <v>0</v>
      </c>
      <c r="N326" s="7">
        <f>SUMIFS('Leave Management'!$L:$L,'Leave Management'!$C:$C,Detail!$A326,'Leave Management'!$B:$B,Detail!N$1)</f>
        <v>0</v>
      </c>
      <c r="O326" s="7">
        <f t="shared" si="12"/>
        <v>12</v>
      </c>
    </row>
    <row r="327" spans="1:15" x14ac:dyDescent="0.25">
      <c r="A327" s="24">
        <v>43425</v>
      </c>
      <c r="B327" s="2" t="str">
        <f t="shared" si="11"/>
        <v>Wed</v>
      </c>
      <c r="C327" s="7">
        <f>SUMIFS('Leave Management'!$L:$L,'Leave Management'!$C:$C,Detail!$A327,'Leave Management'!$B:$B,Detail!C$1)</f>
        <v>0</v>
      </c>
      <c r="D327" s="7">
        <f>SUMIFS('Leave Management'!$L:$L,'Leave Management'!$C:$C,Detail!$A327,'Leave Management'!$B:$B,Detail!D$1)</f>
        <v>0</v>
      </c>
      <c r="E327" s="7">
        <f>SUMIFS('Leave Management'!$L:$L,'Leave Management'!$C:$C,Detail!$A327,'Leave Management'!$B:$B,Detail!E$1)</f>
        <v>0</v>
      </c>
      <c r="F327" s="7">
        <f>SUMIFS('Leave Management'!$L:$L,'Leave Management'!$C:$C,Detail!$A327,'Leave Management'!$B:$B,Detail!F$1)</f>
        <v>0</v>
      </c>
      <c r="G327" s="7">
        <f>SUMIFS('Leave Management'!$L:$L,'Leave Management'!$C:$C,Detail!$A327,'Leave Management'!$B:$B,Detail!G$1)</f>
        <v>0</v>
      </c>
      <c r="H327" s="7">
        <f>SUMIFS('Leave Management'!$L:$L,'Leave Management'!$C:$C,Detail!$A327,'Leave Management'!$B:$B,Detail!H$1)</f>
        <v>0</v>
      </c>
      <c r="I327" s="7">
        <f>SUMIFS('Leave Management'!$L:$L,'Leave Management'!$C:$C,Detail!$A327,'Leave Management'!$B:$B,Detail!I$1)</f>
        <v>0</v>
      </c>
      <c r="J327" s="7">
        <f>SUMIFS('Leave Management'!$L:$L,'Leave Management'!$C:$C,Detail!$A327,'Leave Management'!$B:$B,Detail!J$1)</f>
        <v>0</v>
      </c>
      <c r="K327" s="7">
        <f>SUMIFS('Leave Management'!$L:$L,'Leave Management'!$C:$C,Detail!$A327,'Leave Management'!$B:$B,Detail!K$1)</f>
        <v>0</v>
      </c>
      <c r="L327" s="7">
        <f>SUMIFS('Leave Management'!$L:$L,'Leave Management'!$C:$C,Detail!$A327,'Leave Management'!$B:$B,Detail!L$1)</f>
        <v>0</v>
      </c>
      <c r="M327" s="7">
        <f>SUMIFS('Leave Management'!$L:$L,'Leave Management'!$C:$C,Detail!$A327,'Leave Management'!$B:$B,Detail!M$1)</f>
        <v>0</v>
      </c>
      <c r="N327" s="7">
        <f>SUMIFS('Leave Management'!$L:$L,'Leave Management'!$C:$C,Detail!$A327,'Leave Management'!$B:$B,Detail!N$1)</f>
        <v>0</v>
      </c>
      <c r="O327" s="7">
        <f t="shared" si="12"/>
        <v>12</v>
      </c>
    </row>
    <row r="328" spans="1:15" x14ac:dyDescent="0.25">
      <c r="A328" s="24">
        <v>43426</v>
      </c>
      <c r="B328" s="2" t="str">
        <f t="shared" si="11"/>
        <v>Thu</v>
      </c>
      <c r="C328" s="7">
        <f>SUMIFS('Leave Management'!$L:$L,'Leave Management'!$C:$C,Detail!$A328,'Leave Management'!$B:$B,Detail!C$1)</f>
        <v>0</v>
      </c>
      <c r="D328" s="7">
        <f>SUMIFS('Leave Management'!$L:$L,'Leave Management'!$C:$C,Detail!$A328,'Leave Management'!$B:$B,Detail!D$1)</f>
        <v>0</v>
      </c>
      <c r="E328" s="7">
        <f>SUMIFS('Leave Management'!$L:$L,'Leave Management'!$C:$C,Detail!$A328,'Leave Management'!$B:$B,Detail!E$1)</f>
        <v>0</v>
      </c>
      <c r="F328" s="7">
        <f>SUMIFS('Leave Management'!$L:$L,'Leave Management'!$C:$C,Detail!$A328,'Leave Management'!$B:$B,Detail!F$1)</f>
        <v>0</v>
      </c>
      <c r="G328" s="7">
        <f>SUMIFS('Leave Management'!$L:$L,'Leave Management'!$C:$C,Detail!$A328,'Leave Management'!$B:$B,Detail!G$1)</f>
        <v>0</v>
      </c>
      <c r="H328" s="7">
        <f>SUMIFS('Leave Management'!$L:$L,'Leave Management'!$C:$C,Detail!$A328,'Leave Management'!$B:$B,Detail!H$1)</f>
        <v>0</v>
      </c>
      <c r="I328" s="7">
        <f>SUMIFS('Leave Management'!$L:$L,'Leave Management'!$C:$C,Detail!$A328,'Leave Management'!$B:$B,Detail!I$1)</f>
        <v>0</v>
      </c>
      <c r="J328" s="7">
        <f>SUMIFS('Leave Management'!$L:$L,'Leave Management'!$C:$C,Detail!$A328,'Leave Management'!$B:$B,Detail!J$1)</f>
        <v>0</v>
      </c>
      <c r="K328" s="7">
        <f>SUMIFS('Leave Management'!$L:$L,'Leave Management'!$C:$C,Detail!$A328,'Leave Management'!$B:$B,Detail!K$1)</f>
        <v>0</v>
      </c>
      <c r="L328" s="7">
        <f>SUMIFS('Leave Management'!$L:$L,'Leave Management'!$C:$C,Detail!$A328,'Leave Management'!$B:$B,Detail!L$1)</f>
        <v>0</v>
      </c>
      <c r="M328" s="7">
        <f>SUMIFS('Leave Management'!$L:$L,'Leave Management'!$C:$C,Detail!$A328,'Leave Management'!$B:$B,Detail!M$1)</f>
        <v>0</v>
      </c>
      <c r="N328" s="7">
        <f>SUMIFS('Leave Management'!$L:$L,'Leave Management'!$C:$C,Detail!$A328,'Leave Management'!$B:$B,Detail!N$1)</f>
        <v>0</v>
      </c>
      <c r="O328" s="7">
        <f t="shared" si="12"/>
        <v>12</v>
      </c>
    </row>
    <row r="329" spans="1:15" x14ac:dyDescent="0.25">
      <c r="A329" s="24">
        <v>43427</v>
      </c>
      <c r="B329" s="2" t="str">
        <f t="shared" si="11"/>
        <v>Fri</v>
      </c>
      <c r="C329" s="7">
        <f>SUMIFS('Leave Management'!$L:$L,'Leave Management'!$C:$C,Detail!$A329,'Leave Management'!$B:$B,Detail!C$1)</f>
        <v>0</v>
      </c>
      <c r="D329" s="7">
        <f>SUMIFS('Leave Management'!$L:$L,'Leave Management'!$C:$C,Detail!$A329,'Leave Management'!$B:$B,Detail!D$1)</f>
        <v>0</v>
      </c>
      <c r="E329" s="7">
        <f>SUMIFS('Leave Management'!$L:$L,'Leave Management'!$C:$C,Detail!$A329,'Leave Management'!$B:$B,Detail!E$1)</f>
        <v>0</v>
      </c>
      <c r="F329" s="7">
        <f>SUMIFS('Leave Management'!$L:$L,'Leave Management'!$C:$C,Detail!$A329,'Leave Management'!$B:$B,Detail!F$1)</f>
        <v>0</v>
      </c>
      <c r="G329" s="7">
        <f>SUMIFS('Leave Management'!$L:$L,'Leave Management'!$C:$C,Detail!$A329,'Leave Management'!$B:$B,Detail!G$1)</f>
        <v>0</v>
      </c>
      <c r="H329" s="7">
        <f>SUMIFS('Leave Management'!$L:$L,'Leave Management'!$C:$C,Detail!$A329,'Leave Management'!$B:$B,Detail!H$1)</f>
        <v>0</v>
      </c>
      <c r="I329" s="7">
        <f>SUMIFS('Leave Management'!$L:$L,'Leave Management'!$C:$C,Detail!$A329,'Leave Management'!$B:$B,Detail!I$1)</f>
        <v>0</v>
      </c>
      <c r="J329" s="7">
        <f>SUMIFS('Leave Management'!$L:$L,'Leave Management'!$C:$C,Detail!$A329,'Leave Management'!$B:$B,Detail!J$1)</f>
        <v>0</v>
      </c>
      <c r="K329" s="7">
        <f>SUMIFS('Leave Management'!$L:$L,'Leave Management'!$C:$C,Detail!$A329,'Leave Management'!$B:$B,Detail!K$1)</f>
        <v>0</v>
      </c>
      <c r="L329" s="7">
        <f>SUMIFS('Leave Management'!$L:$L,'Leave Management'!$C:$C,Detail!$A329,'Leave Management'!$B:$B,Detail!L$1)</f>
        <v>0</v>
      </c>
      <c r="M329" s="7">
        <f>SUMIFS('Leave Management'!$L:$L,'Leave Management'!$C:$C,Detail!$A329,'Leave Management'!$B:$B,Detail!M$1)</f>
        <v>0</v>
      </c>
      <c r="N329" s="7">
        <f>SUMIFS('Leave Management'!$L:$L,'Leave Management'!$C:$C,Detail!$A329,'Leave Management'!$B:$B,Detail!N$1)</f>
        <v>0</v>
      </c>
      <c r="O329" s="7">
        <f t="shared" si="12"/>
        <v>12</v>
      </c>
    </row>
    <row r="330" spans="1:15" x14ac:dyDescent="0.25">
      <c r="A330" s="24">
        <v>43428</v>
      </c>
      <c r="B330" s="2" t="str">
        <f t="shared" si="11"/>
        <v>Sat</v>
      </c>
      <c r="C330" s="7">
        <f>SUMIFS('Leave Management'!$L:$L,'Leave Management'!$C:$C,Detail!$A330,'Leave Management'!$B:$B,Detail!C$1)</f>
        <v>0</v>
      </c>
      <c r="D330" s="7">
        <f>SUMIFS('Leave Management'!$L:$L,'Leave Management'!$C:$C,Detail!$A330,'Leave Management'!$B:$B,Detail!D$1)</f>
        <v>0</v>
      </c>
      <c r="E330" s="7">
        <f>SUMIFS('Leave Management'!$L:$L,'Leave Management'!$C:$C,Detail!$A330,'Leave Management'!$B:$B,Detail!E$1)</f>
        <v>0</v>
      </c>
      <c r="F330" s="7">
        <f>SUMIFS('Leave Management'!$L:$L,'Leave Management'!$C:$C,Detail!$A330,'Leave Management'!$B:$B,Detail!F$1)</f>
        <v>0</v>
      </c>
      <c r="G330" s="7">
        <f>SUMIFS('Leave Management'!$L:$L,'Leave Management'!$C:$C,Detail!$A330,'Leave Management'!$B:$B,Detail!G$1)</f>
        <v>0</v>
      </c>
      <c r="H330" s="7">
        <f>SUMIFS('Leave Management'!$L:$L,'Leave Management'!$C:$C,Detail!$A330,'Leave Management'!$B:$B,Detail!H$1)</f>
        <v>0</v>
      </c>
      <c r="I330" s="7">
        <f>SUMIFS('Leave Management'!$L:$L,'Leave Management'!$C:$C,Detail!$A330,'Leave Management'!$B:$B,Detail!I$1)</f>
        <v>0</v>
      </c>
      <c r="J330" s="7">
        <f>SUMIFS('Leave Management'!$L:$L,'Leave Management'!$C:$C,Detail!$A330,'Leave Management'!$B:$B,Detail!J$1)</f>
        <v>0</v>
      </c>
      <c r="K330" s="7">
        <f>SUMIFS('Leave Management'!$L:$L,'Leave Management'!$C:$C,Detail!$A330,'Leave Management'!$B:$B,Detail!K$1)</f>
        <v>0</v>
      </c>
      <c r="L330" s="7">
        <f>SUMIFS('Leave Management'!$L:$L,'Leave Management'!$C:$C,Detail!$A330,'Leave Management'!$B:$B,Detail!L$1)</f>
        <v>0</v>
      </c>
      <c r="M330" s="7">
        <f>SUMIFS('Leave Management'!$L:$L,'Leave Management'!$C:$C,Detail!$A330,'Leave Management'!$B:$B,Detail!M$1)</f>
        <v>0</v>
      </c>
      <c r="N330" s="7">
        <f>SUMIFS('Leave Management'!$L:$L,'Leave Management'!$C:$C,Detail!$A330,'Leave Management'!$B:$B,Detail!N$1)</f>
        <v>0</v>
      </c>
      <c r="O330" s="7">
        <f t="shared" si="12"/>
        <v>12</v>
      </c>
    </row>
    <row r="331" spans="1:15" x14ac:dyDescent="0.25">
      <c r="A331" s="24">
        <v>43429</v>
      </c>
      <c r="B331" s="2" t="str">
        <f t="shared" si="11"/>
        <v>Sun</v>
      </c>
      <c r="C331" s="7">
        <f>SUMIFS('Leave Management'!$L:$L,'Leave Management'!$C:$C,Detail!$A331,'Leave Management'!$B:$B,Detail!C$1)</f>
        <v>0</v>
      </c>
      <c r="D331" s="7">
        <f>SUMIFS('Leave Management'!$L:$L,'Leave Management'!$C:$C,Detail!$A331,'Leave Management'!$B:$B,Detail!D$1)</f>
        <v>0</v>
      </c>
      <c r="E331" s="7">
        <f>SUMIFS('Leave Management'!$L:$L,'Leave Management'!$C:$C,Detail!$A331,'Leave Management'!$B:$B,Detail!E$1)</f>
        <v>0</v>
      </c>
      <c r="F331" s="7">
        <f>SUMIFS('Leave Management'!$L:$L,'Leave Management'!$C:$C,Detail!$A331,'Leave Management'!$B:$B,Detail!F$1)</f>
        <v>0</v>
      </c>
      <c r="G331" s="7">
        <f>SUMIFS('Leave Management'!$L:$L,'Leave Management'!$C:$C,Detail!$A331,'Leave Management'!$B:$B,Detail!G$1)</f>
        <v>0</v>
      </c>
      <c r="H331" s="7">
        <f>SUMIFS('Leave Management'!$L:$L,'Leave Management'!$C:$C,Detail!$A331,'Leave Management'!$B:$B,Detail!H$1)</f>
        <v>0</v>
      </c>
      <c r="I331" s="7">
        <f>SUMIFS('Leave Management'!$L:$L,'Leave Management'!$C:$C,Detail!$A331,'Leave Management'!$B:$B,Detail!I$1)</f>
        <v>0</v>
      </c>
      <c r="J331" s="7">
        <f>SUMIFS('Leave Management'!$L:$L,'Leave Management'!$C:$C,Detail!$A331,'Leave Management'!$B:$B,Detail!J$1)</f>
        <v>0</v>
      </c>
      <c r="K331" s="7">
        <f>SUMIFS('Leave Management'!$L:$L,'Leave Management'!$C:$C,Detail!$A331,'Leave Management'!$B:$B,Detail!K$1)</f>
        <v>0</v>
      </c>
      <c r="L331" s="7">
        <f>SUMIFS('Leave Management'!$L:$L,'Leave Management'!$C:$C,Detail!$A331,'Leave Management'!$B:$B,Detail!L$1)</f>
        <v>0</v>
      </c>
      <c r="M331" s="7">
        <f>SUMIFS('Leave Management'!$L:$L,'Leave Management'!$C:$C,Detail!$A331,'Leave Management'!$B:$B,Detail!M$1)</f>
        <v>0</v>
      </c>
      <c r="N331" s="7">
        <f>SUMIFS('Leave Management'!$L:$L,'Leave Management'!$C:$C,Detail!$A331,'Leave Management'!$B:$B,Detail!N$1)</f>
        <v>0</v>
      </c>
      <c r="O331" s="7">
        <f t="shared" si="12"/>
        <v>12</v>
      </c>
    </row>
    <row r="332" spans="1:15" x14ac:dyDescent="0.25">
      <c r="A332" s="24">
        <v>43430</v>
      </c>
      <c r="B332" s="2" t="str">
        <f t="shared" si="11"/>
        <v>Mon</v>
      </c>
      <c r="C332" s="7">
        <f>SUMIFS('Leave Management'!$L:$L,'Leave Management'!$C:$C,Detail!$A332,'Leave Management'!$B:$B,Detail!C$1)</f>
        <v>0</v>
      </c>
      <c r="D332" s="7">
        <f>SUMIFS('Leave Management'!$L:$L,'Leave Management'!$C:$C,Detail!$A332,'Leave Management'!$B:$B,Detail!D$1)</f>
        <v>0</v>
      </c>
      <c r="E332" s="7">
        <f>SUMIFS('Leave Management'!$L:$L,'Leave Management'!$C:$C,Detail!$A332,'Leave Management'!$B:$B,Detail!E$1)</f>
        <v>1</v>
      </c>
      <c r="F332" s="7">
        <f>SUMIFS('Leave Management'!$L:$L,'Leave Management'!$C:$C,Detail!$A332,'Leave Management'!$B:$B,Detail!F$1)</f>
        <v>0</v>
      </c>
      <c r="G332" s="7">
        <f>SUMIFS('Leave Management'!$L:$L,'Leave Management'!$C:$C,Detail!$A332,'Leave Management'!$B:$B,Detail!G$1)</f>
        <v>0</v>
      </c>
      <c r="H332" s="7">
        <f>SUMIFS('Leave Management'!$L:$L,'Leave Management'!$C:$C,Detail!$A332,'Leave Management'!$B:$B,Detail!H$1)</f>
        <v>0</v>
      </c>
      <c r="I332" s="7">
        <f>SUMIFS('Leave Management'!$L:$L,'Leave Management'!$C:$C,Detail!$A332,'Leave Management'!$B:$B,Detail!I$1)</f>
        <v>0</v>
      </c>
      <c r="J332" s="7">
        <f>SUMIFS('Leave Management'!$L:$L,'Leave Management'!$C:$C,Detail!$A332,'Leave Management'!$B:$B,Detail!J$1)</f>
        <v>0</v>
      </c>
      <c r="K332" s="7">
        <f>SUMIFS('Leave Management'!$L:$L,'Leave Management'!$C:$C,Detail!$A332,'Leave Management'!$B:$B,Detail!K$1)</f>
        <v>0</v>
      </c>
      <c r="L332" s="7">
        <f>SUMIFS('Leave Management'!$L:$L,'Leave Management'!$C:$C,Detail!$A332,'Leave Management'!$B:$B,Detail!L$1)</f>
        <v>0</v>
      </c>
      <c r="M332" s="7">
        <f>SUMIFS('Leave Management'!$L:$L,'Leave Management'!$C:$C,Detail!$A332,'Leave Management'!$B:$B,Detail!M$1)</f>
        <v>0</v>
      </c>
      <c r="N332" s="7">
        <f>SUMIFS('Leave Management'!$L:$L,'Leave Management'!$C:$C,Detail!$A332,'Leave Management'!$B:$B,Detail!N$1)</f>
        <v>0</v>
      </c>
      <c r="O332" s="7">
        <f t="shared" si="12"/>
        <v>11</v>
      </c>
    </row>
    <row r="333" spans="1:15" x14ac:dyDescent="0.25">
      <c r="A333" s="24">
        <v>43431</v>
      </c>
      <c r="B333" s="2" t="str">
        <f t="shared" si="11"/>
        <v>Tue</v>
      </c>
      <c r="C333" s="7">
        <f>SUMIFS('Leave Management'!$L:$L,'Leave Management'!$C:$C,Detail!$A333,'Leave Management'!$B:$B,Detail!C$1)</f>
        <v>0</v>
      </c>
      <c r="D333" s="7">
        <f>SUMIFS('Leave Management'!$L:$L,'Leave Management'!$C:$C,Detail!$A333,'Leave Management'!$B:$B,Detail!D$1)</f>
        <v>0</v>
      </c>
      <c r="E333" s="7">
        <f>SUMIFS('Leave Management'!$L:$L,'Leave Management'!$C:$C,Detail!$A333,'Leave Management'!$B:$B,Detail!E$1)</f>
        <v>0</v>
      </c>
      <c r="F333" s="7">
        <f>SUMIFS('Leave Management'!$L:$L,'Leave Management'!$C:$C,Detail!$A333,'Leave Management'!$B:$B,Detail!F$1)</f>
        <v>0</v>
      </c>
      <c r="G333" s="7">
        <f>SUMIFS('Leave Management'!$L:$L,'Leave Management'!$C:$C,Detail!$A333,'Leave Management'!$B:$B,Detail!G$1)</f>
        <v>0</v>
      </c>
      <c r="H333" s="7">
        <f>SUMIFS('Leave Management'!$L:$L,'Leave Management'!$C:$C,Detail!$A333,'Leave Management'!$B:$B,Detail!H$1)</f>
        <v>0</v>
      </c>
      <c r="I333" s="7">
        <f>SUMIFS('Leave Management'!$L:$L,'Leave Management'!$C:$C,Detail!$A333,'Leave Management'!$B:$B,Detail!I$1)</f>
        <v>0</v>
      </c>
      <c r="J333" s="7">
        <f>SUMIFS('Leave Management'!$L:$L,'Leave Management'!$C:$C,Detail!$A333,'Leave Management'!$B:$B,Detail!J$1)</f>
        <v>0</v>
      </c>
      <c r="K333" s="7">
        <f>SUMIFS('Leave Management'!$L:$L,'Leave Management'!$C:$C,Detail!$A333,'Leave Management'!$B:$B,Detail!K$1)</f>
        <v>0</v>
      </c>
      <c r="L333" s="7">
        <f>SUMIFS('Leave Management'!$L:$L,'Leave Management'!$C:$C,Detail!$A333,'Leave Management'!$B:$B,Detail!L$1)</f>
        <v>0</v>
      </c>
      <c r="M333" s="7">
        <f>SUMIFS('Leave Management'!$L:$L,'Leave Management'!$C:$C,Detail!$A333,'Leave Management'!$B:$B,Detail!M$1)</f>
        <v>0</v>
      </c>
      <c r="N333" s="7">
        <f>SUMIFS('Leave Management'!$L:$L,'Leave Management'!$C:$C,Detail!$A333,'Leave Management'!$B:$B,Detail!N$1)</f>
        <v>0</v>
      </c>
      <c r="O333" s="7">
        <f t="shared" si="12"/>
        <v>12</v>
      </c>
    </row>
    <row r="334" spans="1:15" x14ac:dyDescent="0.25">
      <c r="A334" s="24">
        <v>43432</v>
      </c>
      <c r="B334" s="2" t="str">
        <f t="shared" si="11"/>
        <v>Wed</v>
      </c>
      <c r="C334" s="7">
        <f>SUMIFS('Leave Management'!$L:$L,'Leave Management'!$C:$C,Detail!$A334,'Leave Management'!$B:$B,Detail!C$1)</f>
        <v>0</v>
      </c>
      <c r="D334" s="7">
        <f>SUMIFS('Leave Management'!$L:$L,'Leave Management'!$C:$C,Detail!$A334,'Leave Management'!$B:$B,Detail!D$1)</f>
        <v>0</v>
      </c>
      <c r="E334" s="7">
        <f>SUMIFS('Leave Management'!$L:$L,'Leave Management'!$C:$C,Detail!$A334,'Leave Management'!$B:$B,Detail!E$1)</f>
        <v>0</v>
      </c>
      <c r="F334" s="7">
        <f>SUMIFS('Leave Management'!$L:$L,'Leave Management'!$C:$C,Detail!$A334,'Leave Management'!$B:$B,Detail!F$1)</f>
        <v>0</v>
      </c>
      <c r="G334" s="7">
        <f>SUMIFS('Leave Management'!$L:$L,'Leave Management'!$C:$C,Detail!$A334,'Leave Management'!$B:$B,Detail!G$1)</f>
        <v>0</v>
      </c>
      <c r="H334" s="7">
        <f>SUMIFS('Leave Management'!$L:$L,'Leave Management'!$C:$C,Detail!$A334,'Leave Management'!$B:$B,Detail!H$1)</f>
        <v>0</v>
      </c>
      <c r="I334" s="7">
        <f>SUMIFS('Leave Management'!$L:$L,'Leave Management'!$C:$C,Detail!$A334,'Leave Management'!$B:$B,Detail!I$1)</f>
        <v>0</v>
      </c>
      <c r="J334" s="7">
        <f>SUMIFS('Leave Management'!$L:$L,'Leave Management'!$C:$C,Detail!$A334,'Leave Management'!$B:$B,Detail!J$1)</f>
        <v>0</v>
      </c>
      <c r="K334" s="7">
        <f>SUMIFS('Leave Management'!$L:$L,'Leave Management'!$C:$C,Detail!$A334,'Leave Management'!$B:$B,Detail!K$1)</f>
        <v>0</v>
      </c>
      <c r="L334" s="7">
        <f>SUMIFS('Leave Management'!$L:$L,'Leave Management'!$C:$C,Detail!$A334,'Leave Management'!$B:$B,Detail!L$1)</f>
        <v>0</v>
      </c>
      <c r="M334" s="7">
        <f>SUMIFS('Leave Management'!$L:$L,'Leave Management'!$C:$C,Detail!$A334,'Leave Management'!$B:$B,Detail!M$1)</f>
        <v>0</v>
      </c>
      <c r="N334" s="7">
        <f>SUMIFS('Leave Management'!$L:$L,'Leave Management'!$C:$C,Detail!$A334,'Leave Management'!$B:$B,Detail!N$1)</f>
        <v>0</v>
      </c>
      <c r="O334" s="7">
        <f t="shared" si="12"/>
        <v>12</v>
      </c>
    </row>
    <row r="335" spans="1:15" x14ac:dyDescent="0.25">
      <c r="A335" s="24">
        <v>43433</v>
      </c>
      <c r="B335" s="2" t="str">
        <f t="shared" si="11"/>
        <v>Thu</v>
      </c>
      <c r="C335" s="7">
        <f>SUMIFS('Leave Management'!$L:$L,'Leave Management'!$C:$C,Detail!$A335,'Leave Management'!$B:$B,Detail!C$1)</f>
        <v>0</v>
      </c>
      <c r="D335" s="7">
        <f>SUMIFS('Leave Management'!$L:$L,'Leave Management'!$C:$C,Detail!$A335,'Leave Management'!$B:$B,Detail!D$1)</f>
        <v>0</v>
      </c>
      <c r="E335" s="7">
        <f>SUMIFS('Leave Management'!$L:$L,'Leave Management'!$C:$C,Detail!$A335,'Leave Management'!$B:$B,Detail!E$1)</f>
        <v>0</v>
      </c>
      <c r="F335" s="7">
        <f>SUMIFS('Leave Management'!$L:$L,'Leave Management'!$C:$C,Detail!$A335,'Leave Management'!$B:$B,Detail!F$1)</f>
        <v>0</v>
      </c>
      <c r="G335" s="7">
        <f>SUMIFS('Leave Management'!$L:$L,'Leave Management'!$C:$C,Detail!$A335,'Leave Management'!$B:$B,Detail!G$1)</f>
        <v>0</v>
      </c>
      <c r="H335" s="7">
        <f>SUMIFS('Leave Management'!$L:$L,'Leave Management'!$C:$C,Detail!$A335,'Leave Management'!$B:$B,Detail!H$1)</f>
        <v>0</v>
      </c>
      <c r="I335" s="7">
        <f>SUMIFS('Leave Management'!$L:$L,'Leave Management'!$C:$C,Detail!$A335,'Leave Management'!$B:$B,Detail!I$1)</f>
        <v>0</v>
      </c>
      <c r="J335" s="7">
        <f>SUMIFS('Leave Management'!$L:$L,'Leave Management'!$C:$C,Detail!$A335,'Leave Management'!$B:$B,Detail!J$1)</f>
        <v>0</v>
      </c>
      <c r="K335" s="7">
        <f>SUMIFS('Leave Management'!$L:$L,'Leave Management'!$C:$C,Detail!$A335,'Leave Management'!$B:$B,Detail!K$1)</f>
        <v>0</v>
      </c>
      <c r="L335" s="7">
        <f>SUMIFS('Leave Management'!$L:$L,'Leave Management'!$C:$C,Detail!$A335,'Leave Management'!$B:$B,Detail!L$1)</f>
        <v>0</v>
      </c>
      <c r="M335" s="7">
        <f>SUMIFS('Leave Management'!$L:$L,'Leave Management'!$C:$C,Detail!$A335,'Leave Management'!$B:$B,Detail!M$1)</f>
        <v>0</v>
      </c>
      <c r="N335" s="7">
        <f>SUMIFS('Leave Management'!$L:$L,'Leave Management'!$C:$C,Detail!$A335,'Leave Management'!$B:$B,Detail!N$1)</f>
        <v>0</v>
      </c>
      <c r="O335" s="7">
        <f t="shared" si="12"/>
        <v>12</v>
      </c>
    </row>
    <row r="336" spans="1:15" x14ac:dyDescent="0.25">
      <c r="A336" s="24">
        <v>43434</v>
      </c>
      <c r="B336" s="2" t="str">
        <f t="shared" si="11"/>
        <v>Fri</v>
      </c>
      <c r="C336" s="7">
        <f>SUMIFS('Leave Management'!$L:$L,'Leave Management'!$C:$C,Detail!$A336,'Leave Management'!$B:$B,Detail!C$1)</f>
        <v>0</v>
      </c>
      <c r="D336" s="7">
        <f>SUMIFS('Leave Management'!$L:$L,'Leave Management'!$C:$C,Detail!$A336,'Leave Management'!$B:$B,Detail!D$1)</f>
        <v>0</v>
      </c>
      <c r="E336" s="7">
        <f>SUMIFS('Leave Management'!$L:$L,'Leave Management'!$C:$C,Detail!$A336,'Leave Management'!$B:$B,Detail!E$1)</f>
        <v>0</v>
      </c>
      <c r="F336" s="7">
        <f>SUMIFS('Leave Management'!$L:$L,'Leave Management'!$C:$C,Detail!$A336,'Leave Management'!$B:$B,Detail!F$1)</f>
        <v>0</v>
      </c>
      <c r="G336" s="7">
        <f>SUMIFS('Leave Management'!$L:$L,'Leave Management'!$C:$C,Detail!$A336,'Leave Management'!$B:$B,Detail!G$1)</f>
        <v>0</v>
      </c>
      <c r="H336" s="7">
        <f>SUMIFS('Leave Management'!$L:$L,'Leave Management'!$C:$C,Detail!$A336,'Leave Management'!$B:$B,Detail!H$1)</f>
        <v>0</v>
      </c>
      <c r="I336" s="7">
        <f>SUMIFS('Leave Management'!$L:$L,'Leave Management'!$C:$C,Detail!$A336,'Leave Management'!$B:$B,Detail!I$1)</f>
        <v>0</v>
      </c>
      <c r="J336" s="7">
        <f>SUMIFS('Leave Management'!$L:$L,'Leave Management'!$C:$C,Detail!$A336,'Leave Management'!$B:$B,Detail!J$1)</f>
        <v>0</v>
      </c>
      <c r="K336" s="7">
        <f>SUMIFS('Leave Management'!$L:$L,'Leave Management'!$C:$C,Detail!$A336,'Leave Management'!$B:$B,Detail!K$1)</f>
        <v>0</v>
      </c>
      <c r="L336" s="7">
        <f>SUMIFS('Leave Management'!$L:$L,'Leave Management'!$C:$C,Detail!$A336,'Leave Management'!$B:$B,Detail!L$1)</f>
        <v>0</v>
      </c>
      <c r="M336" s="7">
        <f>SUMIFS('Leave Management'!$L:$L,'Leave Management'!$C:$C,Detail!$A336,'Leave Management'!$B:$B,Detail!M$1)</f>
        <v>0</v>
      </c>
      <c r="N336" s="7">
        <f>SUMIFS('Leave Management'!$L:$L,'Leave Management'!$C:$C,Detail!$A336,'Leave Management'!$B:$B,Detail!N$1)</f>
        <v>0</v>
      </c>
      <c r="O336" s="7">
        <f t="shared" si="12"/>
        <v>12</v>
      </c>
    </row>
    <row r="337" spans="1:15" x14ac:dyDescent="0.25">
      <c r="A337" s="24">
        <v>43435</v>
      </c>
      <c r="B337" s="2" t="str">
        <f t="shared" si="11"/>
        <v>Sat</v>
      </c>
      <c r="C337" s="7">
        <f>SUMIFS('Leave Management'!$L:$L,'Leave Management'!$C:$C,Detail!$A337,'Leave Management'!$B:$B,Detail!C$1)</f>
        <v>0</v>
      </c>
      <c r="D337" s="7">
        <f>SUMIFS('Leave Management'!$L:$L,'Leave Management'!$C:$C,Detail!$A337,'Leave Management'!$B:$B,Detail!D$1)</f>
        <v>0</v>
      </c>
      <c r="E337" s="7">
        <f>SUMIFS('Leave Management'!$L:$L,'Leave Management'!$C:$C,Detail!$A337,'Leave Management'!$B:$B,Detail!E$1)</f>
        <v>0</v>
      </c>
      <c r="F337" s="7">
        <f>SUMIFS('Leave Management'!$L:$L,'Leave Management'!$C:$C,Detail!$A337,'Leave Management'!$B:$B,Detail!F$1)</f>
        <v>0</v>
      </c>
      <c r="G337" s="7">
        <f>SUMIFS('Leave Management'!$L:$L,'Leave Management'!$C:$C,Detail!$A337,'Leave Management'!$B:$B,Detail!G$1)</f>
        <v>0</v>
      </c>
      <c r="H337" s="7">
        <f>SUMIFS('Leave Management'!$L:$L,'Leave Management'!$C:$C,Detail!$A337,'Leave Management'!$B:$B,Detail!H$1)</f>
        <v>0</v>
      </c>
      <c r="I337" s="7">
        <f>SUMIFS('Leave Management'!$L:$L,'Leave Management'!$C:$C,Detail!$A337,'Leave Management'!$B:$B,Detail!I$1)</f>
        <v>0</v>
      </c>
      <c r="J337" s="7">
        <f>SUMIFS('Leave Management'!$L:$L,'Leave Management'!$C:$C,Detail!$A337,'Leave Management'!$B:$B,Detail!J$1)</f>
        <v>0</v>
      </c>
      <c r="K337" s="7">
        <f>SUMIFS('Leave Management'!$L:$L,'Leave Management'!$C:$C,Detail!$A337,'Leave Management'!$B:$B,Detail!K$1)</f>
        <v>0</v>
      </c>
      <c r="L337" s="7">
        <f>SUMIFS('Leave Management'!$L:$L,'Leave Management'!$C:$C,Detail!$A337,'Leave Management'!$B:$B,Detail!L$1)</f>
        <v>0</v>
      </c>
      <c r="M337" s="7">
        <f>SUMIFS('Leave Management'!$L:$L,'Leave Management'!$C:$C,Detail!$A337,'Leave Management'!$B:$B,Detail!M$1)</f>
        <v>0</v>
      </c>
      <c r="N337" s="7">
        <f>SUMIFS('Leave Management'!$L:$L,'Leave Management'!$C:$C,Detail!$A337,'Leave Management'!$B:$B,Detail!N$1)</f>
        <v>0</v>
      </c>
      <c r="O337" s="7">
        <f t="shared" si="12"/>
        <v>12</v>
      </c>
    </row>
    <row r="338" spans="1:15" x14ac:dyDescent="0.25">
      <c r="A338" s="24">
        <v>43436</v>
      </c>
      <c r="B338" s="2" t="str">
        <f t="shared" si="11"/>
        <v>Sun</v>
      </c>
      <c r="C338" s="7">
        <f>SUMIFS('Leave Management'!$L:$L,'Leave Management'!$C:$C,Detail!$A338,'Leave Management'!$B:$B,Detail!C$1)</f>
        <v>0</v>
      </c>
      <c r="D338" s="7">
        <f>SUMIFS('Leave Management'!$L:$L,'Leave Management'!$C:$C,Detail!$A338,'Leave Management'!$B:$B,Detail!D$1)</f>
        <v>0</v>
      </c>
      <c r="E338" s="7">
        <f>SUMIFS('Leave Management'!$L:$L,'Leave Management'!$C:$C,Detail!$A338,'Leave Management'!$B:$B,Detail!E$1)</f>
        <v>0</v>
      </c>
      <c r="F338" s="7">
        <f>SUMIFS('Leave Management'!$L:$L,'Leave Management'!$C:$C,Detail!$A338,'Leave Management'!$B:$B,Detail!F$1)</f>
        <v>0</v>
      </c>
      <c r="G338" s="7">
        <f>SUMIFS('Leave Management'!$L:$L,'Leave Management'!$C:$C,Detail!$A338,'Leave Management'!$B:$B,Detail!G$1)</f>
        <v>0</v>
      </c>
      <c r="H338" s="7">
        <f>SUMIFS('Leave Management'!$L:$L,'Leave Management'!$C:$C,Detail!$A338,'Leave Management'!$B:$B,Detail!H$1)</f>
        <v>0</v>
      </c>
      <c r="I338" s="7">
        <f>SUMIFS('Leave Management'!$L:$L,'Leave Management'!$C:$C,Detail!$A338,'Leave Management'!$B:$B,Detail!I$1)</f>
        <v>0</v>
      </c>
      <c r="J338" s="7">
        <f>SUMIFS('Leave Management'!$L:$L,'Leave Management'!$C:$C,Detail!$A338,'Leave Management'!$B:$B,Detail!J$1)</f>
        <v>0</v>
      </c>
      <c r="K338" s="7">
        <f>SUMIFS('Leave Management'!$L:$L,'Leave Management'!$C:$C,Detail!$A338,'Leave Management'!$B:$B,Detail!K$1)</f>
        <v>0</v>
      </c>
      <c r="L338" s="7">
        <f>SUMIFS('Leave Management'!$L:$L,'Leave Management'!$C:$C,Detail!$A338,'Leave Management'!$B:$B,Detail!L$1)</f>
        <v>0</v>
      </c>
      <c r="M338" s="7">
        <f>SUMIFS('Leave Management'!$L:$L,'Leave Management'!$C:$C,Detail!$A338,'Leave Management'!$B:$B,Detail!M$1)</f>
        <v>0</v>
      </c>
      <c r="N338" s="7">
        <f>SUMIFS('Leave Management'!$L:$L,'Leave Management'!$C:$C,Detail!$A338,'Leave Management'!$B:$B,Detail!N$1)</f>
        <v>0</v>
      </c>
      <c r="O338" s="7">
        <f t="shared" si="12"/>
        <v>12</v>
      </c>
    </row>
    <row r="339" spans="1:15" x14ac:dyDescent="0.25">
      <c r="A339" s="24">
        <v>43437</v>
      </c>
      <c r="B339" s="2" t="str">
        <f t="shared" si="11"/>
        <v>Mon</v>
      </c>
      <c r="C339" s="7">
        <f>SUMIFS('Leave Management'!$L:$L,'Leave Management'!$C:$C,Detail!$A339,'Leave Management'!$B:$B,Detail!C$1)</f>
        <v>0</v>
      </c>
      <c r="D339" s="7">
        <f>SUMIFS('Leave Management'!$L:$L,'Leave Management'!$C:$C,Detail!$A339,'Leave Management'!$B:$B,Detail!D$1)</f>
        <v>0</v>
      </c>
      <c r="E339" s="7">
        <f>SUMIFS('Leave Management'!$L:$L,'Leave Management'!$C:$C,Detail!$A339,'Leave Management'!$B:$B,Detail!E$1)</f>
        <v>0</v>
      </c>
      <c r="F339" s="7">
        <f>SUMIFS('Leave Management'!$L:$L,'Leave Management'!$C:$C,Detail!$A339,'Leave Management'!$B:$B,Detail!F$1)</f>
        <v>0</v>
      </c>
      <c r="G339" s="7">
        <f>SUMIFS('Leave Management'!$L:$L,'Leave Management'!$C:$C,Detail!$A339,'Leave Management'!$B:$B,Detail!G$1)</f>
        <v>1</v>
      </c>
      <c r="H339" s="7">
        <f>SUMIFS('Leave Management'!$L:$L,'Leave Management'!$C:$C,Detail!$A339,'Leave Management'!$B:$B,Detail!H$1)</f>
        <v>0</v>
      </c>
      <c r="I339" s="7">
        <f>SUMIFS('Leave Management'!$L:$L,'Leave Management'!$C:$C,Detail!$A339,'Leave Management'!$B:$B,Detail!I$1)</f>
        <v>0</v>
      </c>
      <c r="J339" s="7">
        <f>SUMIFS('Leave Management'!$L:$L,'Leave Management'!$C:$C,Detail!$A339,'Leave Management'!$B:$B,Detail!J$1)</f>
        <v>0</v>
      </c>
      <c r="K339" s="7">
        <f>SUMIFS('Leave Management'!$L:$L,'Leave Management'!$C:$C,Detail!$A339,'Leave Management'!$B:$B,Detail!K$1)</f>
        <v>0</v>
      </c>
      <c r="L339" s="7">
        <f>SUMIFS('Leave Management'!$L:$L,'Leave Management'!$C:$C,Detail!$A339,'Leave Management'!$B:$B,Detail!L$1)</f>
        <v>0</v>
      </c>
      <c r="M339" s="7">
        <f>SUMIFS('Leave Management'!$L:$L,'Leave Management'!$C:$C,Detail!$A339,'Leave Management'!$B:$B,Detail!M$1)</f>
        <v>0</v>
      </c>
      <c r="N339" s="7">
        <f>SUMIFS('Leave Management'!$L:$L,'Leave Management'!$C:$C,Detail!$A339,'Leave Management'!$B:$B,Detail!N$1)</f>
        <v>0</v>
      </c>
      <c r="O339" s="7">
        <f t="shared" si="12"/>
        <v>11</v>
      </c>
    </row>
    <row r="340" spans="1:15" x14ac:dyDescent="0.25">
      <c r="A340" s="24">
        <v>43438</v>
      </c>
      <c r="B340" s="2" t="str">
        <f t="shared" si="11"/>
        <v>Tue</v>
      </c>
      <c r="C340" s="7">
        <f>SUMIFS('Leave Management'!$L:$L,'Leave Management'!$C:$C,Detail!$A340,'Leave Management'!$B:$B,Detail!C$1)</f>
        <v>0</v>
      </c>
      <c r="D340" s="7">
        <f>SUMIFS('Leave Management'!$L:$L,'Leave Management'!$C:$C,Detail!$A340,'Leave Management'!$B:$B,Detail!D$1)</f>
        <v>0</v>
      </c>
      <c r="E340" s="7">
        <f>SUMIFS('Leave Management'!$L:$L,'Leave Management'!$C:$C,Detail!$A340,'Leave Management'!$B:$B,Detail!E$1)</f>
        <v>0</v>
      </c>
      <c r="F340" s="7">
        <f>SUMIFS('Leave Management'!$L:$L,'Leave Management'!$C:$C,Detail!$A340,'Leave Management'!$B:$B,Detail!F$1)</f>
        <v>0</v>
      </c>
      <c r="G340" s="7">
        <f>SUMIFS('Leave Management'!$L:$L,'Leave Management'!$C:$C,Detail!$A340,'Leave Management'!$B:$B,Detail!G$1)</f>
        <v>0</v>
      </c>
      <c r="H340" s="7">
        <f>SUMIFS('Leave Management'!$L:$L,'Leave Management'!$C:$C,Detail!$A340,'Leave Management'!$B:$B,Detail!H$1)</f>
        <v>0</v>
      </c>
      <c r="I340" s="7">
        <f>SUMIFS('Leave Management'!$L:$L,'Leave Management'!$C:$C,Detail!$A340,'Leave Management'!$B:$B,Detail!I$1)</f>
        <v>0</v>
      </c>
      <c r="J340" s="7">
        <f>SUMIFS('Leave Management'!$L:$L,'Leave Management'!$C:$C,Detail!$A340,'Leave Management'!$B:$B,Detail!J$1)</f>
        <v>0</v>
      </c>
      <c r="K340" s="7">
        <f>SUMIFS('Leave Management'!$L:$L,'Leave Management'!$C:$C,Detail!$A340,'Leave Management'!$B:$B,Detail!K$1)</f>
        <v>0</v>
      </c>
      <c r="L340" s="7">
        <f>SUMIFS('Leave Management'!$L:$L,'Leave Management'!$C:$C,Detail!$A340,'Leave Management'!$B:$B,Detail!L$1)</f>
        <v>0</v>
      </c>
      <c r="M340" s="7">
        <f>SUMIFS('Leave Management'!$L:$L,'Leave Management'!$C:$C,Detail!$A340,'Leave Management'!$B:$B,Detail!M$1)</f>
        <v>0</v>
      </c>
      <c r="N340" s="7">
        <f>SUMIFS('Leave Management'!$L:$L,'Leave Management'!$C:$C,Detail!$A340,'Leave Management'!$B:$B,Detail!N$1)</f>
        <v>0</v>
      </c>
      <c r="O340" s="7">
        <f t="shared" si="12"/>
        <v>12</v>
      </c>
    </row>
    <row r="341" spans="1:15" x14ac:dyDescent="0.25">
      <c r="A341" s="24">
        <v>43439</v>
      </c>
      <c r="B341" s="2" t="str">
        <f t="shared" si="11"/>
        <v>Wed</v>
      </c>
      <c r="C341" s="7">
        <f>SUMIFS('Leave Management'!$L:$L,'Leave Management'!$C:$C,Detail!$A341,'Leave Management'!$B:$B,Detail!C$1)</f>
        <v>0</v>
      </c>
      <c r="D341" s="7">
        <f>SUMIFS('Leave Management'!$L:$L,'Leave Management'!$C:$C,Detail!$A341,'Leave Management'!$B:$B,Detail!D$1)</f>
        <v>0</v>
      </c>
      <c r="E341" s="7">
        <f>SUMIFS('Leave Management'!$L:$L,'Leave Management'!$C:$C,Detail!$A341,'Leave Management'!$B:$B,Detail!E$1)</f>
        <v>0</v>
      </c>
      <c r="F341" s="7">
        <f>SUMIFS('Leave Management'!$L:$L,'Leave Management'!$C:$C,Detail!$A341,'Leave Management'!$B:$B,Detail!F$1)</f>
        <v>0</v>
      </c>
      <c r="G341" s="7">
        <f>SUMIFS('Leave Management'!$L:$L,'Leave Management'!$C:$C,Detail!$A341,'Leave Management'!$B:$B,Detail!G$1)</f>
        <v>0</v>
      </c>
      <c r="H341" s="7">
        <f>SUMIFS('Leave Management'!$L:$L,'Leave Management'!$C:$C,Detail!$A341,'Leave Management'!$B:$B,Detail!H$1)</f>
        <v>0</v>
      </c>
      <c r="I341" s="7">
        <f>SUMIFS('Leave Management'!$L:$L,'Leave Management'!$C:$C,Detail!$A341,'Leave Management'!$B:$B,Detail!I$1)</f>
        <v>0</v>
      </c>
      <c r="J341" s="7">
        <f>SUMIFS('Leave Management'!$L:$L,'Leave Management'!$C:$C,Detail!$A341,'Leave Management'!$B:$B,Detail!J$1)</f>
        <v>0</v>
      </c>
      <c r="K341" s="7">
        <f>SUMIFS('Leave Management'!$L:$L,'Leave Management'!$C:$C,Detail!$A341,'Leave Management'!$B:$B,Detail!K$1)</f>
        <v>0</v>
      </c>
      <c r="L341" s="7">
        <f>SUMIFS('Leave Management'!$L:$L,'Leave Management'!$C:$C,Detail!$A341,'Leave Management'!$B:$B,Detail!L$1)</f>
        <v>0</v>
      </c>
      <c r="M341" s="7">
        <f>SUMIFS('Leave Management'!$L:$L,'Leave Management'!$C:$C,Detail!$A341,'Leave Management'!$B:$B,Detail!M$1)</f>
        <v>0</v>
      </c>
      <c r="N341" s="7">
        <f>SUMIFS('Leave Management'!$L:$L,'Leave Management'!$C:$C,Detail!$A341,'Leave Management'!$B:$B,Detail!N$1)</f>
        <v>0</v>
      </c>
      <c r="O341" s="7">
        <f t="shared" si="12"/>
        <v>12</v>
      </c>
    </row>
    <row r="342" spans="1:15" x14ac:dyDescent="0.25">
      <c r="A342" s="24">
        <v>43440</v>
      </c>
      <c r="B342" s="2" t="str">
        <f t="shared" si="11"/>
        <v>Thu</v>
      </c>
      <c r="C342" s="7">
        <f>SUMIFS('Leave Management'!$L:$L,'Leave Management'!$C:$C,Detail!$A342,'Leave Management'!$B:$B,Detail!C$1)</f>
        <v>0</v>
      </c>
      <c r="D342" s="7">
        <f>SUMIFS('Leave Management'!$L:$L,'Leave Management'!$C:$C,Detail!$A342,'Leave Management'!$B:$B,Detail!D$1)</f>
        <v>0</v>
      </c>
      <c r="E342" s="7">
        <f>SUMIFS('Leave Management'!$L:$L,'Leave Management'!$C:$C,Detail!$A342,'Leave Management'!$B:$B,Detail!E$1)</f>
        <v>0</v>
      </c>
      <c r="F342" s="7">
        <f>SUMIFS('Leave Management'!$L:$L,'Leave Management'!$C:$C,Detail!$A342,'Leave Management'!$B:$B,Detail!F$1)</f>
        <v>0</v>
      </c>
      <c r="G342" s="7">
        <f>SUMIFS('Leave Management'!$L:$L,'Leave Management'!$C:$C,Detail!$A342,'Leave Management'!$B:$B,Detail!G$1)</f>
        <v>0</v>
      </c>
      <c r="H342" s="7">
        <f>SUMIFS('Leave Management'!$L:$L,'Leave Management'!$C:$C,Detail!$A342,'Leave Management'!$B:$B,Detail!H$1)</f>
        <v>0</v>
      </c>
      <c r="I342" s="7">
        <f>SUMIFS('Leave Management'!$L:$L,'Leave Management'!$C:$C,Detail!$A342,'Leave Management'!$B:$B,Detail!I$1)</f>
        <v>0</v>
      </c>
      <c r="J342" s="7">
        <f>SUMIFS('Leave Management'!$L:$L,'Leave Management'!$C:$C,Detail!$A342,'Leave Management'!$B:$B,Detail!J$1)</f>
        <v>0</v>
      </c>
      <c r="K342" s="7">
        <f>SUMIFS('Leave Management'!$L:$L,'Leave Management'!$C:$C,Detail!$A342,'Leave Management'!$B:$B,Detail!K$1)</f>
        <v>0</v>
      </c>
      <c r="L342" s="7">
        <f>SUMIFS('Leave Management'!$L:$L,'Leave Management'!$C:$C,Detail!$A342,'Leave Management'!$B:$B,Detail!L$1)</f>
        <v>0</v>
      </c>
      <c r="M342" s="7">
        <f>SUMIFS('Leave Management'!$L:$L,'Leave Management'!$C:$C,Detail!$A342,'Leave Management'!$B:$B,Detail!M$1)</f>
        <v>0</v>
      </c>
      <c r="N342" s="7">
        <f>SUMIFS('Leave Management'!$L:$L,'Leave Management'!$C:$C,Detail!$A342,'Leave Management'!$B:$B,Detail!N$1)</f>
        <v>0</v>
      </c>
      <c r="O342" s="7">
        <f t="shared" si="12"/>
        <v>12</v>
      </c>
    </row>
    <row r="343" spans="1:15" x14ac:dyDescent="0.25">
      <c r="A343" s="24">
        <v>43441</v>
      </c>
      <c r="B343" s="2" t="str">
        <f t="shared" si="11"/>
        <v>Fri</v>
      </c>
      <c r="C343" s="7">
        <f>SUMIFS('Leave Management'!$L:$L,'Leave Management'!$C:$C,Detail!$A343,'Leave Management'!$B:$B,Detail!C$1)</f>
        <v>0</v>
      </c>
      <c r="D343" s="7">
        <f>SUMIFS('Leave Management'!$L:$L,'Leave Management'!$C:$C,Detail!$A343,'Leave Management'!$B:$B,Detail!D$1)</f>
        <v>0</v>
      </c>
      <c r="E343" s="7">
        <f>SUMIFS('Leave Management'!$L:$L,'Leave Management'!$C:$C,Detail!$A343,'Leave Management'!$B:$B,Detail!E$1)</f>
        <v>0</v>
      </c>
      <c r="F343" s="7">
        <f>SUMIFS('Leave Management'!$L:$L,'Leave Management'!$C:$C,Detail!$A343,'Leave Management'!$B:$B,Detail!F$1)</f>
        <v>0</v>
      </c>
      <c r="G343" s="7">
        <f>SUMIFS('Leave Management'!$L:$L,'Leave Management'!$C:$C,Detail!$A343,'Leave Management'!$B:$B,Detail!G$1)</f>
        <v>0</v>
      </c>
      <c r="H343" s="7">
        <f>SUMIFS('Leave Management'!$L:$L,'Leave Management'!$C:$C,Detail!$A343,'Leave Management'!$B:$B,Detail!H$1)</f>
        <v>0</v>
      </c>
      <c r="I343" s="7">
        <f>SUMIFS('Leave Management'!$L:$L,'Leave Management'!$C:$C,Detail!$A343,'Leave Management'!$B:$B,Detail!I$1)</f>
        <v>0</v>
      </c>
      <c r="J343" s="7">
        <f>SUMIFS('Leave Management'!$L:$L,'Leave Management'!$C:$C,Detail!$A343,'Leave Management'!$B:$B,Detail!J$1)</f>
        <v>0</v>
      </c>
      <c r="K343" s="7">
        <f>SUMIFS('Leave Management'!$L:$L,'Leave Management'!$C:$C,Detail!$A343,'Leave Management'!$B:$B,Detail!K$1)</f>
        <v>0</v>
      </c>
      <c r="L343" s="7">
        <f>SUMIFS('Leave Management'!$L:$L,'Leave Management'!$C:$C,Detail!$A343,'Leave Management'!$B:$B,Detail!L$1)</f>
        <v>0</v>
      </c>
      <c r="M343" s="7">
        <f>SUMIFS('Leave Management'!$L:$L,'Leave Management'!$C:$C,Detail!$A343,'Leave Management'!$B:$B,Detail!M$1)</f>
        <v>0</v>
      </c>
      <c r="N343" s="7">
        <f>SUMIFS('Leave Management'!$L:$L,'Leave Management'!$C:$C,Detail!$A343,'Leave Management'!$B:$B,Detail!N$1)</f>
        <v>0</v>
      </c>
      <c r="O343" s="7">
        <f t="shared" si="12"/>
        <v>12</v>
      </c>
    </row>
    <row r="344" spans="1:15" x14ac:dyDescent="0.25">
      <c r="A344" s="24">
        <v>43442</v>
      </c>
      <c r="B344" s="2" t="str">
        <f t="shared" si="11"/>
        <v>Sat</v>
      </c>
      <c r="C344" s="7">
        <f>SUMIFS('Leave Management'!$L:$L,'Leave Management'!$C:$C,Detail!$A344,'Leave Management'!$B:$B,Detail!C$1)</f>
        <v>0</v>
      </c>
      <c r="D344" s="7">
        <f>SUMIFS('Leave Management'!$L:$L,'Leave Management'!$C:$C,Detail!$A344,'Leave Management'!$B:$B,Detail!D$1)</f>
        <v>0</v>
      </c>
      <c r="E344" s="7">
        <f>SUMIFS('Leave Management'!$L:$L,'Leave Management'!$C:$C,Detail!$A344,'Leave Management'!$B:$B,Detail!E$1)</f>
        <v>0</v>
      </c>
      <c r="F344" s="7">
        <f>SUMIFS('Leave Management'!$L:$L,'Leave Management'!$C:$C,Detail!$A344,'Leave Management'!$B:$B,Detail!F$1)</f>
        <v>0</v>
      </c>
      <c r="G344" s="7">
        <f>SUMIFS('Leave Management'!$L:$L,'Leave Management'!$C:$C,Detail!$A344,'Leave Management'!$B:$B,Detail!G$1)</f>
        <v>0</v>
      </c>
      <c r="H344" s="7">
        <f>SUMIFS('Leave Management'!$L:$L,'Leave Management'!$C:$C,Detail!$A344,'Leave Management'!$B:$B,Detail!H$1)</f>
        <v>0</v>
      </c>
      <c r="I344" s="7">
        <f>SUMIFS('Leave Management'!$L:$L,'Leave Management'!$C:$C,Detail!$A344,'Leave Management'!$B:$B,Detail!I$1)</f>
        <v>0</v>
      </c>
      <c r="J344" s="7">
        <f>SUMIFS('Leave Management'!$L:$L,'Leave Management'!$C:$C,Detail!$A344,'Leave Management'!$B:$B,Detail!J$1)</f>
        <v>0</v>
      </c>
      <c r="K344" s="7">
        <f>SUMIFS('Leave Management'!$L:$L,'Leave Management'!$C:$C,Detail!$A344,'Leave Management'!$B:$B,Detail!K$1)</f>
        <v>0</v>
      </c>
      <c r="L344" s="7">
        <f>SUMIFS('Leave Management'!$L:$L,'Leave Management'!$C:$C,Detail!$A344,'Leave Management'!$B:$B,Detail!L$1)</f>
        <v>0</v>
      </c>
      <c r="M344" s="7">
        <f>SUMIFS('Leave Management'!$L:$L,'Leave Management'!$C:$C,Detail!$A344,'Leave Management'!$B:$B,Detail!M$1)</f>
        <v>0</v>
      </c>
      <c r="N344" s="7">
        <f>SUMIFS('Leave Management'!$L:$L,'Leave Management'!$C:$C,Detail!$A344,'Leave Management'!$B:$B,Detail!N$1)</f>
        <v>0</v>
      </c>
      <c r="O344" s="7">
        <f t="shared" si="12"/>
        <v>12</v>
      </c>
    </row>
    <row r="345" spans="1:15" x14ac:dyDescent="0.25">
      <c r="A345" s="24">
        <v>43443</v>
      </c>
      <c r="B345" s="2" t="str">
        <f t="shared" si="11"/>
        <v>Sun</v>
      </c>
      <c r="C345" s="7">
        <f>SUMIFS('Leave Management'!$L:$L,'Leave Management'!$C:$C,Detail!$A345,'Leave Management'!$B:$B,Detail!C$1)</f>
        <v>0</v>
      </c>
      <c r="D345" s="7">
        <f>SUMIFS('Leave Management'!$L:$L,'Leave Management'!$C:$C,Detail!$A345,'Leave Management'!$B:$B,Detail!D$1)</f>
        <v>0</v>
      </c>
      <c r="E345" s="7">
        <f>SUMIFS('Leave Management'!$L:$L,'Leave Management'!$C:$C,Detail!$A345,'Leave Management'!$B:$B,Detail!E$1)</f>
        <v>0</v>
      </c>
      <c r="F345" s="7">
        <f>SUMIFS('Leave Management'!$L:$L,'Leave Management'!$C:$C,Detail!$A345,'Leave Management'!$B:$B,Detail!F$1)</f>
        <v>0</v>
      </c>
      <c r="G345" s="7">
        <f>SUMIFS('Leave Management'!$L:$L,'Leave Management'!$C:$C,Detail!$A345,'Leave Management'!$B:$B,Detail!G$1)</f>
        <v>0</v>
      </c>
      <c r="H345" s="7">
        <f>SUMIFS('Leave Management'!$L:$L,'Leave Management'!$C:$C,Detail!$A345,'Leave Management'!$B:$B,Detail!H$1)</f>
        <v>0</v>
      </c>
      <c r="I345" s="7">
        <f>SUMIFS('Leave Management'!$L:$L,'Leave Management'!$C:$C,Detail!$A345,'Leave Management'!$B:$B,Detail!I$1)</f>
        <v>0</v>
      </c>
      <c r="J345" s="7">
        <f>SUMIFS('Leave Management'!$L:$L,'Leave Management'!$C:$C,Detail!$A345,'Leave Management'!$B:$B,Detail!J$1)</f>
        <v>0</v>
      </c>
      <c r="K345" s="7">
        <f>SUMIFS('Leave Management'!$L:$L,'Leave Management'!$C:$C,Detail!$A345,'Leave Management'!$B:$B,Detail!K$1)</f>
        <v>0</v>
      </c>
      <c r="L345" s="7">
        <f>SUMIFS('Leave Management'!$L:$L,'Leave Management'!$C:$C,Detail!$A345,'Leave Management'!$B:$B,Detail!L$1)</f>
        <v>0</v>
      </c>
      <c r="M345" s="7">
        <f>SUMIFS('Leave Management'!$L:$L,'Leave Management'!$C:$C,Detail!$A345,'Leave Management'!$B:$B,Detail!M$1)</f>
        <v>0</v>
      </c>
      <c r="N345" s="7">
        <f>SUMIFS('Leave Management'!$L:$L,'Leave Management'!$C:$C,Detail!$A345,'Leave Management'!$B:$B,Detail!N$1)</f>
        <v>0</v>
      </c>
      <c r="O345" s="7">
        <f t="shared" si="12"/>
        <v>12</v>
      </c>
    </row>
    <row r="346" spans="1:15" x14ac:dyDescent="0.25">
      <c r="A346" s="24">
        <v>43444</v>
      </c>
      <c r="B346" s="2" t="str">
        <f t="shared" si="11"/>
        <v>Mon</v>
      </c>
      <c r="C346" s="7">
        <f>SUMIFS('Leave Management'!$L:$L,'Leave Management'!$C:$C,Detail!$A346,'Leave Management'!$B:$B,Detail!C$1)</f>
        <v>0</v>
      </c>
      <c r="D346" s="7">
        <f>SUMIFS('Leave Management'!$L:$L,'Leave Management'!$C:$C,Detail!$A346,'Leave Management'!$B:$B,Detail!D$1)</f>
        <v>1</v>
      </c>
      <c r="E346" s="7">
        <f>SUMIFS('Leave Management'!$L:$L,'Leave Management'!$C:$C,Detail!$A346,'Leave Management'!$B:$B,Detail!E$1)</f>
        <v>0</v>
      </c>
      <c r="F346" s="7">
        <f>SUMIFS('Leave Management'!$L:$L,'Leave Management'!$C:$C,Detail!$A346,'Leave Management'!$B:$B,Detail!F$1)</f>
        <v>0</v>
      </c>
      <c r="G346" s="7">
        <f>SUMIFS('Leave Management'!$L:$L,'Leave Management'!$C:$C,Detail!$A346,'Leave Management'!$B:$B,Detail!G$1)</f>
        <v>0</v>
      </c>
      <c r="H346" s="7">
        <f>SUMIFS('Leave Management'!$L:$L,'Leave Management'!$C:$C,Detail!$A346,'Leave Management'!$B:$B,Detail!H$1)</f>
        <v>0</v>
      </c>
      <c r="I346" s="7">
        <f>SUMIFS('Leave Management'!$L:$L,'Leave Management'!$C:$C,Detail!$A346,'Leave Management'!$B:$B,Detail!I$1)</f>
        <v>0</v>
      </c>
      <c r="J346" s="7">
        <f>SUMIFS('Leave Management'!$L:$L,'Leave Management'!$C:$C,Detail!$A346,'Leave Management'!$B:$B,Detail!J$1)</f>
        <v>0</v>
      </c>
      <c r="K346" s="7">
        <f>SUMIFS('Leave Management'!$L:$L,'Leave Management'!$C:$C,Detail!$A346,'Leave Management'!$B:$B,Detail!K$1)</f>
        <v>0</v>
      </c>
      <c r="L346" s="7">
        <f>SUMIFS('Leave Management'!$L:$L,'Leave Management'!$C:$C,Detail!$A346,'Leave Management'!$B:$B,Detail!L$1)</f>
        <v>0</v>
      </c>
      <c r="M346" s="7">
        <f>SUMIFS('Leave Management'!$L:$L,'Leave Management'!$C:$C,Detail!$A346,'Leave Management'!$B:$B,Detail!M$1)</f>
        <v>0</v>
      </c>
      <c r="N346" s="7">
        <f>SUMIFS('Leave Management'!$L:$L,'Leave Management'!$C:$C,Detail!$A346,'Leave Management'!$B:$B,Detail!N$1)</f>
        <v>0</v>
      </c>
      <c r="O346" s="7">
        <f t="shared" si="12"/>
        <v>11</v>
      </c>
    </row>
    <row r="347" spans="1:15" x14ac:dyDescent="0.25">
      <c r="A347" s="24">
        <v>43445</v>
      </c>
      <c r="B347" s="2" t="str">
        <f t="shared" si="11"/>
        <v>Tue</v>
      </c>
      <c r="C347" s="7">
        <f>SUMIFS('Leave Management'!$L:$L,'Leave Management'!$C:$C,Detail!$A347,'Leave Management'!$B:$B,Detail!C$1)</f>
        <v>0</v>
      </c>
      <c r="D347" s="7">
        <f>SUMIFS('Leave Management'!$L:$L,'Leave Management'!$C:$C,Detail!$A347,'Leave Management'!$B:$B,Detail!D$1)</f>
        <v>0</v>
      </c>
      <c r="E347" s="7">
        <f>SUMIFS('Leave Management'!$L:$L,'Leave Management'!$C:$C,Detail!$A347,'Leave Management'!$B:$B,Detail!E$1)</f>
        <v>0</v>
      </c>
      <c r="F347" s="7">
        <f>SUMIFS('Leave Management'!$L:$L,'Leave Management'!$C:$C,Detail!$A347,'Leave Management'!$B:$B,Detail!F$1)</f>
        <v>0</v>
      </c>
      <c r="G347" s="7">
        <f>SUMIFS('Leave Management'!$L:$L,'Leave Management'!$C:$C,Detail!$A347,'Leave Management'!$B:$B,Detail!G$1)</f>
        <v>0</v>
      </c>
      <c r="H347" s="7">
        <f>SUMIFS('Leave Management'!$L:$L,'Leave Management'!$C:$C,Detail!$A347,'Leave Management'!$B:$B,Detail!H$1)</f>
        <v>0</v>
      </c>
      <c r="I347" s="7">
        <f>SUMIFS('Leave Management'!$L:$L,'Leave Management'!$C:$C,Detail!$A347,'Leave Management'!$B:$B,Detail!I$1)</f>
        <v>0</v>
      </c>
      <c r="J347" s="7">
        <f>SUMIFS('Leave Management'!$L:$L,'Leave Management'!$C:$C,Detail!$A347,'Leave Management'!$B:$B,Detail!J$1)</f>
        <v>0</v>
      </c>
      <c r="K347" s="7">
        <f>SUMIFS('Leave Management'!$L:$L,'Leave Management'!$C:$C,Detail!$A347,'Leave Management'!$B:$B,Detail!K$1)</f>
        <v>0</v>
      </c>
      <c r="L347" s="7">
        <f>SUMIFS('Leave Management'!$L:$L,'Leave Management'!$C:$C,Detail!$A347,'Leave Management'!$B:$B,Detail!L$1)</f>
        <v>0</v>
      </c>
      <c r="M347" s="7">
        <f>SUMIFS('Leave Management'!$L:$L,'Leave Management'!$C:$C,Detail!$A347,'Leave Management'!$B:$B,Detail!M$1)</f>
        <v>0</v>
      </c>
      <c r="N347" s="7">
        <f>SUMIFS('Leave Management'!$L:$L,'Leave Management'!$C:$C,Detail!$A347,'Leave Management'!$B:$B,Detail!N$1)</f>
        <v>0</v>
      </c>
      <c r="O347" s="7">
        <f t="shared" si="12"/>
        <v>12</v>
      </c>
    </row>
    <row r="348" spans="1:15" x14ac:dyDescent="0.25">
      <c r="A348" s="24">
        <v>43446</v>
      </c>
      <c r="B348" s="2" t="str">
        <f t="shared" si="11"/>
        <v>Wed</v>
      </c>
      <c r="C348" s="7">
        <f>SUMIFS('Leave Management'!$L:$L,'Leave Management'!$C:$C,Detail!$A348,'Leave Management'!$B:$B,Detail!C$1)</f>
        <v>0</v>
      </c>
      <c r="D348" s="7">
        <f>SUMIFS('Leave Management'!$L:$L,'Leave Management'!$C:$C,Detail!$A348,'Leave Management'!$B:$B,Detail!D$1)</f>
        <v>0</v>
      </c>
      <c r="E348" s="7">
        <f>SUMIFS('Leave Management'!$L:$L,'Leave Management'!$C:$C,Detail!$A348,'Leave Management'!$B:$B,Detail!E$1)</f>
        <v>0</v>
      </c>
      <c r="F348" s="7">
        <f>SUMIFS('Leave Management'!$L:$L,'Leave Management'!$C:$C,Detail!$A348,'Leave Management'!$B:$B,Detail!F$1)</f>
        <v>0</v>
      </c>
      <c r="G348" s="7">
        <f>SUMIFS('Leave Management'!$L:$L,'Leave Management'!$C:$C,Detail!$A348,'Leave Management'!$B:$B,Detail!G$1)</f>
        <v>0</v>
      </c>
      <c r="H348" s="7">
        <f>SUMIFS('Leave Management'!$L:$L,'Leave Management'!$C:$C,Detail!$A348,'Leave Management'!$B:$B,Detail!H$1)</f>
        <v>0</v>
      </c>
      <c r="I348" s="7">
        <f>SUMIFS('Leave Management'!$L:$L,'Leave Management'!$C:$C,Detail!$A348,'Leave Management'!$B:$B,Detail!I$1)</f>
        <v>0</v>
      </c>
      <c r="J348" s="7">
        <f>SUMIFS('Leave Management'!$L:$L,'Leave Management'!$C:$C,Detail!$A348,'Leave Management'!$B:$B,Detail!J$1)</f>
        <v>0</v>
      </c>
      <c r="K348" s="7">
        <f>SUMIFS('Leave Management'!$L:$L,'Leave Management'!$C:$C,Detail!$A348,'Leave Management'!$B:$B,Detail!K$1)</f>
        <v>0</v>
      </c>
      <c r="L348" s="7">
        <f>SUMIFS('Leave Management'!$L:$L,'Leave Management'!$C:$C,Detail!$A348,'Leave Management'!$B:$B,Detail!L$1)</f>
        <v>0</v>
      </c>
      <c r="M348" s="7">
        <f>SUMIFS('Leave Management'!$L:$L,'Leave Management'!$C:$C,Detail!$A348,'Leave Management'!$B:$B,Detail!M$1)</f>
        <v>0</v>
      </c>
      <c r="N348" s="7">
        <f>SUMIFS('Leave Management'!$L:$L,'Leave Management'!$C:$C,Detail!$A348,'Leave Management'!$B:$B,Detail!N$1)</f>
        <v>0</v>
      </c>
      <c r="O348" s="7">
        <f t="shared" si="12"/>
        <v>12</v>
      </c>
    </row>
    <row r="349" spans="1:15" x14ac:dyDescent="0.25">
      <c r="A349" s="24">
        <v>43447</v>
      </c>
      <c r="B349" s="2" t="str">
        <f t="shared" si="11"/>
        <v>Thu</v>
      </c>
      <c r="C349" s="7">
        <f>SUMIFS('Leave Management'!$L:$L,'Leave Management'!$C:$C,Detail!$A349,'Leave Management'!$B:$B,Detail!C$1)</f>
        <v>0</v>
      </c>
      <c r="D349" s="7">
        <f>SUMIFS('Leave Management'!$L:$L,'Leave Management'!$C:$C,Detail!$A349,'Leave Management'!$B:$B,Detail!D$1)</f>
        <v>0</v>
      </c>
      <c r="E349" s="7">
        <f>SUMIFS('Leave Management'!$L:$L,'Leave Management'!$C:$C,Detail!$A349,'Leave Management'!$B:$B,Detail!E$1)</f>
        <v>0</v>
      </c>
      <c r="F349" s="7">
        <f>SUMIFS('Leave Management'!$L:$L,'Leave Management'!$C:$C,Detail!$A349,'Leave Management'!$B:$B,Detail!F$1)</f>
        <v>0</v>
      </c>
      <c r="G349" s="7">
        <f>SUMIFS('Leave Management'!$L:$L,'Leave Management'!$C:$C,Detail!$A349,'Leave Management'!$B:$B,Detail!G$1)</f>
        <v>1</v>
      </c>
      <c r="H349" s="7">
        <f>SUMIFS('Leave Management'!$L:$L,'Leave Management'!$C:$C,Detail!$A349,'Leave Management'!$B:$B,Detail!H$1)</f>
        <v>0</v>
      </c>
      <c r="I349" s="7">
        <f>SUMIFS('Leave Management'!$L:$L,'Leave Management'!$C:$C,Detail!$A349,'Leave Management'!$B:$B,Detail!I$1)</f>
        <v>0</v>
      </c>
      <c r="J349" s="7">
        <f>SUMIFS('Leave Management'!$L:$L,'Leave Management'!$C:$C,Detail!$A349,'Leave Management'!$B:$B,Detail!J$1)</f>
        <v>0</v>
      </c>
      <c r="K349" s="7">
        <f>SUMIFS('Leave Management'!$L:$L,'Leave Management'!$C:$C,Detail!$A349,'Leave Management'!$B:$B,Detail!K$1)</f>
        <v>0</v>
      </c>
      <c r="L349" s="7">
        <f>SUMIFS('Leave Management'!$L:$L,'Leave Management'!$C:$C,Detail!$A349,'Leave Management'!$B:$B,Detail!L$1)</f>
        <v>0</v>
      </c>
      <c r="M349" s="7">
        <f>SUMIFS('Leave Management'!$L:$L,'Leave Management'!$C:$C,Detail!$A349,'Leave Management'!$B:$B,Detail!M$1)</f>
        <v>0</v>
      </c>
      <c r="N349" s="7">
        <f>SUMIFS('Leave Management'!$L:$L,'Leave Management'!$C:$C,Detail!$A349,'Leave Management'!$B:$B,Detail!N$1)</f>
        <v>0</v>
      </c>
      <c r="O349" s="7">
        <f t="shared" si="12"/>
        <v>11</v>
      </c>
    </row>
    <row r="350" spans="1:15" x14ac:dyDescent="0.25">
      <c r="A350" s="24">
        <v>43448</v>
      </c>
      <c r="B350" s="2" t="str">
        <f t="shared" si="11"/>
        <v>Fri</v>
      </c>
      <c r="C350" s="7">
        <f>SUMIFS('Leave Management'!$L:$L,'Leave Management'!$C:$C,Detail!$A350,'Leave Management'!$B:$B,Detail!C$1)</f>
        <v>0.5</v>
      </c>
      <c r="D350" s="7">
        <f>SUMIFS('Leave Management'!$L:$L,'Leave Management'!$C:$C,Detail!$A350,'Leave Management'!$B:$B,Detail!D$1)</f>
        <v>0</v>
      </c>
      <c r="E350" s="7">
        <f>SUMIFS('Leave Management'!$L:$L,'Leave Management'!$C:$C,Detail!$A350,'Leave Management'!$B:$B,Detail!E$1)</f>
        <v>0</v>
      </c>
      <c r="F350" s="7">
        <f>SUMIFS('Leave Management'!$L:$L,'Leave Management'!$C:$C,Detail!$A350,'Leave Management'!$B:$B,Detail!F$1)</f>
        <v>0</v>
      </c>
      <c r="G350" s="7">
        <f>SUMIFS('Leave Management'!$L:$L,'Leave Management'!$C:$C,Detail!$A350,'Leave Management'!$B:$B,Detail!G$1)</f>
        <v>1</v>
      </c>
      <c r="H350" s="7">
        <f>SUMIFS('Leave Management'!$L:$L,'Leave Management'!$C:$C,Detail!$A350,'Leave Management'!$B:$B,Detail!H$1)</f>
        <v>0</v>
      </c>
      <c r="I350" s="7">
        <f>SUMIFS('Leave Management'!$L:$L,'Leave Management'!$C:$C,Detail!$A350,'Leave Management'!$B:$B,Detail!I$1)</f>
        <v>0</v>
      </c>
      <c r="J350" s="7">
        <f>SUMIFS('Leave Management'!$L:$L,'Leave Management'!$C:$C,Detail!$A350,'Leave Management'!$B:$B,Detail!J$1)</f>
        <v>0</v>
      </c>
      <c r="K350" s="7">
        <f>SUMIFS('Leave Management'!$L:$L,'Leave Management'!$C:$C,Detail!$A350,'Leave Management'!$B:$B,Detail!K$1)</f>
        <v>0</v>
      </c>
      <c r="L350" s="7">
        <f>SUMIFS('Leave Management'!$L:$L,'Leave Management'!$C:$C,Detail!$A350,'Leave Management'!$B:$B,Detail!L$1)</f>
        <v>0</v>
      </c>
      <c r="M350" s="7">
        <f>SUMIFS('Leave Management'!$L:$L,'Leave Management'!$C:$C,Detail!$A350,'Leave Management'!$B:$B,Detail!M$1)</f>
        <v>0</v>
      </c>
      <c r="N350" s="7">
        <f>SUMIFS('Leave Management'!$L:$L,'Leave Management'!$C:$C,Detail!$A350,'Leave Management'!$B:$B,Detail!N$1)</f>
        <v>0</v>
      </c>
      <c r="O350" s="7">
        <f t="shared" si="12"/>
        <v>10.5</v>
      </c>
    </row>
    <row r="351" spans="1:15" x14ac:dyDescent="0.25">
      <c r="A351" s="24">
        <v>43449</v>
      </c>
      <c r="B351" s="2" t="str">
        <f t="shared" si="11"/>
        <v>Sat</v>
      </c>
      <c r="C351" s="7">
        <f>SUMIFS('Leave Management'!$L:$L,'Leave Management'!$C:$C,Detail!$A351,'Leave Management'!$B:$B,Detail!C$1)</f>
        <v>0</v>
      </c>
      <c r="D351" s="7">
        <f>SUMIFS('Leave Management'!$L:$L,'Leave Management'!$C:$C,Detail!$A351,'Leave Management'!$B:$B,Detail!D$1)</f>
        <v>0</v>
      </c>
      <c r="E351" s="7">
        <f>SUMIFS('Leave Management'!$L:$L,'Leave Management'!$C:$C,Detail!$A351,'Leave Management'!$B:$B,Detail!E$1)</f>
        <v>0</v>
      </c>
      <c r="F351" s="7">
        <f>SUMIFS('Leave Management'!$L:$L,'Leave Management'!$C:$C,Detail!$A351,'Leave Management'!$B:$B,Detail!F$1)</f>
        <v>0</v>
      </c>
      <c r="G351" s="7">
        <f>SUMIFS('Leave Management'!$L:$L,'Leave Management'!$C:$C,Detail!$A351,'Leave Management'!$B:$B,Detail!G$1)</f>
        <v>0</v>
      </c>
      <c r="H351" s="7">
        <f>SUMIFS('Leave Management'!$L:$L,'Leave Management'!$C:$C,Detail!$A351,'Leave Management'!$B:$B,Detail!H$1)</f>
        <v>0</v>
      </c>
      <c r="I351" s="7">
        <f>SUMIFS('Leave Management'!$L:$L,'Leave Management'!$C:$C,Detail!$A351,'Leave Management'!$B:$B,Detail!I$1)</f>
        <v>0</v>
      </c>
      <c r="J351" s="7">
        <f>SUMIFS('Leave Management'!$L:$L,'Leave Management'!$C:$C,Detail!$A351,'Leave Management'!$B:$B,Detail!J$1)</f>
        <v>0</v>
      </c>
      <c r="K351" s="7">
        <f>SUMIFS('Leave Management'!$L:$L,'Leave Management'!$C:$C,Detail!$A351,'Leave Management'!$B:$B,Detail!K$1)</f>
        <v>0</v>
      </c>
      <c r="L351" s="7">
        <f>SUMIFS('Leave Management'!$L:$L,'Leave Management'!$C:$C,Detail!$A351,'Leave Management'!$B:$B,Detail!L$1)</f>
        <v>0</v>
      </c>
      <c r="M351" s="7">
        <f>SUMIFS('Leave Management'!$L:$L,'Leave Management'!$C:$C,Detail!$A351,'Leave Management'!$B:$B,Detail!M$1)</f>
        <v>0</v>
      </c>
      <c r="N351" s="7">
        <f>SUMIFS('Leave Management'!$L:$L,'Leave Management'!$C:$C,Detail!$A351,'Leave Management'!$B:$B,Detail!N$1)</f>
        <v>0</v>
      </c>
      <c r="O351" s="7">
        <f t="shared" si="12"/>
        <v>12</v>
      </c>
    </row>
    <row r="352" spans="1:15" x14ac:dyDescent="0.25">
      <c r="A352" s="24">
        <v>43450</v>
      </c>
      <c r="B352" s="2" t="str">
        <f t="shared" si="11"/>
        <v>Sun</v>
      </c>
      <c r="C352" s="7">
        <f>SUMIFS('Leave Management'!$L:$L,'Leave Management'!$C:$C,Detail!$A352,'Leave Management'!$B:$B,Detail!C$1)</f>
        <v>0</v>
      </c>
      <c r="D352" s="7">
        <f>SUMIFS('Leave Management'!$L:$L,'Leave Management'!$C:$C,Detail!$A352,'Leave Management'!$B:$B,Detail!D$1)</f>
        <v>0</v>
      </c>
      <c r="E352" s="7">
        <f>SUMIFS('Leave Management'!$L:$L,'Leave Management'!$C:$C,Detail!$A352,'Leave Management'!$B:$B,Detail!E$1)</f>
        <v>0</v>
      </c>
      <c r="F352" s="7">
        <f>SUMIFS('Leave Management'!$L:$L,'Leave Management'!$C:$C,Detail!$A352,'Leave Management'!$B:$B,Detail!F$1)</f>
        <v>0</v>
      </c>
      <c r="G352" s="7">
        <f>SUMIFS('Leave Management'!$L:$L,'Leave Management'!$C:$C,Detail!$A352,'Leave Management'!$B:$B,Detail!G$1)</f>
        <v>0</v>
      </c>
      <c r="H352" s="7">
        <f>SUMIFS('Leave Management'!$L:$L,'Leave Management'!$C:$C,Detail!$A352,'Leave Management'!$B:$B,Detail!H$1)</f>
        <v>0</v>
      </c>
      <c r="I352" s="7">
        <f>SUMIFS('Leave Management'!$L:$L,'Leave Management'!$C:$C,Detail!$A352,'Leave Management'!$B:$B,Detail!I$1)</f>
        <v>0</v>
      </c>
      <c r="J352" s="7">
        <f>SUMIFS('Leave Management'!$L:$L,'Leave Management'!$C:$C,Detail!$A352,'Leave Management'!$B:$B,Detail!J$1)</f>
        <v>0</v>
      </c>
      <c r="K352" s="7">
        <f>SUMIFS('Leave Management'!$L:$L,'Leave Management'!$C:$C,Detail!$A352,'Leave Management'!$B:$B,Detail!K$1)</f>
        <v>0</v>
      </c>
      <c r="L352" s="7">
        <f>SUMIFS('Leave Management'!$L:$L,'Leave Management'!$C:$C,Detail!$A352,'Leave Management'!$B:$B,Detail!L$1)</f>
        <v>0</v>
      </c>
      <c r="M352" s="7">
        <f>SUMIFS('Leave Management'!$L:$L,'Leave Management'!$C:$C,Detail!$A352,'Leave Management'!$B:$B,Detail!M$1)</f>
        <v>0</v>
      </c>
      <c r="N352" s="7">
        <f>SUMIFS('Leave Management'!$L:$L,'Leave Management'!$C:$C,Detail!$A352,'Leave Management'!$B:$B,Detail!N$1)</f>
        <v>0</v>
      </c>
      <c r="O352" s="7">
        <f t="shared" si="12"/>
        <v>12</v>
      </c>
    </row>
    <row r="353" spans="1:15" x14ac:dyDescent="0.25">
      <c r="A353" s="24">
        <v>43451</v>
      </c>
      <c r="B353" s="2" t="str">
        <f t="shared" si="11"/>
        <v>Mon</v>
      </c>
      <c r="C353" s="7">
        <f>SUMIFS('Leave Management'!$L:$L,'Leave Management'!$C:$C,Detail!$A353,'Leave Management'!$B:$B,Detail!C$1)</f>
        <v>0</v>
      </c>
      <c r="D353" s="7">
        <f>SUMIFS('Leave Management'!$L:$L,'Leave Management'!$C:$C,Detail!$A353,'Leave Management'!$B:$B,Detail!D$1)</f>
        <v>0</v>
      </c>
      <c r="E353" s="7">
        <f>SUMIFS('Leave Management'!$L:$L,'Leave Management'!$C:$C,Detail!$A353,'Leave Management'!$B:$B,Detail!E$1)</f>
        <v>1</v>
      </c>
      <c r="F353" s="7">
        <f>SUMIFS('Leave Management'!$L:$L,'Leave Management'!$C:$C,Detail!$A353,'Leave Management'!$B:$B,Detail!F$1)</f>
        <v>1</v>
      </c>
      <c r="G353" s="7">
        <f>SUMIFS('Leave Management'!$L:$L,'Leave Management'!$C:$C,Detail!$A353,'Leave Management'!$B:$B,Detail!G$1)</f>
        <v>0</v>
      </c>
      <c r="H353" s="7">
        <f>SUMIFS('Leave Management'!$L:$L,'Leave Management'!$C:$C,Detail!$A353,'Leave Management'!$B:$B,Detail!H$1)</f>
        <v>0</v>
      </c>
      <c r="I353" s="7">
        <f>SUMIFS('Leave Management'!$L:$L,'Leave Management'!$C:$C,Detail!$A353,'Leave Management'!$B:$B,Detail!I$1)</f>
        <v>0</v>
      </c>
      <c r="J353" s="7">
        <f>SUMIFS('Leave Management'!$L:$L,'Leave Management'!$C:$C,Detail!$A353,'Leave Management'!$B:$B,Detail!J$1)</f>
        <v>0</v>
      </c>
      <c r="K353" s="7">
        <f>SUMIFS('Leave Management'!$L:$L,'Leave Management'!$C:$C,Detail!$A353,'Leave Management'!$B:$B,Detail!K$1)</f>
        <v>0</v>
      </c>
      <c r="L353" s="7">
        <f>SUMIFS('Leave Management'!$L:$L,'Leave Management'!$C:$C,Detail!$A353,'Leave Management'!$B:$B,Detail!L$1)</f>
        <v>0</v>
      </c>
      <c r="M353" s="7">
        <f>SUMIFS('Leave Management'!$L:$L,'Leave Management'!$C:$C,Detail!$A353,'Leave Management'!$B:$B,Detail!M$1)</f>
        <v>0</v>
      </c>
      <c r="N353" s="7">
        <f>SUMIFS('Leave Management'!$L:$L,'Leave Management'!$C:$C,Detail!$A353,'Leave Management'!$B:$B,Detail!N$1)</f>
        <v>1</v>
      </c>
      <c r="O353" s="7">
        <f t="shared" si="12"/>
        <v>9</v>
      </c>
    </row>
    <row r="354" spans="1:15" x14ac:dyDescent="0.25">
      <c r="A354" s="24">
        <v>43452</v>
      </c>
      <c r="B354" s="2" t="str">
        <f t="shared" si="11"/>
        <v>Tue</v>
      </c>
      <c r="C354" s="7">
        <f>SUMIFS('Leave Management'!$L:$L,'Leave Management'!$C:$C,Detail!$A354,'Leave Management'!$B:$B,Detail!C$1)</f>
        <v>0</v>
      </c>
      <c r="D354" s="7">
        <f>SUMIFS('Leave Management'!$L:$L,'Leave Management'!$C:$C,Detail!$A354,'Leave Management'!$B:$B,Detail!D$1)</f>
        <v>0</v>
      </c>
      <c r="E354" s="7">
        <f>SUMIFS('Leave Management'!$L:$L,'Leave Management'!$C:$C,Detail!$A354,'Leave Management'!$B:$B,Detail!E$1)</f>
        <v>1</v>
      </c>
      <c r="F354" s="7">
        <f>SUMIFS('Leave Management'!$L:$L,'Leave Management'!$C:$C,Detail!$A354,'Leave Management'!$B:$B,Detail!F$1)</f>
        <v>1</v>
      </c>
      <c r="G354" s="7">
        <f>SUMIFS('Leave Management'!$L:$L,'Leave Management'!$C:$C,Detail!$A354,'Leave Management'!$B:$B,Detail!G$1)</f>
        <v>0</v>
      </c>
      <c r="H354" s="7">
        <f>SUMIFS('Leave Management'!$L:$L,'Leave Management'!$C:$C,Detail!$A354,'Leave Management'!$B:$B,Detail!H$1)</f>
        <v>0</v>
      </c>
      <c r="I354" s="7">
        <f>SUMIFS('Leave Management'!$L:$L,'Leave Management'!$C:$C,Detail!$A354,'Leave Management'!$B:$B,Detail!I$1)</f>
        <v>0</v>
      </c>
      <c r="J354" s="7">
        <f>SUMIFS('Leave Management'!$L:$L,'Leave Management'!$C:$C,Detail!$A354,'Leave Management'!$B:$B,Detail!J$1)</f>
        <v>0</v>
      </c>
      <c r="K354" s="7">
        <f>SUMIFS('Leave Management'!$L:$L,'Leave Management'!$C:$C,Detail!$A354,'Leave Management'!$B:$B,Detail!K$1)</f>
        <v>0</v>
      </c>
      <c r="L354" s="7">
        <f>SUMIFS('Leave Management'!$L:$L,'Leave Management'!$C:$C,Detail!$A354,'Leave Management'!$B:$B,Detail!L$1)</f>
        <v>0</v>
      </c>
      <c r="M354" s="7">
        <f>SUMIFS('Leave Management'!$L:$L,'Leave Management'!$C:$C,Detail!$A354,'Leave Management'!$B:$B,Detail!M$1)</f>
        <v>0</v>
      </c>
      <c r="N354" s="7">
        <f>SUMIFS('Leave Management'!$L:$L,'Leave Management'!$C:$C,Detail!$A354,'Leave Management'!$B:$B,Detail!N$1)</f>
        <v>1</v>
      </c>
      <c r="O354" s="7">
        <f t="shared" si="12"/>
        <v>9</v>
      </c>
    </row>
    <row r="355" spans="1:15" x14ac:dyDescent="0.25">
      <c r="A355" s="24">
        <v>43453</v>
      </c>
      <c r="B355" s="2" t="str">
        <f t="shared" si="11"/>
        <v>Wed</v>
      </c>
      <c r="C355" s="7">
        <f>SUMIFS('Leave Management'!$L:$L,'Leave Management'!$C:$C,Detail!$A355,'Leave Management'!$B:$B,Detail!C$1)</f>
        <v>0</v>
      </c>
      <c r="D355" s="7">
        <f>SUMIFS('Leave Management'!$L:$L,'Leave Management'!$C:$C,Detail!$A355,'Leave Management'!$B:$B,Detail!D$1)</f>
        <v>0</v>
      </c>
      <c r="E355" s="7">
        <f>SUMIFS('Leave Management'!$L:$L,'Leave Management'!$C:$C,Detail!$A355,'Leave Management'!$B:$B,Detail!E$1)</f>
        <v>0</v>
      </c>
      <c r="F355" s="7">
        <f>SUMIFS('Leave Management'!$L:$L,'Leave Management'!$C:$C,Detail!$A355,'Leave Management'!$B:$B,Detail!F$1)</f>
        <v>1</v>
      </c>
      <c r="G355" s="7">
        <f>SUMIFS('Leave Management'!$L:$L,'Leave Management'!$C:$C,Detail!$A355,'Leave Management'!$B:$B,Detail!G$1)</f>
        <v>0</v>
      </c>
      <c r="H355" s="7">
        <f>SUMIFS('Leave Management'!$L:$L,'Leave Management'!$C:$C,Detail!$A355,'Leave Management'!$B:$B,Detail!H$1)</f>
        <v>0</v>
      </c>
      <c r="I355" s="7">
        <f>SUMIFS('Leave Management'!$L:$L,'Leave Management'!$C:$C,Detail!$A355,'Leave Management'!$B:$B,Detail!I$1)</f>
        <v>0</v>
      </c>
      <c r="J355" s="7">
        <f>SUMIFS('Leave Management'!$L:$L,'Leave Management'!$C:$C,Detail!$A355,'Leave Management'!$B:$B,Detail!J$1)</f>
        <v>0</v>
      </c>
      <c r="K355" s="7">
        <f>SUMIFS('Leave Management'!$L:$L,'Leave Management'!$C:$C,Detail!$A355,'Leave Management'!$B:$B,Detail!K$1)</f>
        <v>0</v>
      </c>
      <c r="L355" s="7">
        <f>SUMIFS('Leave Management'!$L:$L,'Leave Management'!$C:$C,Detail!$A355,'Leave Management'!$B:$B,Detail!L$1)</f>
        <v>0</v>
      </c>
      <c r="M355" s="7">
        <f>SUMIFS('Leave Management'!$L:$L,'Leave Management'!$C:$C,Detail!$A355,'Leave Management'!$B:$B,Detail!M$1)</f>
        <v>0</v>
      </c>
      <c r="N355" s="7">
        <f>SUMIFS('Leave Management'!$L:$L,'Leave Management'!$C:$C,Detail!$A355,'Leave Management'!$B:$B,Detail!N$1)</f>
        <v>0</v>
      </c>
      <c r="O355" s="7">
        <f t="shared" si="12"/>
        <v>11</v>
      </c>
    </row>
    <row r="356" spans="1:15" x14ac:dyDescent="0.25">
      <c r="A356" s="24">
        <v>43454</v>
      </c>
      <c r="B356" s="2" t="str">
        <f t="shared" si="11"/>
        <v>Thu</v>
      </c>
      <c r="C356" s="7">
        <f>SUMIFS('Leave Management'!$L:$L,'Leave Management'!$C:$C,Detail!$A356,'Leave Management'!$B:$B,Detail!C$1)</f>
        <v>1</v>
      </c>
      <c r="D356" s="7">
        <f>SUMIFS('Leave Management'!$L:$L,'Leave Management'!$C:$C,Detail!$A356,'Leave Management'!$B:$B,Detail!D$1)</f>
        <v>0</v>
      </c>
      <c r="E356" s="7">
        <f>SUMIFS('Leave Management'!$L:$L,'Leave Management'!$C:$C,Detail!$A356,'Leave Management'!$B:$B,Detail!E$1)</f>
        <v>0</v>
      </c>
      <c r="F356" s="7">
        <f>SUMIFS('Leave Management'!$L:$L,'Leave Management'!$C:$C,Detail!$A356,'Leave Management'!$B:$B,Detail!F$1)</f>
        <v>1</v>
      </c>
      <c r="G356" s="7">
        <f>SUMIFS('Leave Management'!$L:$L,'Leave Management'!$C:$C,Detail!$A356,'Leave Management'!$B:$B,Detail!G$1)</f>
        <v>0</v>
      </c>
      <c r="H356" s="7">
        <f>SUMIFS('Leave Management'!$L:$L,'Leave Management'!$C:$C,Detail!$A356,'Leave Management'!$B:$B,Detail!H$1)</f>
        <v>0</v>
      </c>
      <c r="I356" s="7">
        <f>SUMIFS('Leave Management'!$L:$L,'Leave Management'!$C:$C,Detail!$A356,'Leave Management'!$B:$B,Detail!I$1)</f>
        <v>0</v>
      </c>
      <c r="J356" s="7">
        <f>SUMIFS('Leave Management'!$L:$L,'Leave Management'!$C:$C,Detail!$A356,'Leave Management'!$B:$B,Detail!J$1)</f>
        <v>0</v>
      </c>
      <c r="K356" s="7">
        <f>SUMIFS('Leave Management'!$L:$L,'Leave Management'!$C:$C,Detail!$A356,'Leave Management'!$B:$B,Detail!K$1)</f>
        <v>0</v>
      </c>
      <c r="L356" s="7">
        <f>SUMIFS('Leave Management'!$L:$L,'Leave Management'!$C:$C,Detail!$A356,'Leave Management'!$B:$B,Detail!L$1)</f>
        <v>0</v>
      </c>
      <c r="M356" s="7">
        <f>SUMIFS('Leave Management'!$L:$L,'Leave Management'!$C:$C,Detail!$A356,'Leave Management'!$B:$B,Detail!M$1)</f>
        <v>0</v>
      </c>
      <c r="N356" s="7">
        <f>SUMIFS('Leave Management'!$L:$L,'Leave Management'!$C:$C,Detail!$A356,'Leave Management'!$B:$B,Detail!N$1)</f>
        <v>0</v>
      </c>
      <c r="O356" s="7">
        <f t="shared" si="12"/>
        <v>10</v>
      </c>
    </row>
    <row r="357" spans="1:15" x14ac:dyDescent="0.25">
      <c r="A357" s="24">
        <v>43455</v>
      </c>
      <c r="B357" s="2" t="str">
        <f t="shared" si="11"/>
        <v>Fri</v>
      </c>
      <c r="C357" s="7">
        <f>SUMIFS('Leave Management'!$L:$L,'Leave Management'!$C:$C,Detail!$A357,'Leave Management'!$B:$B,Detail!C$1)</f>
        <v>1</v>
      </c>
      <c r="D357" s="7">
        <f>SUMIFS('Leave Management'!$L:$L,'Leave Management'!$C:$C,Detail!$A357,'Leave Management'!$B:$B,Detail!D$1)</f>
        <v>0</v>
      </c>
      <c r="E357" s="7">
        <f>SUMIFS('Leave Management'!$L:$L,'Leave Management'!$C:$C,Detail!$A357,'Leave Management'!$B:$B,Detail!E$1)</f>
        <v>0</v>
      </c>
      <c r="F357" s="7">
        <f>SUMIFS('Leave Management'!$L:$L,'Leave Management'!$C:$C,Detail!$A357,'Leave Management'!$B:$B,Detail!F$1)</f>
        <v>1</v>
      </c>
      <c r="G357" s="7">
        <f>SUMIFS('Leave Management'!$L:$L,'Leave Management'!$C:$C,Detail!$A357,'Leave Management'!$B:$B,Detail!G$1)</f>
        <v>0</v>
      </c>
      <c r="H357" s="7">
        <f>SUMIFS('Leave Management'!$L:$L,'Leave Management'!$C:$C,Detail!$A357,'Leave Management'!$B:$B,Detail!H$1)</f>
        <v>0</v>
      </c>
      <c r="I357" s="7">
        <f>SUMIFS('Leave Management'!$L:$L,'Leave Management'!$C:$C,Detail!$A357,'Leave Management'!$B:$B,Detail!I$1)</f>
        <v>0</v>
      </c>
      <c r="J357" s="7">
        <f>SUMIFS('Leave Management'!$L:$L,'Leave Management'!$C:$C,Detail!$A357,'Leave Management'!$B:$B,Detail!J$1)</f>
        <v>0</v>
      </c>
      <c r="K357" s="7">
        <f>SUMIFS('Leave Management'!$L:$L,'Leave Management'!$C:$C,Detail!$A357,'Leave Management'!$B:$B,Detail!K$1)</f>
        <v>0</v>
      </c>
      <c r="L357" s="7">
        <f>SUMIFS('Leave Management'!$L:$L,'Leave Management'!$C:$C,Detail!$A357,'Leave Management'!$B:$B,Detail!L$1)</f>
        <v>0</v>
      </c>
      <c r="M357" s="7">
        <f>SUMIFS('Leave Management'!$L:$L,'Leave Management'!$C:$C,Detail!$A357,'Leave Management'!$B:$B,Detail!M$1)</f>
        <v>0</v>
      </c>
      <c r="N357" s="7">
        <f>SUMIFS('Leave Management'!$L:$L,'Leave Management'!$C:$C,Detail!$A357,'Leave Management'!$B:$B,Detail!N$1)</f>
        <v>0</v>
      </c>
      <c r="O357" s="7">
        <f t="shared" si="12"/>
        <v>10</v>
      </c>
    </row>
    <row r="358" spans="1:15" x14ac:dyDescent="0.25">
      <c r="A358" s="24">
        <v>43456</v>
      </c>
      <c r="B358" s="2" t="str">
        <f t="shared" si="11"/>
        <v>Sat</v>
      </c>
      <c r="C358" s="7">
        <f>SUMIFS('Leave Management'!$L:$L,'Leave Management'!$C:$C,Detail!$A358,'Leave Management'!$B:$B,Detail!C$1)</f>
        <v>0</v>
      </c>
      <c r="D358" s="7">
        <f>SUMIFS('Leave Management'!$L:$L,'Leave Management'!$C:$C,Detail!$A358,'Leave Management'!$B:$B,Detail!D$1)</f>
        <v>0</v>
      </c>
      <c r="E358" s="7">
        <f>SUMIFS('Leave Management'!$L:$L,'Leave Management'!$C:$C,Detail!$A358,'Leave Management'!$B:$B,Detail!E$1)</f>
        <v>0</v>
      </c>
      <c r="F358" s="7">
        <f>SUMIFS('Leave Management'!$L:$L,'Leave Management'!$C:$C,Detail!$A358,'Leave Management'!$B:$B,Detail!F$1)</f>
        <v>0</v>
      </c>
      <c r="G358" s="7">
        <f>SUMIFS('Leave Management'!$L:$L,'Leave Management'!$C:$C,Detail!$A358,'Leave Management'!$B:$B,Detail!G$1)</f>
        <v>0</v>
      </c>
      <c r="H358" s="7">
        <f>SUMIFS('Leave Management'!$L:$L,'Leave Management'!$C:$C,Detail!$A358,'Leave Management'!$B:$B,Detail!H$1)</f>
        <v>0</v>
      </c>
      <c r="I358" s="7">
        <f>SUMIFS('Leave Management'!$L:$L,'Leave Management'!$C:$C,Detail!$A358,'Leave Management'!$B:$B,Detail!I$1)</f>
        <v>0</v>
      </c>
      <c r="J358" s="7">
        <f>SUMIFS('Leave Management'!$L:$L,'Leave Management'!$C:$C,Detail!$A358,'Leave Management'!$B:$B,Detail!J$1)</f>
        <v>0</v>
      </c>
      <c r="K358" s="7">
        <f>SUMIFS('Leave Management'!$L:$L,'Leave Management'!$C:$C,Detail!$A358,'Leave Management'!$B:$B,Detail!K$1)</f>
        <v>0</v>
      </c>
      <c r="L358" s="7">
        <f>SUMIFS('Leave Management'!$L:$L,'Leave Management'!$C:$C,Detail!$A358,'Leave Management'!$B:$B,Detail!L$1)</f>
        <v>0</v>
      </c>
      <c r="M358" s="7">
        <f>SUMIFS('Leave Management'!$L:$L,'Leave Management'!$C:$C,Detail!$A358,'Leave Management'!$B:$B,Detail!M$1)</f>
        <v>0</v>
      </c>
      <c r="N358" s="7">
        <f>SUMIFS('Leave Management'!$L:$L,'Leave Management'!$C:$C,Detail!$A358,'Leave Management'!$B:$B,Detail!N$1)</f>
        <v>0</v>
      </c>
      <c r="O358" s="7">
        <f t="shared" si="12"/>
        <v>12</v>
      </c>
    </row>
    <row r="359" spans="1:15" x14ac:dyDescent="0.25">
      <c r="A359" s="24">
        <v>43457</v>
      </c>
      <c r="B359" s="2" t="str">
        <f t="shared" si="11"/>
        <v>Sun</v>
      </c>
      <c r="C359" s="7">
        <f>SUMIFS('Leave Management'!$L:$L,'Leave Management'!$C:$C,Detail!$A359,'Leave Management'!$B:$B,Detail!C$1)</f>
        <v>0</v>
      </c>
      <c r="D359" s="7">
        <f>SUMIFS('Leave Management'!$L:$L,'Leave Management'!$C:$C,Detail!$A359,'Leave Management'!$B:$B,Detail!D$1)</f>
        <v>0</v>
      </c>
      <c r="E359" s="7">
        <f>SUMIFS('Leave Management'!$L:$L,'Leave Management'!$C:$C,Detail!$A359,'Leave Management'!$B:$B,Detail!E$1)</f>
        <v>0</v>
      </c>
      <c r="F359" s="7">
        <f>SUMIFS('Leave Management'!$L:$L,'Leave Management'!$C:$C,Detail!$A359,'Leave Management'!$B:$B,Detail!F$1)</f>
        <v>0</v>
      </c>
      <c r="G359" s="7">
        <f>SUMIFS('Leave Management'!$L:$L,'Leave Management'!$C:$C,Detail!$A359,'Leave Management'!$B:$B,Detail!G$1)</f>
        <v>0</v>
      </c>
      <c r="H359" s="7">
        <f>SUMIFS('Leave Management'!$L:$L,'Leave Management'!$C:$C,Detail!$A359,'Leave Management'!$B:$B,Detail!H$1)</f>
        <v>0</v>
      </c>
      <c r="I359" s="7">
        <f>SUMIFS('Leave Management'!$L:$L,'Leave Management'!$C:$C,Detail!$A359,'Leave Management'!$B:$B,Detail!I$1)</f>
        <v>0</v>
      </c>
      <c r="J359" s="7">
        <f>SUMIFS('Leave Management'!$L:$L,'Leave Management'!$C:$C,Detail!$A359,'Leave Management'!$B:$B,Detail!J$1)</f>
        <v>0</v>
      </c>
      <c r="K359" s="7">
        <f>SUMIFS('Leave Management'!$L:$L,'Leave Management'!$C:$C,Detail!$A359,'Leave Management'!$B:$B,Detail!K$1)</f>
        <v>0</v>
      </c>
      <c r="L359" s="7">
        <f>SUMIFS('Leave Management'!$L:$L,'Leave Management'!$C:$C,Detail!$A359,'Leave Management'!$B:$B,Detail!L$1)</f>
        <v>0</v>
      </c>
      <c r="M359" s="7">
        <f>SUMIFS('Leave Management'!$L:$L,'Leave Management'!$C:$C,Detail!$A359,'Leave Management'!$B:$B,Detail!M$1)</f>
        <v>0</v>
      </c>
      <c r="N359" s="7">
        <f>SUMIFS('Leave Management'!$L:$L,'Leave Management'!$C:$C,Detail!$A359,'Leave Management'!$B:$B,Detail!N$1)</f>
        <v>0</v>
      </c>
      <c r="O359" s="7">
        <f t="shared" si="12"/>
        <v>12</v>
      </c>
    </row>
    <row r="360" spans="1:15" x14ac:dyDescent="0.25">
      <c r="A360" s="24">
        <v>43458</v>
      </c>
      <c r="B360" s="2" t="str">
        <f t="shared" si="11"/>
        <v>Mon</v>
      </c>
      <c r="C360" s="7">
        <f>SUMIFS('Leave Management'!$L:$L,'Leave Management'!$C:$C,Detail!$A360,'Leave Management'!$B:$B,Detail!C$1)</f>
        <v>0</v>
      </c>
      <c r="D360" s="7">
        <f>SUMIFS('Leave Management'!$L:$L,'Leave Management'!$C:$C,Detail!$A360,'Leave Management'!$B:$B,Detail!D$1)</f>
        <v>0</v>
      </c>
      <c r="E360" s="7">
        <f>SUMIFS('Leave Management'!$L:$L,'Leave Management'!$C:$C,Detail!$A360,'Leave Management'!$B:$B,Detail!E$1)</f>
        <v>1</v>
      </c>
      <c r="F360" s="7">
        <f>SUMIFS('Leave Management'!$L:$L,'Leave Management'!$C:$C,Detail!$A360,'Leave Management'!$B:$B,Detail!F$1)</f>
        <v>1</v>
      </c>
      <c r="G360" s="7">
        <f>SUMIFS('Leave Management'!$L:$L,'Leave Management'!$C:$C,Detail!$A360,'Leave Management'!$B:$B,Detail!G$1)</f>
        <v>0</v>
      </c>
      <c r="H360" s="7">
        <f>SUMIFS('Leave Management'!$L:$L,'Leave Management'!$C:$C,Detail!$A360,'Leave Management'!$B:$B,Detail!H$1)</f>
        <v>0</v>
      </c>
      <c r="I360" s="7">
        <f>SUMIFS('Leave Management'!$L:$L,'Leave Management'!$C:$C,Detail!$A360,'Leave Management'!$B:$B,Detail!I$1)</f>
        <v>0</v>
      </c>
      <c r="J360" s="7">
        <f>SUMIFS('Leave Management'!$L:$L,'Leave Management'!$C:$C,Detail!$A360,'Leave Management'!$B:$B,Detail!J$1)</f>
        <v>0</v>
      </c>
      <c r="K360" s="7">
        <f>SUMIFS('Leave Management'!$L:$L,'Leave Management'!$C:$C,Detail!$A360,'Leave Management'!$B:$B,Detail!K$1)</f>
        <v>0</v>
      </c>
      <c r="L360" s="7">
        <f>SUMIFS('Leave Management'!$L:$L,'Leave Management'!$C:$C,Detail!$A360,'Leave Management'!$B:$B,Detail!L$1)</f>
        <v>0</v>
      </c>
      <c r="M360" s="7">
        <f>SUMIFS('Leave Management'!$L:$L,'Leave Management'!$C:$C,Detail!$A360,'Leave Management'!$B:$B,Detail!M$1)</f>
        <v>0</v>
      </c>
      <c r="N360" s="7">
        <f>SUMIFS('Leave Management'!$L:$L,'Leave Management'!$C:$C,Detail!$A360,'Leave Management'!$B:$B,Detail!N$1)</f>
        <v>0</v>
      </c>
      <c r="O360" s="7">
        <f t="shared" si="12"/>
        <v>10</v>
      </c>
    </row>
    <row r="361" spans="1:15" x14ac:dyDescent="0.25">
      <c r="A361" s="24">
        <v>43459</v>
      </c>
      <c r="B361" s="2" t="str">
        <f t="shared" si="11"/>
        <v>Tue</v>
      </c>
      <c r="C361" s="7">
        <f>SUMIFS('Leave Management'!$L:$L,'Leave Management'!$C:$C,Detail!$A361,'Leave Management'!$B:$B,Detail!C$1)</f>
        <v>0</v>
      </c>
      <c r="D361" s="7">
        <f>SUMIFS('Leave Management'!$L:$L,'Leave Management'!$C:$C,Detail!$A361,'Leave Management'!$B:$B,Detail!D$1)</f>
        <v>0</v>
      </c>
      <c r="E361" s="7">
        <f>SUMIFS('Leave Management'!$L:$L,'Leave Management'!$C:$C,Detail!$A361,'Leave Management'!$B:$B,Detail!E$1)</f>
        <v>0</v>
      </c>
      <c r="F361" s="7">
        <f>SUMIFS('Leave Management'!$L:$L,'Leave Management'!$C:$C,Detail!$A361,'Leave Management'!$B:$B,Detail!F$1)</f>
        <v>0</v>
      </c>
      <c r="G361" s="7">
        <f>SUMIFS('Leave Management'!$L:$L,'Leave Management'!$C:$C,Detail!$A361,'Leave Management'!$B:$B,Detail!G$1)</f>
        <v>0</v>
      </c>
      <c r="H361" s="7">
        <f>SUMIFS('Leave Management'!$L:$L,'Leave Management'!$C:$C,Detail!$A361,'Leave Management'!$B:$B,Detail!H$1)</f>
        <v>0</v>
      </c>
      <c r="I361" s="7">
        <f>SUMIFS('Leave Management'!$L:$L,'Leave Management'!$C:$C,Detail!$A361,'Leave Management'!$B:$B,Detail!I$1)</f>
        <v>0</v>
      </c>
      <c r="J361" s="7">
        <f>SUMIFS('Leave Management'!$L:$L,'Leave Management'!$C:$C,Detail!$A361,'Leave Management'!$B:$B,Detail!J$1)</f>
        <v>0</v>
      </c>
      <c r="K361" s="7">
        <f>SUMIFS('Leave Management'!$L:$L,'Leave Management'!$C:$C,Detail!$A361,'Leave Management'!$B:$B,Detail!K$1)</f>
        <v>0</v>
      </c>
      <c r="L361" s="7">
        <f>SUMIFS('Leave Management'!$L:$L,'Leave Management'!$C:$C,Detail!$A361,'Leave Management'!$B:$B,Detail!L$1)</f>
        <v>0</v>
      </c>
      <c r="M361" s="7">
        <f>SUMIFS('Leave Management'!$L:$L,'Leave Management'!$C:$C,Detail!$A361,'Leave Management'!$B:$B,Detail!M$1)</f>
        <v>0</v>
      </c>
      <c r="N361" s="7">
        <f>SUMIFS('Leave Management'!$L:$L,'Leave Management'!$C:$C,Detail!$A361,'Leave Management'!$B:$B,Detail!N$1)</f>
        <v>0</v>
      </c>
      <c r="O361" s="7">
        <f t="shared" si="12"/>
        <v>12</v>
      </c>
    </row>
    <row r="362" spans="1:15" x14ac:dyDescent="0.25">
      <c r="A362" s="24">
        <v>43460</v>
      </c>
      <c r="B362" s="2" t="str">
        <f t="shared" si="11"/>
        <v>Wed</v>
      </c>
      <c r="C362" s="7">
        <f>SUMIFS('Leave Management'!$L:$L,'Leave Management'!$C:$C,Detail!$A362,'Leave Management'!$B:$B,Detail!C$1)</f>
        <v>0</v>
      </c>
      <c r="D362" s="7">
        <f>SUMIFS('Leave Management'!$L:$L,'Leave Management'!$C:$C,Detail!$A362,'Leave Management'!$B:$B,Detail!D$1)</f>
        <v>0</v>
      </c>
      <c r="E362" s="7">
        <f>SUMIFS('Leave Management'!$L:$L,'Leave Management'!$C:$C,Detail!$A362,'Leave Management'!$B:$B,Detail!E$1)</f>
        <v>0</v>
      </c>
      <c r="F362" s="7">
        <f>SUMIFS('Leave Management'!$L:$L,'Leave Management'!$C:$C,Detail!$A362,'Leave Management'!$B:$B,Detail!F$1)</f>
        <v>0</v>
      </c>
      <c r="G362" s="7">
        <f>SUMIFS('Leave Management'!$L:$L,'Leave Management'!$C:$C,Detail!$A362,'Leave Management'!$B:$B,Detail!G$1)</f>
        <v>0</v>
      </c>
      <c r="H362" s="7">
        <f>SUMIFS('Leave Management'!$L:$L,'Leave Management'!$C:$C,Detail!$A362,'Leave Management'!$B:$B,Detail!H$1)</f>
        <v>0</v>
      </c>
      <c r="I362" s="7">
        <f>SUMIFS('Leave Management'!$L:$L,'Leave Management'!$C:$C,Detail!$A362,'Leave Management'!$B:$B,Detail!I$1)</f>
        <v>0</v>
      </c>
      <c r="J362" s="7">
        <f>SUMIFS('Leave Management'!$L:$L,'Leave Management'!$C:$C,Detail!$A362,'Leave Management'!$B:$B,Detail!J$1)</f>
        <v>0</v>
      </c>
      <c r="K362" s="7">
        <f>SUMIFS('Leave Management'!$L:$L,'Leave Management'!$C:$C,Detail!$A362,'Leave Management'!$B:$B,Detail!K$1)</f>
        <v>0</v>
      </c>
      <c r="L362" s="7">
        <f>SUMIFS('Leave Management'!$L:$L,'Leave Management'!$C:$C,Detail!$A362,'Leave Management'!$B:$B,Detail!L$1)</f>
        <v>0</v>
      </c>
      <c r="M362" s="7">
        <f>SUMIFS('Leave Management'!$L:$L,'Leave Management'!$C:$C,Detail!$A362,'Leave Management'!$B:$B,Detail!M$1)</f>
        <v>0</v>
      </c>
      <c r="N362" s="7">
        <f>SUMIFS('Leave Management'!$L:$L,'Leave Management'!$C:$C,Detail!$A362,'Leave Management'!$B:$B,Detail!N$1)</f>
        <v>0</v>
      </c>
      <c r="O362" s="7">
        <f t="shared" si="12"/>
        <v>12</v>
      </c>
    </row>
    <row r="363" spans="1:15" x14ac:dyDescent="0.25">
      <c r="A363" s="24">
        <v>43461</v>
      </c>
      <c r="B363" s="2" t="str">
        <f t="shared" si="11"/>
        <v>Thu</v>
      </c>
      <c r="C363" s="7">
        <f>SUMIFS('Leave Management'!$L:$L,'Leave Management'!$C:$C,Detail!$A363,'Leave Management'!$B:$B,Detail!C$1)</f>
        <v>0</v>
      </c>
      <c r="D363" s="7">
        <f>SUMIFS('Leave Management'!$L:$L,'Leave Management'!$C:$C,Detail!$A363,'Leave Management'!$B:$B,Detail!D$1)</f>
        <v>0</v>
      </c>
      <c r="E363" s="7">
        <f>SUMIFS('Leave Management'!$L:$L,'Leave Management'!$C:$C,Detail!$A363,'Leave Management'!$B:$B,Detail!E$1)</f>
        <v>0</v>
      </c>
      <c r="F363" s="7">
        <f>SUMIFS('Leave Management'!$L:$L,'Leave Management'!$C:$C,Detail!$A363,'Leave Management'!$B:$B,Detail!F$1)</f>
        <v>0</v>
      </c>
      <c r="G363" s="7">
        <f>SUMIFS('Leave Management'!$L:$L,'Leave Management'!$C:$C,Detail!$A363,'Leave Management'!$B:$B,Detail!G$1)</f>
        <v>0</v>
      </c>
      <c r="H363" s="7">
        <f>SUMIFS('Leave Management'!$L:$L,'Leave Management'!$C:$C,Detail!$A363,'Leave Management'!$B:$B,Detail!H$1)</f>
        <v>0</v>
      </c>
      <c r="I363" s="7">
        <f>SUMIFS('Leave Management'!$L:$L,'Leave Management'!$C:$C,Detail!$A363,'Leave Management'!$B:$B,Detail!I$1)</f>
        <v>0</v>
      </c>
      <c r="J363" s="7">
        <f>SUMIFS('Leave Management'!$L:$L,'Leave Management'!$C:$C,Detail!$A363,'Leave Management'!$B:$B,Detail!J$1)</f>
        <v>0</v>
      </c>
      <c r="K363" s="7">
        <f>SUMIFS('Leave Management'!$L:$L,'Leave Management'!$C:$C,Detail!$A363,'Leave Management'!$B:$B,Detail!K$1)</f>
        <v>0</v>
      </c>
      <c r="L363" s="7">
        <f>SUMIFS('Leave Management'!$L:$L,'Leave Management'!$C:$C,Detail!$A363,'Leave Management'!$B:$B,Detail!L$1)</f>
        <v>0</v>
      </c>
      <c r="M363" s="7">
        <f>SUMIFS('Leave Management'!$L:$L,'Leave Management'!$C:$C,Detail!$A363,'Leave Management'!$B:$B,Detail!M$1)</f>
        <v>0</v>
      </c>
      <c r="N363" s="7">
        <f>SUMIFS('Leave Management'!$L:$L,'Leave Management'!$C:$C,Detail!$A363,'Leave Management'!$B:$B,Detail!N$1)</f>
        <v>0</v>
      </c>
      <c r="O363" s="7">
        <f t="shared" si="12"/>
        <v>12</v>
      </c>
    </row>
    <row r="364" spans="1:15" x14ac:dyDescent="0.25">
      <c r="A364" s="24">
        <v>43462</v>
      </c>
      <c r="B364" s="2" t="str">
        <f t="shared" si="11"/>
        <v>Fri</v>
      </c>
      <c r="C364" s="7">
        <f>SUMIFS('Leave Management'!$L:$L,'Leave Management'!$C:$C,Detail!$A364,'Leave Management'!$B:$B,Detail!C$1)</f>
        <v>0</v>
      </c>
      <c r="D364" s="7">
        <f>SUMIFS('Leave Management'!$L:$L,'Leave Management'!$C:$C,Detail!$A364,'Leave Management'!$B:$B,Detail!D$1)</f>
        <v>0</v>
      </c>
      <c r="E364" s="7">
        <f>SUMIFS('Leave Management'!$L:$L,'Leave Management'!$C:$C,Detail!$A364,'Leave Management'!$B:$B,Detail!E$1)</f>
        <v>0</v>
      </c>
      <c r="F364" s="7">
        <f>SUMIFS('Leave Management'!$L:$L,'Leave Management'!$C:$C,Detail!$A364,'Leave Management'!$B:$B,Detail!F$1)</f>
        <v>0</v>
      </c>
      <c r="G364" s="7">
        <f>SUMIFS('Leave Management'!$L:$L,'Leave Management'!$C:$C,Detail!$A364,'Leave Management'!$B:$B,Detail!G$1)</f>
        <v>0</v>
      </c>
      <c r="H364" s="7">
        <f>SUMIFS('Leave Management'!$L:$L,'Leave Management'!$C:$C,Detail!$A364,'Leave Management'!$B:$B,Detail!H$1)</f>
        <v>0</v>
      </c>
      <c r="I364" s="7">
        <f>SUMIFS('Leave Management'!$L:$L,'Leave Management'!$C:$C,Detail!$A364,'Leave Management'!$B:$B,Detail!I$1)</f>
        <v>0</v>
      </c>
      <c r="J364" s="7">
        <f>SUMIFS('Leave Management'!$L:$L,'Leave Management'!$C:$C,Detail!$A364,'Leave Management'!$B:$B,Detail!J$1)</f>
        <v>0</v>
      </c>
      <c r="K364" s="7">
        <f>SUMIFS('Leave Management'!$L:$L,'Leave Management'!$C:$C,Detail!$A364,'Leave Management'!$B:$B,Detail!K$1)</f>
        <v>0</v>
      </c>
      <c r="L364" s="7">
        <f>SUMIFS('Leave Management'!$L:$L,'Leave Management'!$C:$C,Detail!$A364,'Leave Management'!$B:$B,Detail!L$1)</f>
        <v>0</v>
      </c>
      <c r="M364" s="7">
        <f>SUMIFS('Leave Management'!$L:$L,'Leave Management'!$C:$C,Detail!$A364,'Leave Management'!$B:$B,Detail!M$1)</f>
        <v>0</v>
      </c>
      <c r="N364" s="7">
        <f>SUMIFS('Leave Management'!$L:$L,'Leave Management'!$C:$C,Detail!$A364,'Leave Management'!$B:$B,Detail!N$1)</f>
        <v>0</v>
      </c>
      <c r="O364" s="7">
        <f t="shared" si="12"/>
        <v>12</v>
      </c>
    </row>
    <row r="365" spans="1:15" x14ac:dyDescent="0.25">
      <c r="A365" s="24">
        <v>43463</v>
      </c>
      <c r="B365" s="2" t="str">
        <f t="shared" si="11"/>
        <v>Sat</v>
      </c>
      <c r="C365" s="7">
        <f>SUMIFS('Leave Management'!$L:$L,'Leave Management'!$C:$C,Detail!$A365,'Leave Management'!$B:$B,Detail!C$1)</f>
        <v>0</v>
      </c>
      <c r="D365" s="7">
        <f>SUMIFS('Leave Management'!$L:$L,'Leave Management'!$C:$C,Detail!$A365,'Leave Management'!$B:$B,Detail!D$1)</f>
        <v>0</v>
      </c>
      <c r="E365" s="7">
        <f>SUMIFS('Leave Management'!$L:$L,'Leave Management'!$C:$C,Detail!$A365,'Leave Management'!$B:$B,Detail!E$1)</f>
        <v>0</v>
      </c>
      <c r="F365" s="7">
        <f>SUMIFS('Leave Management'!$L:$L,'Leave Management'!$C:$C,Detail!$A365,'Leave Management'!$B:$B,Detail!F$1)</f>
        <v>0</v>
      </c>
      <c r="G365" s="7">
        <f>SUMIFS('Leave Management'!$L:$L,'Leave Management'!$C:$C,Detail!$A365,'Leave Management'!$B:$B,Detail!G$1)</f>
        <v>0</v>
      </c>
      <c r="H365" s="7">
        <f>SUMIFS('Leave Management'!$L:$L,'Leave Management'!$C:$C,Detail!$A365,'Leave Management'!$B:$B,Detail!H$1)</f>
        <v>0</v>
      </c>
      <c r="I365" s="7">
        <f>SUMIFS('Leave Management'!$L:$L,'Leave Management'!$C:$C,Detail!$A365,'Leave Management'!$B:$B,Detail!I$1)</f>
        <v>0</v>
      </c>
      <c r="J365" s="7">
        <f>SUMIFS('Leave Management'!$L:$L,'Leave Management'!$C:$C,Detail!$A365,'Leave Management'!$B:$B,Detail!J$1)</f>
        <v>0</v>
      </c>
      <c r="K365" s="7">
        <f>SUMIFS('Leave Management'!$L:$L,'Leave Management'!$C:$C,Detail!$A365,'Leave Management'!$B:$B,Detail!K$1)</f>
        <v>0</v>
      </c>
      <c r="L365" s="7">
        <f>SUMIFS('Leave Management'!$L:$L,'Leave Management'!$C:$C,Detail!$A365,'Leave Management'!$B:$B,Detail!L$1)</f>
        <v>0</v>
      </c>
      <c r="M365" s="7">
        <f>SUMIFS('Leave Management'!$L:$L,'Leave Management'!$C:$C,Detail!$A365,'Leave Management'!$B:$B,Detail!M$1)</f>
        <v>0</v>
      </c>
      <c r="N365" s="7">
        <f>SUMIFS('Leave Management'!$L:$L,'Leave Management'!$C:$C,Detail!$A365,'Leave Management'!$B:$B,Detail!N$1)</f>
        <v>0</v>
      </c>
      <c r="O365" s="7">
        <f t="shared" si="12"/>
        <v>12</v>
      </c>
    </row>
    <row r="366" spans="1:15" x14ac:dyDescent="0.25">
      <c r="A366" s="24">
        <v>43464</v>
      </c>
      <c r="B366" s="2" t="str">
        <f t="shared" si="11"/>
        <v>Sun</v>
      </c>
      <c r="C366" s="7">
        <f>SUMIFS('Leave Management'!$L:$L,'Leave Management'!$C:$C,Detail!$A366,'Leave Management'!$B:$B,Detail!C$1)</f>
        <v>0</v>
      </c>
      <c r="D366" s="7">
        <f>SUMIFS('Leave Management'!$L:$L,'Leave Management'!$C:$C,Detail!$A366,'Leave Management'!$B:$B,Detail!D$1)</f>
        <v>0</v>
      </c>
      <c r="E366" s="7">
        <f>SUMIFS('Leave Management'!$L:$L,'Leave Management'!$C:$C,Detail!$A366,'Leave Management'!$B:$B,Detail!E$1)</f>
        <v>0</v>
      </c>
      <c r="F366" s="7">
        <f>SUMIFS('Leave Management'!$L:$L,'Leave Management'!$C:$C,Detail!$A366,'Leave Management'!$B:$B,Detail!F$1)</f>
        <v>0</v>
      </c>
      <c r="G366" s="7">
        <f>SUMIFS('Leave Management'!$L:$L,'Leave Management'!$C:$C,Detail!$A366,'Leave Management'!$B:$B,Detail!G$1)</f>
        <v>0</v>
      </c>
      <c r="H366" s="7">
        <f>SUMIFS('Leave Management'!$L:$L,'Leave Management'!$C:$C,Detail!$A366,'Leave Management'!$B:$B,Detail!H$1)</f>
        <v>0</v>
      </c>
      <c r="I366" s="7">
        <f>SUMIFS('Leave Management'!$L:$L,'Leave Management'!$C:$C,Detail!$A366,'Leave Management'!$B:$B,Detail!I$1)</f>
        <v>0</v>
      </c>
      <c r="J366" s="7">
        <f>SUMIFS('Leave Management'!$L:$L,'Leave Management'!$C:$C,Detail!$A366,'Leave Management'!$B:$B,Detail!J$1)</f>
        <v>0</v>
      </c>
      <c r="K366" s="7">
        <f>SUMIFS('Leave Management'!$L:$L,'Leave Management'!$C:$C,Detail!$A366,'Leave Management'!$B:$B,Detail!K$1)</f>
        <v>0</v>
      </c>
      <c r="L366" s="7">
        <f>SUMIFS('Leave Management'!$L:$L,'Leave Management'!$C:$C,Detail!$A366,'Leave Management'!$B:$B,Detail!L$1)</f>
        <v>0</v>
      </c>
      <c r="M366" s="7">
        <f>SUMIFS('Leave Management'!$L:$L,'Leave Management'!$C:$C,Detail!$A366,'Leave Management'!$B:$B,Detail!M$1)</f>
        <v>0</v>
      </c>
      <c r="N366" s="7">
        <f>SUMIFS('Leave Management'!$L:$L,'Leave Management'!$C:$C,Detail!$A366,'Leave Management'!$B:$B,Detail!N$1)</f>
        <v>0</v>
      </c>
      <c r="O366" s="7">
        <f t="shared" si="12"/>
        <v>12</v>
      </c>
    </row>
    <row r="367" spans="1:15" x14ac:dyDescent="0.25">
      <c r="A367" s="24">
        <v>43465</v>
      </c>
      <c r="B367" s="2" t="str">
        <f t="shared" si="11"/>
        <v>Mon</v>
      </c>
      <c r="C367" s="7">
        <f>SUMIFS('Leave Management'!$L:$L,'Leave Management'!$C:$C,Detail!$A367,'Leave Management'!$B:$B,Detail!C$1)</f>
        <v>0</v>
      </c>
      <c r="D367" s="7">
        <f>SUMIFS('Leave Management'!$L:$L,'Leave Management'!$C:$C,Detail!$A367,'Leave Management'!$B:$B,Detail!D$1)</f>
        <v>0</v>
      </c>
      <c r="E367" s="7">
        <f>SUMIFS('Leave Management'!$L:$L,'Leave Management'!$C:$C,Detail!$A367,'Leave Management'!$B:$B,Detail!E$1)</f>
        <v>0</v>
      </c>
      <c r="F367" s="7">
        <f>SUMIFS('Leave Management'!$L:$L,'Leave Management'!$C:$C,Detail!$A367,'Leave Management'!$B:$B,Detail!F$1)</f>
        <v>0</v>
      </c>
      <c r="G367" s="7">
        <f>SUMIFS('Leave Management'!$L:$L,'Leave Management'!$C:$C,Detail!$A367,'Leave Management'!$B:$B,Detail!G$1)</f>
        <v>0</v>
      </c>
      <c r="H367" s="7">
        <f>SUMIFS('Leave Management'!$L:$L,'Leave Management'!$C:$C,Detail!$A367,'Leave Management'!$B:$B,Detail!H$1)</f>
        <v>0</v>
      </c>
      <c r="I367" s="7">
        <f>SUMIFS('Leave Management'!$L:$L,'Leave Management'!$C:$C,Detail!$A367,'Leave Management'!$B:$B,Detail!I$1)</f>
        <v>0</v>
      </c>
      <c r="J367" s="7">
        <f>SUMIFS('Leave Management'!$L:$L,'Leave Management'!$C:$C,Detail!$A367,'Leave Management'!$B:$B,Detail!J$1)</f>
        <v>0</v>
      </c>
      <c r="K367" s="7">
        <f>SUMIFS('Leave Management'!$L:$L,'Leave Management'!$C:$C,Detail!$A367,'Leave Management'!$B:$B,Detail!K$1)</f>
        <v>0</v>
      </c>
      <c r="L367" s="7">
        <f>SUMIFS('Leave Management'!$L:$L,'Leave Management'!$C:$C,Detail!$A367,'Leave Management'!$B:$B,Detail!L$1)</f>
        <v>0</v>
      </c>
      <c r="M367" s="7">
        <f>SUMIFS('Leave Management'!$L:$L,'Leave Management'!$C:$C,Detail!$A367,'Leave Management'!$B:$B,Detail!M$1)</f>
        <v>0</v>
      </c>
      <c r="N367" s="7">
        <f>SUMIFS('Leave Management'!$L:$L,'Leave Management'!$C:$C,Detail!$A367,'Leave Management'!$B:$B,Detail!N$1)</f>
        <v>0</v>
      </c>
      <c r="O367" s="7">
        <f t="shared" si="12"/>
        <v>12</v>
      </c>
    </row>
    <row r="368" spans="1:15" x14ac:dyDescent="0.25">
      <c r="A368" s="24">
        <v>43466</v>
      </c>
      <c r="B368" s="2" t="str">
        <f t="shared" si="11"/>
        <v>Tue</v>
      </c>
      <c r="C368" s="7">
        <f>SUMIFS('Leave Management'!$L:$L,'Leave Management'!$C:$C,Detail!$A368,'Leave Management'!$B:$B,Detail!C$1)</f>
        <v>0</v>
      </c>
      <c r="D368" s="7">
        <f>SUMIFS('Leave Management'!$L:$L,'Leave Management'!$C:$C,Detail!$A368,'Leave Management'!$B:$B,Detail!D$1)</f>
        <v>0</v>
      </c>
      <c r="E368" s="7">
        <f>SUMIFS('Leave Management'!$L:$L,'Leave Management'!$C:$C,Detail!$A368,'Leave Management'!$B:$B,Detail!E$1)</f>
        <v>0</v>
      </c>
      <c r="F368" s="7">
        <f>SUMIFS('Leave Management'!$L:$L,'Leave Management'!$C:$C,Detail!$A368,'Leave Management'!$B:$B,Detail!F$1)</f>
        <v>0</v>
      </c>
      <c r="G368" s="7">
        <f>SUMIFS('Leave Management'!$L:$L,'Leave Management'!$C:$C,Detail!$A368,'Leave Management'!$B:$B,Detail!G$1)</f>
        <v>0</v>
      </c>
      <c r="H368" s="7">
        <f>SUMIFS('Leave Management'!$L:$L,'Leave Management'!$C:$C,Detail!$A368,'Leave Management'!$B:$B,Detail!H$1)</f>
        <v>0</v>
      </c>
      <c r="I368" s="7">
        <f>SUMIFS('Leave Management'!$L:$L,'Leave Management'!$C:$C,Detail!$A368,'Leave Management'!$B:$B,Detail!I$1)</f>
        <v>0</v>
      </c>
      <c r="J368" s="7">
        <f>SUMIFS('Leave Management'!$L:$L,'Leave Management'!$C:$C,Detail!$A368,'Leave Management'!$B:$B,Detail!J$1)</f>
        <v>0</v>
      </c>
      <c r="K368" s="7">
        <f>SUMIFS('Leave Management'!$L:$L,'Leave Management'!$C:$C,Detail!$A368,'Leave Management'!$B:$B,Detail!K$1)</f>
        <v>0</v>
      </c>
      <c r="L368" s="7">
        <f>SUMIFS('Leave Management'!$L:$L,'Leave Management'!$C:$C,Detail!$A368,'Leave Management'!$B:$B,Detail!L$1)</f>
        <v>0</v>
      </c>
      <c r="M368" s="7">
        <f>SUMIFS('Leave Management'!$L:$L,'Leave Management'!$C:$C,Detail!$A368,'Leave Management'!$B:$B,Detail!M$1)</f>
        <v>0</v>
      </c>
      <c r="N368" s="7">
        <f>SUMIFS('Leave Management'!$L:$L,'Leave Management'!$C:$C,Detail!$A368,'Leave Management'!$B:$B,Detail!N$1)</f>
        <v>0</v>
      </c>
      <c r="O368" s="7">
        <f t="shared" si="12"/>
        <v>12</v>
      </c>
    </row>
    <row r="369" spans="1:15" x14ac:dyDescent="0.25">
      <c r="A369" s="24">
        <v>43467</v>
      </c>
      <c r="B369" s="2" t="str">
        <f t="shared" si="11"/>
        <v>Wed</v>
      </c>
      <c r="C369" s="7">
        <f>SUMIFS('Leave Management'!$L:$L,'Leave Management'!$C:$C,Detail!$A369,'Leave Management'!$B:$B,Detail!C$1)</f>
        <v>0</v>
      </c>
      <c r="D369" s="7">
        <f>SUMIFS('Leave Management'!$L:$L,'Leave Management'!$C:$C,Detail!$A369,'Leave Management'!$B:$B,Detail!D$1)</f>
        <v>0</v>
      </c>
      <c r="E369" s="7">
        <f>SUMIFS('Leave Management'!$L:$L,'Leave Management'!$C:$C,Detail!$A369,'Leave Management'!$B:$B,Detail!E$1)</f>
        <v>0</v>
      </c>
      <c r="F369" s="7">
        <f>SUMIFS('Leave Management'!$L:$L,'Leave Management'!$C:$C,Detail!$A369,'Leave Management'!$B:$B,Detail!F$1)</f>
        <v>0</v>
      </c>
      <c r="G369" s="7">
        <f>SUMIFS('Leave Management'!$L:$L,'Leave Management'!$C:$C,Detail!$A369,'Leave Management'!$B:$B,Detail!G$1)</f>
        <v>0</v>
      </c>
      <c r="H369" s="7">
        <f>SUMIFS('Leave Management'!$L:$L,'Leave Management'!$C:$C,Detail!$A369,'Leave Management'!$B:$B,Detail!H$1)</f>
        <v>0</v>
      </c>
      <c r="I369" s="7">
        <f>SUMIFS('Leave Management'!$L:$L,'Leave Management'!$C:$C,Detail!$A369,'Leave Management'!$B:$B,Detail!I$1)</f>
        <v>0</v>
      </c>
      <c r="J369" s="7">
        <f>SUMIFS('Leave Management'!$L:$L,'Leave Management'!$C:$C,Detail!$A369,'Leave Management'!$B:$B,Detail!J$1)</f>
        <v>0</v>
      </c>
      <c r="K369" s="7">
        <f>SUMIFS('Leave Management'!$L:$L,'Leave Management'!$C:$C,Detail!$A369,'Leave Management'!$B:$B,Detail!K$1)</f>
        <v>0</v>
      </c>
      <c r="L369" s="7">
        <f>SUMIFS('Leave Management'!$L:$L,'Leave Management'!$C:$C,Detail!$A369,'Leave Management'!$B:$B,Detail!L$1)</f>
        <v>0</v>
      </c>
      <c r="M369" s="7">
        <f>SUMIFS('Leave Management'!$L:$L,'Leave Management'!$C:$C,Detail!$A369,'Leave Management'!$B:$B,Detail!M$1)</f>
        <v>0</v>
      </c>
      <c r="N369" s="7">
        <f>SUMIFS('Leave Management'!$L:$L,'Leave Management'!$C:$C,Detail!$A369,'Leave Management'!$B:$B,Detail!N$1)</f>
        <v>0</v>
      </c>
      <c r="O369" s="7">
        <f t="shared" si="12"/>
        <v>12</v>
      </c>
    </row>
    <row r="370" spans="1:15" x14ac:dyDescent="0.25">
      <c r="A370" s="24">
        <v>43468</v>
      </c>
      <c r="B370" s="2" t="str">
        <f t="shared" si="11"/>
        <v>Thu</v>
      </c>
      <c r="C370" s="7">
        <f>SUMIFS('Leave Management'!$L:$L,'Leave Management'!$C:$C,Detail!$A370,'Leave Management'!$B:$B,Detail!C$1)</f>
        <v>0</v>
      </c>
      <c r="D370" s="7">
        <f>SUMIFS('Leave Management'!$L:$L,'Leave Management'!$C:$C,Detail!$A370,'Leave Management'!$B:$B,Detail!D$1)</f>
        <v>0</v>
      </c>
      <c r="E370" s="7">
        <f>SUMIFS('Leave Management'!$L:$L,'Leave Management'!$C:$C,Detail!$A370,'Leave Management'!$B:$B,Detail!E$1)</f>
        <v>0</v>
      </c>
      <c r="F370" s="7">
        <f>SUMIFS('Leave Management'!$L:$L,'Leave Management'!$C:$C,Detail!$A370,'Leave Management'!$B:$B,Detail!F$1)</f>
        <v>0</v>
      </c>
      <c r="G370" s="7">
        <f>SUMIFS('Leave Management'!$L:$L,'Leave Management'!$C:$C,Detail!$A370,'Leave Management'!$B:$B,Detail!G$1)</f>
        <v>0</v>
      </c>
      <c r="H370" s="7">
        <f>SUMIFS('Leave Management'!$L:$L,'Leave Management'!$C:$C,Detail!$A370,'Leave Management'!$B:$B,Detail!H$1)</f>
        <v>0</v>
      </c>
      <c r="I370" s="7">
        <f>SUMIFS('Leave Management'!$L:$L,'Leave Management'!$C:$C,Detail!$A370,'Leave Management'!$B:$B,Detail!I$1)</f>
        <v>0</v>
      </c>
      <c r="J370" s="7">
        <f>SUMIFS('Leave Management'!$L:$L,'Leave Management'!$C:$C,Detail!$A370,'Leave Management'!$B:$B,Detail!J$1)</f>
        <v>0</v>
      </c>
      <c r="K370" s="7">
        <f>SUMIFS('Leave Management'!$L:$L,'Leave Management'!$C:$C,Detail!$A370,'Leave Management'!$B:$B,Detail!K$1)</f>
        <v>0</v>
      </c>
      <c r="L370" s="7">
        <f>SUMIFS('Leave Management'!$L:$L,'Leave Management'!$C:$C,Detail!$A370,'Leave Management'!$B:$B,Detail!L$1)</f>
        <v>0</v>
      </c>
      <c r="M370" s="7">
        <f>SUMIFS('Leave Management'!$L:$L,'Leave Management'!$C:$C,Detail!$A370,'Leave Management'!$B:$B,Detail!M$1)</f>
        <v>0</v>
      </c>
      <c r="N370" s="7">
        <f>SUMIFS('Leave Management'!$L:$L,'Leave Management'!$C:$C,Detail!$A370,'Leave Management'!$B:$B,Detail!N$1)</f>
        <v>0</v>
      </c>
      <c r="O370" s="7">
        <f t="shared" si="12"/>
        <v>12</v>
      </c>
    </row>
    <row r="371" spans="1:15" x14ac:dyDescent="0.25">
      <c r="A371" s="24">
        <v>43469</v>
      </c>
      <c r="B371" s="2" t="str">
        <f t="shared" si="11"/>
        <v>Fri</v>
      </c>
      <c r="C371" s="7">
        <f>SUMIFS('Leave Management'!$L:$L,'Leave Management'!$C:$C,Detail!$A371,'Leave Management'!$B:$B,Detail!C$1)</f>
        <v>0</v>
      </c>
      <c r="D371" s="7">
        <f>SUMIFS('Leave Management'!$L:$L,'Leave Management'!$C:$C,Detail!$A371,'Leave Management'!$B:$B,Detail!D$1)</f>
        <v>0</v>
      </c>
      <c r="E371" s="7">
        <f>SUMIFS('Leave Management'!$L:$L,'Leave Management'!$C:$C,Detail!$A371,'Leave Management'!$B:$B,Detail!E$1)</f>
        <v>0</v>
      </c>
      <c r="F371" s="7">
        <f>SUMIFS('Leave Management'!$L:$L,'Leave Management'!$C:$C,Detail!$A371,'Leave Management'!$B:$B,Detail!F$1)</f>
        <v>0</v>
      </c>
      <c r="G371" s="7">
        <f>SUMIFS('Leave Management'!$L:$L,'Leave Management'!$C:$C,Detail!$A371,'Leave Management'!$B:$B,Detail!G$1)</f>
        <v>0</v>
      </c>
      <c r="H371" s="7">
        <f>SUMIFS('Leave Management'!$L:$L,'Leave Management'!$C:$C,Detail!$A371,'Leave Management'!$B:$B,Detail!H$1)</f>
        <v>0</v>
      </c>
      <c r="I371" s="7">
        <f>SUMIFS('Leave Management'!$L:$L,'Leave Management'!$C:$C,Detail!$A371,'Leave Management'!$B:$B,Detail!I$1)</f>
        <v>0</v>
      </c>
      <c r="J371" s="7">
        <f>SUMIFS('Leave Management'!$L:$L,'Leave Management'!$C:$C,Detail!$A371,'Leave Management'!$B:$B,Detail!J$1)</f>
        <v>0</v>
      </c>
      <c r="K371" s="7">
        <f>SUMIFS('Leave Management'!$L:$L,'Leave Management'!$C:$C,Detail!$A371,'Leave Management'!$B:$B,Detail!K$1)</f>
        <v>0</v>
      </c>
      <c r="L371" s="7">
        <f>SUMIFS('Leave Management'!$L:$L,'Leave Management'!$C:$C,Detail!$A371,'Leave Management'!$B:$B,Detail!L$1)</f>
        <v>0</v>
      </c>
      <c r="M371" s="7">
        <f>SUMIFS('Leave Management'!$L:$L,'Leave Management'!$C:$C,Detail!$A371,'Leave Management'!$B:$B,Detail!M$1)</f>
        <v>0</v>
      </c>
      <c r="N371" s="7">
        <f>SUMIFS('Leave Management'!$L:$L,'Leave Management'!$C:$C,Detail!$A371,'Leave Management'!$B:$B,Detail!N$1)</f>
        <v>0</v>
      </c>
      <c r="O371" s="7">
        <f t="shared" si="12"/>
        <v>12</v>
      </c>
    </row>
    <row r="372" spans="1:15" x14ac:dyDescent="0.25">
      <c r="A372" s="24">
        <v>43470</v>
      </c>
      <c r="B372" s="2" t="str">
        <f t="shared" si="11"/>
        <v>Sat</v>
      </c>
      <c r="C372" s="7">
        <f>SUMIFS('Leave Management'!$L:$L,'Leave Management'!$C:$C,Detail!$A372,'Leave Management'!$B:$B,Detail!C$1)</f>
        <v>0</v>
      </c>
      <c r="D372" s="7">
        <f>SUMIFS('Leave Management'!$L:$L,'Leave Management'!$C:$C,Detail!$A372,'Leave Management'!$B:$B,Detail!D$1)</f>
        <v>0</v>
      </c>
      <c r="E372" s="7">
        <f>SUMIFS('Leave Management'!$L:$L,'Leave Management'!$C:$C,Detail!$A372,'Leave Management'!$B:$B,Detail!E$1)</f>
        <v>0</v>
      </c>
      <c r="F372" s="7">
        <f>SUMIFS('Leave Management'!$L:$L,'Leave Management'!$C:$C,Detail!$A372,'Leave Management'!$B:$B,Detail!F$1)</f>
        <v>0</v>
      </c>
      <c r="G372" s="7">
        <f>SUMIFS('Leave Management'!$L:$L,'Leave Management'!$C:$C,Detail!$A372,'Leave Management'!$B:$B,Detail!G$1)</f>
        <v>0</v>
      </c>
      <c r="H372" s="7">
        <f>SUMIFS('Leave Management'!$L:$L,'Leave Management'!$C:$C,Detail!$A372,'Leave Management'!$B:$B,Detail!H$1)</f>
        <v>0</v>
      </c>
      <c r="I372" s="7">
        <f>SUMIFS('Leave Management'!$L:$L,'Leave Management'!$C:$C,Detail!$A372,'Leave Management'!$B:$B,Detail!I$1)</f>
        <v>0</v>
      </c>
      <c r="J372" s="7">
        <f>SUMIFS('Leave Management'!$L:$L,'Leave Management'!$C:$C,Detail!$A372,'Leave Management'!$B:$B,Detail!J$1)</f>
        <v>0</v>
      </c>
      <c r="K372" s="7">
        <f>SUMIFS('Leave Management'!$L:$L,'Leave Management'!$C:$C,Detail!$A372,'Leave Management'!$B:$B,Detail!K$1)</f>
        <v>0</v>
      </c>
      <c r="L372" s="7">
        <f>SUMIFS('Leave Management'!$L:$L,'Leave Management'!$C:$C,Detail!$A372,'Leave Management'!$B:$B,Detail!L$1)</f>
        <v>0</v>
      </c>
      <c r="M372" s="7">
        <f>SUMIFS('Leave Management'!$L:$L,'Leave Management'!$C:$C,Detail!$A372,'Leave Management'!$B:$B,Detail!M$1)</f>
        <v>0</v>
      </c>
      <c r="N372" s="7">
        <f>SUMIFS('Leave Management'!$L:$L,'Leave Management'!$C:$C,Detail!$A372,'Leave Management'!$B:$B,Detail!N$1)</f>
        <v>0</v>
      </c>
      <c r="O372" s="7">
        <f t="shared" si="12"/>
        <v>12</v>
      </c>
    </row>
    <row r="373" spans="1:15" x14ac:dyDescent="0.25">
      <c r="A373" s="24">
        <v>43471</v>
      </c>
      <c r="B373" s="2" t="str">
        <f t="shared" si="11"/>
        <v>Sun</v>
      </c>
      <c r="C373" s="7">
        <f>SUMIFS('Leave Management'!$L:$L,'Leave Management'!$C:$C,Detail!$A373,'Leave Management'!$B:$B,Detail!C$1)</f>
        <v>0</v>
      </c>
      <c r="D373" s="7">
        <f>SUMIFS('Leave Management'!$L:$L,'Leave Management'!$C:$C,Detail!$A373,'Leave Management'!$B:$B,Detail!D$1)</f>
        <v>0</v>
      </c>
      <c r="E373" s="7">
        <f>SUMIFS('Leave Management'!$L:$L,'Leave Management'!$C:$C,Detail!$A373,'Leave Management'!$B:$B,Detail!E$1)</f>
        <v>0</v>
      </c>
      <c r="F373" s="7">
        <f>SUMIFS('Leave Management'!$L:$L,'Leave Management'!$C:$C,Detail!$A373,'Leave Management'!$B:$B,Detail!F$1)</f>
        <v>0</v>
      </c>
      <c r="G373" s="7">
        <f>SUMIFS('Leave Management'!$L:$L,'Leave Management'!$C:$C,Detail!$A373,'Leave Management'!$B:$B,Detail!G$1)</f>
        <v>0</v>
      </c>
      <c r="H373" s="7">
        <f>SUMIFS('Leave Management'!$L:$L,'Leave Management'!$C:$C,Detail!$A373,'Leave Management'!$B:$B,Detail!H$1)</f>
        <v>0</v>
      </c>
      <c r="I373" s="7">
        <f>SUMIFS('Leave Management'!$L:$L,'Leave Management'!$C:$C,Detail!$A373,'Leave Management'!$B:$B,Detail!I$1)</f>
        <v>0</v>
      </c>
      <c r="J373" s="7">
        <f>SUMIFS('Leave Management'!$L:$L,'Leave Management'!$C:$C,Detail!$A373,'Leave Management'!$B:$B,Detail!J$1)</f>
        <v>0</v>
      </c>
      <c r="K373" s="7">
        <f>SUMIFS('Leave Management'!$L:$L,'Leave Management'!$C:$C,Detail!$A373,'Leave Management'!$B:$B,Detail!K$1)</f>
        <v>0</v>
      </c>
      <c r="L373" s="7">
        <f>SUMIFS('Leave Management'!$L:$L,'Leave Management'!$C:$C,Detail!$A373,'Leave Management'!$B:$B,Detail!L$1)</f>
        <v>0</v>
      </c>
      <c r="M373" s="7">
        <f>SUMIFS('Leave Management'!$L:$L,'Leave Management'!$C:$C,Detail!$A373,'Leave Management'!$B:$B,Detail!M$1)</f>
        <v>0</v>
      </c>
      <c r="N373" s="7">
        <f>SUMIFS('Leave Management'!$L:$L,'Leave Management'!$C:$C,Detail!$A373,'Leave Management'!$B:$B,Detail!N$1)</f>
        <v>0</v>
      </c>
      <c r="O373" s="7">
        <f t="shared" si="12"/>
        <v>12</v>
      </c>
    </row>
    <row r="374" spans="1:15" x14ac:dyDescent="0.25">
      <c r="A374" s="24">
        <v>43472</v>
      </c>
      <c r="B374" s="2" t="str">
        <f t="shared" si="11"/>
        <v>Mon</v>
      </c>
      <c r="C374" s="7">
        <f>SUMIFS('Leave Management'!$L:$L,'Leave Management'!$C:$C,Detail!$A374,'Leave Management'!$B:$B,Detail!C$1)</f>
        <v>0</v>
      </c>
      <c r="D374" s="7">
        <f>SUMIFS('Leave Management'!$L:$L,'Leave Management'!$C:$C,Detail!$A374,'Leave Management'!$B:$B,Detail!D$1)</f>
        <v>0</v>
      </c>
      <c r="E374" s="7">
        <f>SUMIFS('Leave Management'!$L:$L,'Leave Management'!$C:$C,Detail!$A374,'Leave Management'!$B:$B,Detail!E$1)</f>
        <v>0</v>
      </c>
      <c r="F374" s="7">
        <f>SUMIFS('Leave Management'!$L:$L,'Leave Management'!$C:$C,Detail!$A374,'Leave Management'!$B:$B,Detail!F$1)</f>
        <v>0</v>
      </c>
      <c r="G374" s="7">
        <f>SUMIFS('Leave Management'!$L:$L,'Leave Management'!$C:$C,Detail!$A374,'Leave Management'!$B:$B,Detail!G$1)</f>
        <v>0</v>
      </c>
      <c r="H374" s="7">
        <f>SUMIFS('Leave Management'!$L:$L,'Leave Management'!$C:$C,Detail!$A374,'Leave Management'!$B:$B,Detail!H$1)</f>
        <v>1</v>
      </c>
      <c r="I374" s="7">
        <f>SUMIFS('Leave Management'!$L:$L,'Leave Management'!$C:$C,Detail!$A374,'Leave Management'!$B:$B,Detail!I$1)</f>
        <v>0</v>
      </c>
      <c r="J374" s="7">
        <f>SUMIFS('Leave Management'!$L:$L,'Leave Management'!$C:$C,Detail!$A374,'Leave Management'!$B:$B,Detail!J$1)</f>
        <v>0</v>
      </c>
      <c r="K374" s="7">
        <f>SUMIFS('Leave Management'!$L:$L,'Leave Management'!$C:$C,Detail!$A374,'Leave Management'!$B:$B,Detail!K$1)</f>
        <v>0</v>
      </c>
      <c r="L374" s="7">
        <f>SUMIFS('Leave Management'!$L:$L,'Leave Management'!$C:$C,Detail!$A374,'Leave Management'!$B:$B,Detail!L$1)</f>
        <v>0</v>
      </c>
      <c r="M374" s="7">
        <f>SUMIFS('Leave Management'!$L:$L,'Leave Management'!$C:$C,Detail!$A374,'Leave Management'!$B:$B,Detail!M$1)</f>
        <v>0</v>
      </c>
      <c r="N374" s="7">
        <f>SUMIFS('Leave Management'!$L:$L,'Leave Management'!$C:$C,Detail!$A374,'Leave Management'!$B:$B,Detail!N$1)</f>
        <v>0</v>
      </c>
      <c r="O374" s="7">
        <f t="shared" si="12"/>
        <v>11</v>
      </c>
    </row>
    <row r="375" spans="1:15" x14ac:dyDescent="0.25">
      <c r="A375" s="24">
        <v>43473</v>
      </c>
      <c r="B375" s="2" t="str">
        <f t="shared" si="11"/>
        <v>Tue</v>
      </c>
      <c r="C375" s="7">
        <f>SUMIFS('Leave Management'!$L:$L,'Leave Management'!$C:$C,Detail!$A375,'Leave Management'!$B:$B,Detail!C$1)</f>
        <v>0</v>
      </c>
      <c r="D375" s="7">
        <f>SUMIFS('Leave Management'!$L:$L,'Leave Management'!$C:$C,Detail!$A375,'Leave Management'!$B:$B,Detail!D$1)</f>
        <v>0</v>
      </c>
      <c r="E375" s="7">
        <f>SUMIFS('Leave Management'!$L:$L,'Leave Management'!$C:$C,Detail!$A375,'Leave Management'!$B:$B,Detail!E$1)</f>
        <v>0</v>
      </c>
      <c r="F375" s="7">
        <f>SUMIFS('Leave Management'!$L:$L,'Leave Management'!$C:$C,Detail!$A375,'Leave Management'!$B:$B,Detail!F$1)</f>
        <v>0</v>
      </c>
      <c r="G375" s="7">
        <f>SUMIFS('Leave Management'!$L:$L,'Leave Management'!$C:$C,Detail!$A375,'Leave Management'!$B:$B,Detail!G$1)</f>
        <v>0</v>
      </c>
      <c r="H375" s="7">
        <f>SUMIFS('Leave Management'!$L:$L,'Leave Management'!$C:$C,Detail!$A375,'Leave Management'!$B:$B,Detail!H$1)</f>
        <v>1</v>
      </c>
      <c r="I375" s="7">
        <f>SUMIFS('Leave Management'!$L:$L,'Leave Management'!$C:$C,Detail!$A375,'Leave Management'!$B:$B,Detail!I$1)</f>
        <v>0</v>
      </c>
      <c r="J375" s="7">
        <f>SUMIFS('Leave Management'!$L:$L,'Leave Management'!$C:$C,Detail!$A375,'Leave Management'!$B:$B,Detail!J$1)</f>
        <v>0</v>
      </c>
      <c r="K375" s="7">
        <f>SUMIFS('Leave Management'!$L:$L,'Leave Management'!$C:$C,Detail!$A375,'Leave Management'!$B:$B,Detail!K$1)</f>
        <v>0</v>
      </c>
      <c r="L375" s="7">
        <f>SUMIFS('Leave Management'!$L:$L,'Leave Management'!$C:$C,Detail!$A375,'Leave Management'!$B:$B,Detail!L$1)</f>
        <v>0</v>
      </c>
      <c r="M375" s="7">
        <f>SUMIFS('Leave Management'!$L:$L,'Leave Management'!$C:$C,Detail!$A375,'Leave Management'!$B:$B,Detail!M$1)</f>
        <v>0</v>
      </c>
      <c r="N375" s="7">
        <f>SUMIFS('Leave Management'!$L:$L,'Leave Management'!$C:$C,Detail!$A375,'Leave Management'!$B:$B,Detail!N$1)</f>
        <v>0</v>
      </c>
      <c r="O375" s="7">
        <f t="shared" si="12"/>
        <v>11</v>
      </c>
    </row>
    <row r="376" spans="1:15" x14ac:dyDescent="0.25">
      <c r="A376" s="24">
        <v>43474</v>
      </c>
      <c r="B376" s="2" t="str">
        <f t="shared" si="11"/>
        <v>Wed</v>
      </c>
      <c r="C376" s="7">
        <f>SUMIFS('Leave Management'!$L:$L,'Leave Management'!$C:$C,Detail!$A376,'Leave Management'!$B:$B,Detail!C$1)</f>
        <v>0</v>
      </c>
      <c r="D376" s="7">
        <f>SUMIFS('Leave Management'!$L:$L,'Leave Management'!$C:$C,Detail!$A376,'Leave Management'!$B:$B,Detail!D$1)</f>
        <v>0</v>
      </c>
      <c r="E376" s="7">
        <f>SUMIFS('Leave Management'!$L:$L,'Leave Management'!$C:$C,Detail!$A376,'Leave Management'!$B:$B,Detail!E$1)</f>
        <v>0</v>
      </c>
      <c r="F376" s="7">
        <f>SUMIFS('Leave Management'!$L:$L,'Leave Management'!$C:$C,Detail!$A376,'Leave Management'!$B:$B,Detail!F$1)</f>
        <v>0</v>
      </c>
      <c r="G376" s="7">
        <f>SUMIFS('Leave Management'!$L:$L,'Leave Management'!$C:$C,Detail!$A376,'Leave Management'!$B:$B,Detail!G$1)</f>
        <v>0</v>
      </c>
      <c r="H376" s="7">
        <f>SUMIFS('Leave Management'!$L:$L,'Leave Management'!$C:$C,Detail!$A376,'Leave Management'!$B:$B,Detail!H$1)</f>
        <v>0</v>
      </c>
      <c r="I376" s="7">
        <f>SUMIFS('Leave Management'!$L:$L,'Leave Management'!$C:$C,Detail!$A376,'Leave Management'!$B:$B,Detail!I$1)</f>
        <v>0</v>
      </c>
      <c r="J376" s="7">
        <f>SUMIFS('Leave Management'!$L:$L,'Leave Management'!$C:$C,Detail!$A376,'Leave Management'!$B:$B,Detail!J$1)</f>
        <v>0</v>
      </c>
      <c r="K376" s="7">
        <f>SUMIFS('Leave Management'!$L:$L,'Leave Management'!$C:$C,Detail!$A376,'Leave Management'!$B:$B,Detail!K$1)</f>
        <v>0</v>
      </c>
      <c r="L376" s="7">
        <f>SUMIFS('Leave Management'!$L:$L,'Leave Management'!$C:$C,Detail!$A376,'Leave Management'!$B:$B,Detail!L$1)</f>
        <v>0</v>
      </c>
      <c r="M376" s="7">
        <f>SUMIFS('Leave Management'!$L:$L,'Leave Management'!$C:$C,Detail!$A376,'Leave Management'!$B:$B,Detail!M$1)</f>
        <v>0</v>
      </c>
      <c r="N376" s="7">
        <f>SUMIFS('Leave Management'!$L:$L,'Leave Management'!$C:$C,Detail!$A376,'Leave Management'!$B:$B,Detail!N$1)</f>
        <v>0</v>
      </c>
      <c r="O376" s="7">
        <f t="shared" si="12"/>
        <v>12</v>
      </c>
    </row>
    <row r="377" spans="1:15" x14ac:dyDescent="0.25">
      <c r="A377" s="24">
        <v>43475</v>
      </c>
      <c r="B377" s="2" t="str">
        <f t="shared" si="11"/>
        <v>Thu</v>
      </c>
      <c r="C377" s="7">
        <f>SUMIFS('Leave Management'!$L:$L,'Leave Management'!$C:$C,Detail!$A377,'Leave Management'!$B:$B,Detail!C$1)</f>
        <v>0</v>
      </c>
      <c r="D377" s="7">
        <f>SUMIFS('Leave Management'!$L:$L,'Leave Management'!$C:$C,Detail!$A377,'Leave Management'!$B:$B,Detail!D$1)</f>
        <v>0</v>
      </c>
      <c r="E377" s="7">
        <f>SUMIFS('Leave Management'!$L:$L,'Leave Management'!$C:$C,Detail!$A377,'Leave Management'!$B:$B,Detail!E$1)</f>
        <v>0</v>
      </c>
      <c r="F377" s="7">
        <f>SUMIFS('Leave Management'!$L:$L,'Leave Management'!$C:$C,Detail!$A377,'Leave Management'!$B:$B,Detail!F$1)</f>
        <v>0</v>
      </c>
      <c r="G377" s="7">
        <f>SUMIFS('Leave Management'!$L:$L,'Leave Management'!$C:$C,Detail!$A377,'Leave Management'!$B:$B,Detail!G$1)</f>
        <v>0</v>
      </c>
      <c r="H377" s="7">
        <f>SUMIFS('Leave Management'!$L:$L,'Leave Management'!$C:$C,Detail!$A377,'Leave Management'!$B:$B,Detail!H$1)</f>
        <v>0</v>
      </c>
      <c r="I377" s="7">
        <f>SUMIFS('Leave Management'!$L:$L,'Leave Management'!$C:$C,Detail!$A377,'Leave Management'!$B:$B,Detail!I$1)</f>
        <v>0</v>
      </c>
      <c r="J377" s="7">
        <f>SUMIFS('Leave Management'!$L:$L,'Leave Management'!$C:$C,Detail!$A377,'Leave Management'!$B:$B,Detail!J$1)</f>
        <v>0</v>
      </c>
      <c r="K377" s="7">
        <f>SUMIFS('Leave Management'!$L:$L,'Leave Management'!$C:$C,Detail!$A377,'Leave Management'!$B:$B,Detail!K$1)</f>
        <v>0</v>
      </c>
      <c r="L377" s="7">
        <f>SUMIFS('Leave Management'!$L:$L,'Leave Management'!$C:$C,Detail!$A377,'Leave Management'!$B:$B,Detail!L$1)</f>
        <v>0</v>
      </c>
      <c r="M377" s="7">
        <f>SUMIFS('Leave Management'!$L:$L,'Leave Management'!$C:$C,Detail!$A377,'Leave Management'!$B:$B,Detail!M$1)</f>
        <v>0</v>
      </c>
      <c r="N377" s="7">
        <f>SUMIFS('Leave Management'!$L:$L,'Leave Management'!$C:$C,Detail!$A377,'Leave Management'!$B:$B,Detail!N$1)</f>
        <v>0</v>
      </c>
      <c r="O377" s="7">
        <f t="shared" si="12"/>
        <v>12</v>
      </c>
    </row>
    <row r="378" spans="1:15" x14ac:dyDescent="0.25">
      <c r="A378" s="24">
        <v>43476</v>
      </c>
      <c r="B378" s="2" t="str">
        <f t="shared" si="11"/>
        <v>Fri</v>
      </c>
      <c r="C378" s="7">
        <f>SUMIFS('Leave Management'!$L:$L,'Leave Management'!$C:$C,Detail!$A378,'Leave Management'!$B:$B,Detail!C$1)</f>
        <v>0</v>
      </c>
      <c r="D378" s="7">
        <f>SUMIFS('Leave Management'!$L:$L,'Leave Management'!$C:$C,Detail!$A378,'Leave Management'!$B:$B,Detail!D$1)</f>
        <v>0</v>
      </c>
      <c r="E378" s="7">
        <f>SUMIFS('Leave Management'!$L:$L,'Leave Management'!$C:$C,Detail!$A378,'Leave Management'!$B:$B,Detail!E$1)</f>
        <v>0</v>
      </c>
      <c r="F378" s="7">
        <f>SUMIFS('Leave Management'!$L:$L,'Leave Management'!$C:$C,Detail!$A378,'Leave Management'!$B:$B,Detail!F$1)</f>
        <v>0</v>
      </c>
      <c r="G378" s="7">
        <f>SUMIFS('Leave Management'!$L:$L,'Leave Management'!$C:$C,Detail!$A378,'Leave Management'!$B:$B,Detail!G$1)</f>
        <v>0</v>
      </c>
      <c r="H378" s="7">
        <f>SUMIFS('Leave Management'!$L:$L,'Leave Management'!$C:$C,Detail!$A378,'Leave Management'!$B:$B,Detail!H$1)</f>
        <v>0</v>
      </c>
      <c r="I378" s="7">
        <f>SUMIFS('Leave Management'!$L:$L,'Leave Management'!$C:$C,Detail!$A378,'Leave Management'!$B:$B,Detail!I$1)</f>
        <v>0</v>
      </c>
      <c r="J378" s="7">
        <f>SUMIFS('Leave Management'!$L:$L,'Leave Management'!$C:$C,Detail!$A378,'Leave Management'!$B:$B,Detail!J$1)</f>
        <v>0</v>
      </c>
      <c r="K378" s="7">
        <f>SUMIFS('Leave Management'!$L:$L,'Leave Management'!$C:$C,Detail!$A378,'Leave Management'!$B:$B,Detail!K$1)</f>
        <v>0</v>
      </c>
      <c r="L378" s="7">
        <f>SUMIFS('Leave Management'!$L:$L,'Leave Management'!$C:$C,Detail!$A378,'Leave Management'!$B:$B,Detail!L$1)</f>
        <v>0</v>
      </c>
      <c r="M378" s="7">
        <f>SUMIFS('Leave Management'!$L:$L,'Leave Management'!$C:$C,Detail!$A378,'Leave Management'!$B:$B,Detail!M$1)</f>
        <v>0</v>
      </c>
      <c r="N378" s="7">
        <f>SUMIFS('Leave Management'!$L:$L,'Leave Management'!$C:$C,Detail!$A378,'Leave Management'!$B:$B,Detail!N$1)</f>
        <v>0</v>
      </c>
      <c r="O378" s="7">
        <f t="shared" si="12"/>
        <v>12</v>
      </c>
    </row>
    <row r="379" spans="1:15" x14ac:dyDescent="0.25">
      <c r="A379" s="24">
        <v>43477</v>
      </c>
      <c r="B379" s="2" t="str">
        <f t="shared" si="11"/>
        <v>Sat</v>
      </c>
      <c r="C379" s="7">
        <f>SUMIFS('Leave Management'!$L:$L,'Leave Management'!$C:$C,Detail!$A379,'Leave Management'!$B:$B,Detail!C$1)</f>
        <v>0</v>
      </c>
      <c r="D379" s="7">
        <f>SUMIFS('Leave Management'!$L:$L,'Leave Management'!$C:$C,Detail!$A379,'Leave Management'!$B:$B,Detail!D$1)</f>
        <v>0</v>
      </c>
      <c r="E379" s="7">
        <f>SUMIFS('Leave Management'!$L:$L,'Leave Management'!$C:$C,Detail!$A379,'Leave Management'!$B:$B,Detail!E$1)</f>
        <v>0</v>
      </c>
      <c r="F379" s="7">
        <f>SUMIFS('Leave Management'!$L:$L,'Leave Management'!$C:$C,Detail!$A379,'Leave Management'!$B:$B,Detail!F$1)</f>
        <v>0</v>
      </c>
      <c r="G379" s="7">
        <f>SUMIFS('Leave Management'!$L:$L,'Leave Management'!$C:$C,Detail!$A379,'Leave Management'!$B:$B,Detail!G$1)</f>
        <v>0</v>
      </c>
      <c r="H379" s="7">
        <f>SUMIFS('Leave Management'!$L:$L,'Leave Management'!$C:$C,Detail!$A379,'Leave Management'!$B:$B,Detail!H$1)</f>
        <v>0</v>
      </c>
      <c r="I379" s="7">
        <f>SUMIFS('Leave Management'!$L:$L,'Leave Management'!$C:$C,Detail!$A379,'Leave Management'!$B:$B,Detail!I$1)</f>
        <v>0</v>
      </c>
      <c r="J379" s="7">
        <f>SUMIFS('Leave Management'!$L:$L,'Leave Management'!$C:$C,Detail!$A379,'Leave Management'!$B:$B,Detail!J$1)</f>
        <v>0</v>
      </c>
      <c r="K379" s="7">
        <f>SUMIFS('Leave Management'!$L:$L,'Leave Management'!$C:$C,Detail!$A379,'Leave Management'!$B:$B,Detail!K$1)</f>
        <v>0</v>
      </c>
      <c r="L379" s="7">
        <f>SUMIFS('Leave Management'!$L:$L,'Leave Management'!$C:$C,Detail!$A379,'Leave Management'!$B:$B,Detail!L$1)</f>
        <v>0</v>
      </c>
      <c r="M379" s="7">
        <f>SUMIFS('Leave Management'!$L:$L,'Leave Management'!$C:$C,Detail!$A379,'Leave Management'!$B:$B,Detail!M$1)</f>
        <v>0</v>
      </c>
      <c r="N379" s="7">
        <f>SUMIFS('Leave Management'!$L:$L,'Leave Management'!$C:$C,Detail!$A379,'Leave Management'!$B:$B,Detail!N$1)</f>
        <v>0</v>
      </c>
      <c r="O379" s="7">
        <f t="shared" si="12"/>
        <v>12</v>
      </c>
    </row>
    <row r="380" spans="1:15" x14ac:dyDescent="0.25">
      <c r="A380" s="24">
        <v>43478</v>
      </c>
      <c r="B380" s="2" t="str">
        <f t="shared" si="11"/>
        <v>Sun</v>
      </c>
      <c r="C380" s="7">
        <f>SUMIFS('Leave Management'!$L:$L,'Leave Management'!$C:$C,Detail!$A380,'Leave Management'!$B:$B,Detail!C$1)</f>
        <v>0</v>
      </c>
      <c r="D380" s="7">
        <f>SUMIFS('Leave Management'!$L:$L,'Leave Management'!$C:$C,Detail!$A380,'Leave Management'!$B:$B,Detail!D$1)</f>
        <v>0</v>
      </c>
      <c r="E380" s="7">
        <f>SUMIFS('Leave Management'!$L:$L,'Leave Management'!$C:$C,Detail!$A380,'Leave Management'!$B:$B,Detail!E$1)</f>
        <v>0</v>
      </c>
      <c r="F380" s="7">
        <f>SUMIFS('Leave Management'!$L:$L,'Leave Management'!$C:$C,Detail!$A380,'Leave Management'!$B:$B,Detail!F$1)</f>
        <v>0</v>
      </c>
      <c r="G380" s="7">
        <f>SUMIFS('Leave Management'!$L:$L,'Leave Management'!$C:$C,Detail!$A380,'Leave Management'!$B:$B,Detail!G$1)</f>
        <v>0</v>
      </c>
      <c r="H380" s="7">
        <f>SUMIFS('Leave Management'!$L:$L,'Leave Management'!$C:$C,Detail!$A380,'Leave Management'!$B:$B,Detail!H$1)</f>
        <v>0</v>
      </c>
      <c r="I380" s="7">
        <f>SUMIFS('Leave Management'!$L:$L,'Leave Management'!$C:$C,Detail!$A380,'Leave Management'!$B:$B,Detail!I$1)</f>
        <v>0</v>
      </c>
      <c r="J380" s="7">
        <f>SUMIFS('Leave Management'!$L:$L,'Leave Management'!$C:$C,Detail!$A380,'Leave Management'!$B:$B,Detail!J$1)</f>
        <v>0</v>
      </c>
      <c r="K380" s="7">
        <f>SUMIFS('Leave Management'!$L:$L,'Leave Management'!$C:$C,Detail!$A380,'Leave Management'!$B:$B,Detail!K$1)</f>
        <v>0</v>
      </c>
      <c r="L380" s="7">
        <f>SUMIFS('Leave Management'!$L:$L,'Leave Management'!$C:$C,Detail!$A380,'Leave Management'!$B:$B,Detail!L$1)</f>
        <v>0</v>
      </c>
      <c r="M380" s="7">
        <f>SUMIFS('Leave Management'!$L:$L,'Leave Management'!$C:$C,Detail!$A380,'Leave Management'!$B:$B,Detail!M$1)</f>
        <v>0</v>
      </c>
      <c r="N380" s="7">
        <f>SUMIFS('Leave Management'!$L:$L,'Leave Management'!$C:$C,Detail!$A380,'Leave Management'!$B:$B,Detail!N$1)</f>
        <v>0</v>
      </c>
      <c r="O380" s="7">
        <f t="shared" si="12"/>
        <v>12</v>
      </c>
    </row>
    <row r="381" spans="1:15" x14ac:dyDescent="0.25">
      <c r="A381" s="24">
        <v>43479</v>
      </c>
      <c r="B381" s="2" t="str">
        <f t="shared" si="11"/>
        <v>Mon</v>
      </c>
      <c r="C381" s="7">
        <f>SUMIFS('Leave Management'!$L:$L,'Leave Management'!$C:$C,Detail!$A381,'Leave Management'!$B:$B,Detail!C$1)</f>
        <v>0</v>
      </c>
      <c r="D381" s="7">
        <f>SUMIFS('Leave Management'!$L:$L,'Leave Management'!$C:$C,Detail!$A381,'Leave Management'!$B:$B,Detail!D$1)</f>
        <v>0</v>
      </c>
      <c r="E381" s="7">
        <f>SUMIFS('Leave Management'!$L:$L,'Leave Management'!$C:$C,Detail!$A381,'Leave Management'!$B:$B,Detail!E$1)</f>
        <v>0</v>
      </c>
      <c r="F381" s="7">
        <f>SUMIFS('Leave Management'!$L:$L,'Leave Management'!$C:$C,Detail!$A381,'Leave Management'!$B:$B,Detail!F$1)</f>
        <v>0</v>
      </c>
      <c r="G381" s="7">
        <f>SUMIFS('Leave Management'!$L:$L,'Leave Management'!$C:$C,Detail!$A381,'Leave Management'!$B:$B,Detail!G$1)</f>
        <v>0</v>
      </c>
      <c r="H381" s="7">
        <f>SUMIFS('Leave Management'!$L:$L,'Leave Management'!$C:$C,Detail!$A381,'Leave Management'!$B:$B,Detail!H$1)</f>
        <v>0</v>
      </c>
      <c r="I381" s="7">
        <f>SUMIFS('Leave Management'!$L:$L,'Leave Management'!$C:$C,Detail!$A381,'Leave Management'!$B:$B,Detail!I$1)</f>
        <v>0</v>
      </c>
      <c r="J381" s="7">
        <f>SUMIFS('Leave Management'!$L:$L,'Leave Management'!$C:$C,Detail!$A381,'Leave Management'!$B:$B,Detail!J$1)</f>
        <v>0</v>
      </c>
      <c r="K381" s="7">
        <f>SUMIFS('Leave Management'!$L:$L,'Leave Management'!$C:$C,Detail!$A381,'Leave Management'!$B:$B,Detail!K$1)</f>
        <v>0</v>
      </c>
      <c r="L381" s="7">
        <f>SUMIFS('Leave Management'!$L:$L,'Leave Management'!$C:$C,Detail!$A381,'Leave Management'!$B:$B,Detail!L$1)</f>
        <v>0</v>
      </c>
      <c r="M381" s="7">
        <f>SUMIFS('Leave Management'!$L:$L,'Leave Management'!$C:$C,Detail!$A381,'Leave Management'!$B:$B,Detail!M$1)</f>
        <v>0</v>
      </c>
      <c r="N381" s="7">
        <f>SUMIFS('Leave Management'!$L:$L,'Leave Management'!$C:$C,Detail!$A381,'Leave Management'!$B:$B,Detail!N$1)</f>
        <v>0</v>
      </c>
      <c r="O381" s="7">
        <f t="shared" si="12"/>
        <v>12</v>
      </c>
    </row>
    <row r="382" spans="1:15" x14ac:dyDescent="0.25">
      <c r="A382" s="24">
        <v>43480</v>
      </c>
      <c r="B382" s="2" t="str">
        <f t="shared" si="11"/>
        <v>Tue</v>
      </c>
      <c r="C382" s="7">
        <f>SUMIFS('Leave Management'!$L:$L,'Leave Management'!$C:$C,Detail!$A382,'Leave Management'!$B:$B,Detail!C$1)</f>
        <v>0</v>
      </c>
      <c r="D382" s="7">
        <f>SUMIFS('Leave Management'!$L:$L,'Leave Management'!$C:$C,Detail!$A382,'Leave Management'!$B:$B,Detail!D$1)</f>
        <v>0</v>
      </c>
      <c r="E382" s="7">
        <f>SUMIFS('Leave Management'!$L:$L,'Leave Management'!$C:$C,Detail!$A382,'Leave Management'!$B:$B,Detail!E$1)</f>
        <v>0</v>
      </c>
      <c r="F382" s="7">
        <f>SUMIFS('Leave Management'!$L:$L,'Leave Management'!$C:$C,Detail!$A382,'Leave Management'!$B:$B,Detail!F$1)</f>
        <v>0</v>
      </c>
      <c r="G382" s="7">
        <f>SUMIFS('Leave Management'!$L:$L,'Leave Management'!$C:$C,Detail!$A382,'Leave Management'!$B:$B,Detail!G$1)</f>
        <v>0</v>
      </c>
      <c r="H382" s="7">
        <f>SUMIFS('Leave Management'!$L:$L,'Leave Management'!$C:$C,Detail!$A382,'Leave Management'!$B:$B,Detail!H$1)</f>
        <v>0</v>
      </c>
      <c r="I382" s="7">
        <f>SUMIFS('Leave Management'!$L:$L,'Leave Management'!$C:$C,Detail!$A382,'Leave Management'!$B:$B,Detail!I$1)</f>
        <v>0</v>
      </c>
      <c r="J382" s="7">
        <f>SUMIFS('Leave Management'!$L:$L,'Leave Management'!$C:$C,Detail!$A382,'Leave Management'!$B:$B,Detail!J$1)</f>
        <v>0</v>
      </c>
      <c r="K382" s="7">
        <f>SUMIFS('Leave Management'!$L:$L,'Leave Management'!$C:$C,Detail!$A382,'Leave Management'!$B:$B,Detail!K$1)</f>
        <v>0</v>
      </c>
      <c r="L382" s="7">
        <f>SUMIFS('Leave Management'!$L:$L,'Leave Management'!$C:$C,Detail!$A382,'Leave Management'!$B:$B,Detail!L$1)</f>
        <v>0</v>
      </c>
      <c r="M382" s="7">
        <f>SUMIFS('Leave Management'!$L:$L,'Leave Management'!$C:$C,Detail!$A382,'Leave Management'!$B:$B,Detail!M$1)</f>
        <v>0</v>
      </c>
      <c r="N382" s="7">
        <f>SUMIFS('Leave Management'!$L:$L,'Leave Management'!$C:$C,Detail!$A382,'Leave Management'!$B:$B,Detail!N$1)</f>
        <v>0</v>
      </c>
      <c r="O382" s="7">
        <f t="shared" si="12"/>
        <v>12</v>
      </c>
    </row>
    <row r="383" spans="1:15" x14ac:dyDescent="0.25">
      <c r="A383" s="24">
        <v>43481</v>
      </c>
      <c r="B383" s="2" t="str">
        <f t="shared" si="11"/>
        <v>Wed</v>
      </c>
      <c r="C383" s="7">
        <f>SUMIFS('Leave Management'!$L:$L,'Leave Management'!$C:$C,Detail!$A383,'Leave Management'!$B:$B,Detail!C$1)</f>
        <v>0</v>
      </c>
      <c r="D383" s="7">
        <f>SUMIFS('Leave Management'!$L:$L,'Leave Management'!$C:$C,Detail!$A383,'Leave Management'!$B:$B,Detail!D$1)</f>
        <v>0</v>
      </c>
      <c r="E383" s="7">
        <f>SUMIFS('Leave Management'!$L:$L,'Leave Management'!$C:$C,Detail!$A383,'Leave Management'!$B:$B,Detail!E$1)</f>
        <v>0</v>
      </c>
      <c r="F383" s="7">
        <f>SUMIFS('Leave Management'!$L:$L,'Leave Management'!$C:$C,Detail!$A383,'Leave Management'!$B:$B,Detail!F$1)</f>
        <v>0</v>
      </c>
      <c r="G383" s="7">
        <f>SUMIFS('Leave Management'!$L:$L,'Leave Management'!$C:$C,Detail!$A383,'Leave Management'!$B:$B,Detail!G$1)</f>
        <v>0</v>
      </c>
      <c r="H383" s="7">
        <f>SUMIFS('Leave Management'!$L:$L,'Leave Management'!$C:$C,Detail!$A383,'Leave Management'!$B:$B,Detail!H$1)</f>
        <v>0</v>
      </c>
      <c r="I383" s="7">
        <f>SUMIFS('Leave Management'!$L:$L,'Leave Management'!$C:$C,Detail!$A383,'Leave Management'!$B:$B,Detail!I$1)</f>
        <v>0</v>
      </c>
      <c r="J383" s="7">
        <f>SUMIFS('Leave Management'!$L:$L,'Leave Management'!$C:$C,Detail!$A383,'Leave Management'!$B:$B,Detail!J$1)</f>
        <v>0</v>
      </c>
      <c r="K383" s="7">
        <f>SUMIFS('Leave Management'!$L:$L,'Leave Management'!$C:$C,Detail!$A383,'Leave Management'!$B:$B,Detail!K$1)</f>
        <v>0</v>
      </c>
      <c r="L383" s="7">
        <f>SUMIFS('Leave Management'!$L:$L,'Leave Management'!$C:$C,Detail!$A383,'Leave Management'!$B:$B,Detail!L$1)</f>
        <v>0</v>
      </c>
      <c r="M383" s="7">
        <f>SUMIFS('Leave Management'!$L:$L,'Leave Management'!$C:$C,Detail!$A383,'Leave Management'!$B:$B,Detail!M$1)</f>
        <v>0</v>
      </c>
      <c r="N383" s="7">
        <f>SUMIFS('Leave Management'!$L:$L,'Leave Management'!$C:$C,Detail!$A383,'Leave Management'!$B:$B,Detail!N$1)</f>
        <v>0</v>
      </c>
      <c r="O383" s="7">
        <f t="shared" si="12"/>
        <v>12</v>
      </c>
    </row>
    <row r="384" spans="1:15" x14ac:dyDescent="0.25">
      <c r="A384" s="24">
        <v>43482</v>
      </c>
      <c r="B384" s="2" t="str">
        <f t="shared" ref="B384:B425" si="13">CHOOSE(WEEKDAY(A384),"Sun","Mon","Tue","Wed","Thu","Fri","Sat")</f>
        <v>Thu</v>
      </c>
      <c r="C384" s="7">
        <f>SUMIFS('Leave Management'!$L:$L,'Leave Management'!$C:$C,Detail!$A384,'Leave Management'!$B:$B,Detail!C$1)</f>
        <v>0</v>
      </c>
      <c r="D384" s="7">
        <f>SUMIFS('Leave Management'!$L:$L,'Leave Management'!$C:$C,Detail!$A384,'Leave Management'!$B:$B,Detail!D$1)</f>
        <v>0</v>
      </c>
      <c r="E384" s="7">
        <f>SUMIFS('Leave Management'!$L:$L,'Leave Management'!$C:$C,Detail!$A384,'Leave Management'!$B:$B,Detail!E$1)</f>
        <v>0</v>
      </c>
      <c r="F384" s="7">
        <f>SUMIFS('Leave Management'!$L:$L,'Leave Management'!$C:$C,Detail!$A384,'Leave Management'!$B:$B,Detail!F$1)</f>
        <v>0</v>
      </c>
      <c r="G384" s="7">
        <f>SUMIFS('Leave Management'!$L:$L,'Leave Management'!$C:$C,Detail!$A384,'Leave Management'!$B:$B,Detail!G$1)</f>
        <v>0</v>
      </c>
      <c r="H384" s="7">
        <f>SUMIFS('Leave Management'!$L:$L,'Leave Management'!$C:$C,Detail!$A384,'Leave Management'!$B:$B,Detail!H$1)</f>
        <v>0</v>
      </c>
      <c r="I384" s="7">
        <f>SUMIFS('Leave Management'!$L:$L,'Leave Management'!$C:$C,Detail!$A384,'Leave Management'!$B:$B,Detail!I$1)</f>
        <v>0</v>
      </c>
      <c r="J384" s="7">
        <f>SUMIFS('Leave Management'!$L:$L,'Leave Management'!$C:$C,Detail!$A384,'Leave Management'!$B:$B,Detail!J$1)</f>
        <v>0</v>
      </c>
      <c r="K384" s="7">
        <f>SUMIFS('Leave Management'!$L:$L,'Leave Management'!$C:$C,Detail!$A384,'Leave Management'!$B:$B,Detail!K$1)</f>
        <v>0</v>
      </c>
      <c r="L384" s="7">
        <f>SUMIFS('Leave Management'!$L:$L,'Leave Management'!$C:$C,Detail!$A384,'Leave Management'!$B:$B,Detail!L$1)</f>
        <v>0</v>
      </c>
      <c r="M384" s="7">
        <f>SUMIFS('Leave Management'!$L:$L,'Leave Management'!$C:$C,Detail!$A384,'Leave Management'!$B:$B,Detail!M$1)</f>
        <v>0</v>
      </c>
      <c r="N384" s="7">
        <f>SUMIFS('Leave Management'!$L:$L,'Leave Management'!$C:$C,Detail!$A384,'Leave Management'!$B:$B,Detail!N$1)</f>
        <v>0</v>
      </c>
      <c r="O384" s="7">
        <f t="shared" si="12"/>
        <v>12</v>
      </c>
    </row>
    <row r="385" spans="1:15" x14ac:dyDescent="0.25">
      <c r="A385" s="24">
        <v>43483</v>
      </c>
      <c r="B385" s="2" t="str">
        <f t="shared" si="13"/>
        <v>Fri</v>
      </c>
      <c r="C385" s="7">
        <f>SUMIFS('Leave Management'!$L:$L,'Leave Management'!$C:$C,Detail!$A385,'Leave Management'!$B:$B,Detail!C$1)</f>
        <v>1</v>
      </c>
      <c r="D385" s="7">
        <f>SUMIFS('Leave Management'!$L:$L,'Leave Management'!$C:$C,Detail!$A385,'Leave Management'!$B:$B,Detail!D$1)</f>
        <v>0</v>
      </c>
      <c r="E385" s="7">
        <f>SUMIFS('Leave Management'!$L:$L,'Leave Management'!$C:$C,Detail!$A385,'Leave Management'!$B:$B,Detail!E$1)</f>
        <v>0</v>
      </c>
      <c r="F385" s="7">
        <f>SUMIFS('Leave Management'!$L:$L,'Leave Management'!$C:$C,Detail!$A385,'Leave Management'!$B:$B,Detail!F$1)</f>
        <v>0</v>
      </c>
      <c r="G385" s="7">
        <f>SUMIFS('Leave Management'!$L:$L,'Leave Management'!$C:$C,Detail!$A385,'Leave Management'!$B:$B,Detail!G$1)</f>
        <v>0</v>
      </c>
      <c r="H385" s="7">
        <f>SUMIFS('Leave Management'!$L:$L,'Leave Management'!$C:$C,Detail!$A385,'Leave Management'!$B:$B,Detail!H$1)</f>
        <v>0</v>
      </c>
      <c r="I385" s="7">
        <f>SUMIFS('Leave Management'!$L:$L,'Leave Management'!$C:$C,Detail!$A385,'Leave Management'!$B:$B,Detail!I$1)</f>
        <v>0</v>
      </c>
      <c r="J385" s="7">
        <f>SUMIFS('Leave Management'!$L:$L,'Leave Management'!$C:$C,Detail!$A385,'Leave Management'!$B:$B,Detail!J$1)</f>
        <v>0</v>
      </c>
      <c r="K385" s="7">
        <f>SUMIFS('Leave Management'!$L:$L,'Leave Management'!$C:$C,Detail!$A385,'Leave Management'!$B:$B,Detail!K$1)</f>
        <v>0</v>
      </c>
      <c r="L385" s="7">
        <f>SUMIFS('Leave Management'!$L:$L,'Leave Management'!$C:$C,Detail!$A385,'Leave Management'!$B:$B,Detail!L$1)</f>
        <v>0</v>
      </c>
      <c r="M385" s="7">
        <f>SUMIFS('Leave Management'!$L:$L,'Leave Management'!$C:$C,Detail!$A385,'Leave Management'!$B:$B,Detail!M$1)</f>
        <v>0</v>
      </c>
      <c r="N385" s="7">
        <f>SUMIFS('Leave Management'!$L:$L,'Leave Management'!$C:$C,Detail!$A385,'Leave Management'!$B:$B,Detail!N$1)</f>
        <v>0</v>
      </c>
      <c r="O385" s="7">
        <f t="shared" si="12"/>
        <v>11</v>
      </c>
    </row>
    <row r="386" spans="1:15" x14ac:dyDescent="0.25">
      <c r="A386" s="24">
        <v>43484</v>
      </c>
      <c r="B386" s="2" t="str">
        <f t="shared" si="13"/>
        <v>Sat</v>
      </c>
      <c r="C386" s="7">
        <f>SUMIFS('Leave Management'!$L:$L,'Leave Management'!$C:$C,Detail!$A386,'Leave Management'!$B:$B,Detail!C$1)</f>
        <v>0</v>
      </c>
      <c r="D386" s="7">
        <f>SUMIFS('Leave Management'!$L:$L,'Leave Management'!$C:$C,Detail!$A386,'Leave Management'!$B:$B,Detail!D$1)</f>
        <v>0</v>
      </c>
      <c r="E386" s="7">
        <f>SUMIFS('Leave Management'!$L:$L,'Leave Management'!$C:$C,Detail!$A386,'Leave Management'!$B:$B,Detail!E$1)</f>
        <v>0</v>
      </c>
      <c r="F386" s="7">
        <f>SUMIFS('Leave Management'!$L:$L,'Leave Management'!$C:$C,Detail!$A386,'Leave Management'!$B:$B,Detail!F$1)</f>
        <v>0</v>
      </c>
      <c r="G386" s="7">
        <f>SUMIFS('Leave Management'!$L:$L,'Leave Management'!$C:$C,Detail!$A386,'Leave Management'!$B:$B,Detail!G$1)</f>
        <v>0</v>
      </c>
      <c r="H386" s="7">
        <f>SUMIFS('Leave Management'!$L:$L,'Leave Management'!$C:$C,Detail!$A386,'Leave Management'!$B:$B,Detail!H$1)</f>
        <v>0</v>
      </c>
      <c r="I386" s="7">
        <f>SUMIFS('Leave Management'!$L:$L,'Leave Management'!$C:$C,Detail!$A386,'Leave Management'!$B:$B,Detail!I$1)</f>
        <v>0</v>
      </c>
      <c r="J386" s="7">
        <f>SUMIFS('Leave Management'!$L:$L,'Leave Management'!$C:$C,Detail!$A386,'Leave Management'!$B:$B,Detail!J$1)</f>
        <v>0</v>
      </c>
      <c r="K386" s="7">
        <f>SUMIFS('Leave Management'!$L:$L,'Leave Management'!$C:$C,Detail!$A386,'Leave Management'!$B:$B,Detail!K$1)</f>
        <v>0</v>
      </c>
      <c r="L386" s="7">
        <f>SUMIFS('Leave Management'!$L:$L,'Leave Management'!$C:$C,Detail!$A386,'Leave Management'!$B:$B,Detail!L$1)</f>
        <v>0</v>
      </c>
      <c r="M386" s="7">
        <f>SUMIFS('Leave Management'!$L:$L,'Leave Management'!$C:$C,Detail!$A386,'Leave Management'!$B:$B,Detail!M$1)</f>
        <v>0</v>
      </c>
      <c r="N386" s="7">
        <f>SUMIFS('Leave Management'!$L:$L,'Leave Management'!$C:$C,Detail!$A386,'Leave Management'!$B:$B,Detail!N$1)</f>
        <v>0</v>
      </c>
      <c r="O386" s="7">
        <f t="shared" si="12"/>
        <v>12</v>
      </c>
    </row>
    <row r="387" spans="1:15" x14ac:dyDescent="0.25">
      <c r="A387" s="24">
        <v>43485</v>
      </c>
      <c r="B387" s="2" t="str">
        <f t="shared" si="13"/>
        <v>Sun</v>
      </c>
      <c r="C387" s="7">
        <f>SUMIFS('Leave Management'!$L:$L,'Leave Management'!$C:$C,Detail!$A387,'Leave Management'!$B:$B,Detail!C$1)</f>
        <v>0</v>
      </c>
      <c r="D387" s="7">
        <f>SUMIFS('Leave Management'!$L:$L,'Leave Management'!$C:$C,Detail!$A387,'Leave Management'!$B:$B,Detail!D$1)</f>
        <v>0</v>
      </c>
      <c r="E387" s="7">
        <f>SUMIFS('Leave Management'!$L:$L,'Leave Management'!$C:$C,Detail!$A387,'Leave Management'!$B:$B,Detail!E$1)</f>
        <v>0</v>
      </c>
      <c r="F387" s="7">
        <f>SUMIFS('Leave Management'!$L:$L,'Leave Management'!$C:$C,Detail!$A387,'Leave Management'!$B:$B,Detail!F$1)</f>
        <v>0</v>
      </c>
      <c r="G387" s="7">
        <f>SUMIFS('Leave Management'!$L:$L,'Leave Management'!$C:$C,Detail!$A387,'Leave Management'!$B:$B,Detail!G$1)</f>
        <v>0</v>
      </c>
      <c r="H387" s="7">
        <f>SUMIFS('Leave Management'!$L:$L,'Leave Management'!$C:$C,Detail!$A387,'Leave Management'!$B:$B,Detail!H$1)</f>
        <v>0</v>
      </c>
      <c r="I387" s="7">
        <f>SUMIFS('Leave Management'!$L:$L,'Leave Management'!$C:$C,Detail!$A387,'Leave Management'!$B:$B,Detail!I$1)</f>
        <v>0</v>
      </c>
      <c r="J387" s="7">
        <f>SUMIFS('Leave Management'!$L:$L,'Leave Management'!$C:$C,Detail!$A387,'Leave Management'!$B:$B,Detail!J$1)</f>
        <v>0</v>
      </c>
      <c r="K387" s="7">
        <f>SUMIFS('Leave Management'!$L:$L,'Leave Management'!$C:$C,Detail!$A387,'Leave Management'!$B:$B,Detail!K$1)</f>
        <v>0</v>
      </c>
      <c r="L387" s="7">
        <f>SUMIFS('Leave Management'!$L:$L,'Leave Management'!$C:$C,Detail!$A387,'Leave Management'!$B:$B,Detail!L$1)</f>
        <v>0</v>
      </c>
      <c r="M387" s="7">
        <f>SUMIFS('Leave Management'!$L:$L,'Leave Management'!$C:$C,Detail!$A387,'Leave Management'!$B:$B,Detail!M$1)</f>
        <v>0</v>
      </c>
      <c r="N387" s="7">
        <f>SUMIFS('Leave Management'!$L:$L,'Leave Management'!$C:$C,Detail!$A387,'Leave Management'!$B:$B,Detail!N$1)</f>
        <v>0</v>
      </c>
      <c r="O387" s="7">
        <f t="shared" si="12"/>
        <v>12</v>
      </c>
    </row>
    <row r="388" spans="1:15" x14ac:dyDescent="0.25">
      <c r="A388" s="24">
        <v>43486</v>
      </c>
      <c r="B388" s="2" t="str">
        <f t="shared" si="13"/>
        <v>Mon</v>
      </c>
      <c r="C388" s="7">
        <f>SUMIFS('Leave Management'!$L:$L,'Leave Management'!$C:$C,Detail!$A388,'Leave Management'!$B:$B,Detail!C$1)</f>
        <v>0</v>
      </c>
      <c r="D388" s="7">
        <f>SUMIFS('Leave Management'!$L:$L,'Leave Management'!$C:$C,Detail!$A388,'Leave Management'!$B:$B,Detail!D$1)</f>
        <v>0</v>
      </c>
      <c r="E388" s="7">
        <f>SUMIFS('Leave Management'!$L:$L,'Leave Management'!$C:$C,Detail!$A388,'Leave Management'!$B:$B,Detail!E$1)</f>
        <v>0</v>
      </c>
      <c r="F388" s="7">
        <f>SUMIFS('Leave Management'!$L:$L,'Leave Management'!$C:$C,Detail!$A388,'Leave Management'!$B:$B,Detail!F$1)</f>
        <v>0</v>
      </c>
      <c r="G388" s="7">
        <f>SUMIFS('Leave Management'!$L:$L,'Leave Management'!$C:$C,Detail!$A388,'Leave Management'!$B:$B,Detail!G$1)</f>
        <v>1</v>
      </c>
      <c r="H388" s="7">
        <f>SUMIFS('Leave Management'!$L:$L,'Leave Management'!$C:$C,Detail!$A388,'Leave Management'!$B:$B,Detail!H$1)</f>
        <v>0</v>
      </c>
      <c r="I388" s="7">
        <f>SUMIFS('Leave Management'!$L:$L,'Leave Management'!$C:$C,Detail!$A388,'Leave Management'!$B:$B,Detail!I$1)</f>
        <v>0</v>
      </c>
      <c r="J388" s="7">
        <f>SUMIFS('Leave Management'!$L:$L,'Leave Management'!$C:$C,Detail!$A388,'Leave Management'!$B:$B,Detail!J$1)</f>
        <v>0</v>
      </c>
      <c r="K388" s="7">
        <f>SUMIFS('Leave Management'!$L:$L,'Leave Management'!$C:$C,Detail!$A388,'Leave Management'!$B:$B,Detail!K$1)</f>
        <v>0</v>
      </c>
      <c r="L388" s="7">
        <f>SUMIFS('Leave Management'!$L:$L,'Leave Management'!$C:$C,Detail!$A388,'Leave Management'!$B:$B,Detail!L$1)</f>
        <v>0</v>
      </c>
      <c r="M388" s="7">
        <f>SUMIFS('Leave Management'!$L:$L,'Leave Management'!$C:$C,Detail!$A388,'Leave Management'!$B:$B,Detail!M$1)</f>
        <v>0</v>
      </c>
      <c r="N388" s="7">
        <f>SUMIFS('Leave Management'!$L:$L,'Leave Management'!$C:$C,Detail!$A388,'Leave Management'!$B:$B,Detail!N$1)</f>
        <v>0</v>
      </c>
      <c r="O388" s="7">
        <f t="shared" ref="O388:O451" si="14">COUNTA($C$1:$N$1)-SUM($C388:$N388)</f>
        <v>11</v>
      </c>
    </row>
    <row r="389" spans="1:15" x14ac:dyDescent="0.25">
      <c r="A389" s="24">
        <v>43487</v>
      </c>
      <c r="B389" s="2" t="str">
        <f t="shared" si="13"/>
        <v>Tue</v>
      </c>
      <c r="C389" s="7">
        <f>SUMIFS('Leave Management'!$L:$L,'Leave Management'!$C:$C,Detail!$A389,'Leave Management'!$B:$B,Detail!C$1)</f>
        <v>0</v>
      </c>
      <c r="D389" s="7">
        <f>SUMIFS('Leave Management'!$L:$L,'Leave Management'!$C:$C,Detail!$A389,'Leave Management'!$B:$B,Detail!D$1)</f>
        <v>0</v>
      </c>
      <c r="E389" s="7">
        <f>SUMIFS('Leave Management'!$L:$L,'Leave Management'!$C:$C,Detail!$A389,'Leave Management'!$B:$B,Detail!E$1)</f>
        <v>0</v>
      </c>
      <c r="F389" s="7">
        <f>SUMIFS('Leave Management'!$L:$L,'Leave Management'!$C:$C,Detail!$A389,'Leave Management'!$B:$B,Detail!F$1)</f>
        <v>0</v>
      </c>
      <c r="G389" s="7">
        <f>SUMIFS('Leave Management'!$L:$L,'Leave Management'!$C:$C,Detail!$A389,'Leave Management'!$B:$B,Detail!G$1)</f>
        <v>0</v>
      </c>
      <c r="H389" s="7">
        <f>SUMIFS('Leave Management'!$L:$L,'Leave Management'!$C:$C,Detail!$A389,'Leave Management'!$B:$B,Detail!H$1)</f>
        <v>0</v>
      </c>
      <c r="I389" s="7">
        <f>SUMIFS('Leave Management'!$L:$L,'Leave Management'!$C:$C,Detail!$A389,'Leave Management'!$B:$B,Detail!I$1)</f>
        <v>0</v>
      </c>
      <c r="J389" s="7">
        <f>SUMIFS('Leave Management'!$L:$L,'Leave Management'!$C:$C,Detail!$A389,'Leave Management'!$B:$B,Detail!J$1)</f>
        <v>0</v>
      </c>
      <c r="K389" s="7">
        <f>SUMIFS('Leave Management'!$L:$L,'Leave Management'!$C:$C,Detail!$A389,'Leave Management'!$B:$B,Detail!K$1)</f>
        <v>0</v>
      </c>
      <c r="L389" s="7">
        <f>SUMIFS('Leave Management'!$L:$L,'Leave Management'!$C:$C,Detail!$A389,'Leave Management'!$B:$B,Detail!L$1)</f>
        <v>0</v>
      </c>
      <c r="M389" s="7">
        <f>SUMIFS('Leave Management'!$L:$L,'Leave Management'!$C:$C,Detail!$A389,'Leave Management'!$B:$B,Detail!M$1)</f>
        <v>0</v>
      </c>
      <c r="N389" s="7">
        <f>SUMIFS('Leave Management'!$L:$L,'Leave Management'!$C:$C,Detail!$A389,'Leave Management'!$B:$B,Detail!N$1)</f>
        <v>0</v>
      </c>
      <c r="O389" s="7">
        <f t="shared" si="14"/>
        <v>12</v>
      </c>
    </row>
    <row r="390" spans="1:15" x14ac:dyDescent="0.25">
      <c r="A390" s="24">
        <v>43488</v>
      </c>
      <c r="B390" s="2" t="str">
        <f t="shared" si="13"/>
        <v>Wed</v>
      </c>
      <c r="C390" s="7">
        <f>SUMIFS('Leave Management'!$L:$L,'Leave Management'!$C:$C,Detail!$A390,'Leave Management'!$B:$B,Detail!C$1)</f>
        <v>0</v>
      </c>
      <c r="D390" s="7">
        <f>SUMIFS('Leave Management'!$L:$L,'Leave Management'!$C:$C,Detail!$A390,'Leave Management'!$B:$B,Detail!D$1)</f>
        <v>0</v>
      </c>
      <c r="E390" s="7">
        <f>SUMIFS('Leave Management'!$L:$L,'Leave Management'!$C:$C,Detail!$A390,'Leave Management'!$B:$B,Detail!E$1)</f>
        <v>0</v>
      </c>
      <c r="F390" s="7">
        <f>SUMIFS('Leave Management'!$L:$L,'Leave Management'!$C:$C,Detail!$A390,'Leave Management'!$B:$B,Detail!F$1)</f>
        <v>0</v>
      </c>
      <c r="G390" s="7">
        <f>SUMIFS('Leave Management'!$L:$L,'Leave Management'!$C:$C,Detail!$A390,'Leave Management'!$B:$B,Detail!G$1)</f>
        <v>0</v>
      </c>
      <c r="H390" s="7">
        <f>SUMIFS('Leave Management'!$L:$L,'Leave Management'!$C:$C,Detail!$A390,'Leave Management'!$B:$B,Detail!H$1)</f>
        <v>0</v>
      </c>
      <c r="I390" s="7">
        <f>SUMIFS('Leave Management'!$L:$L,'Leave Management'!$C:$C,Detail!$A390,'Leave Management'!$B:$B,Detail!I$1)</f>
        <v>0</v>
      </c>
      <c r="J390" s="7">
        <f>SUMIFS('Leave Management'!$L:$L,'Leave Management'!$C:$C,Detail!$A390,'Leave Management'!$B:$B,Detail!J$1)</f>
        <v>0</v>
      </c>
      <c r="K390" s="7">
        <f>SUMIFS('Leave Management'!$L:$L,'Leave Management'!$C:$C,Detail!$A390,'Leave Management'!$B:$B,Detail!K$1)</f>
        <v>0</v>
      </c>
      <c r="L390" s="7">
        <f>SUMIFS('Leave Management'!$L:$L,'Leave Management'!$C:$C,Detail!$A390,'Leave Management'!$B:$B,Detail!L$1)</f>
        <v>0</v>
      </c>
      <c r="M390" s="7">
        <f>SUMIFS('Leave Management'!$L:$L,'Leave Management'!$C:$C,Detail!$A390,'Leave Management'!$B:$B,Detail!M$1)</f>
        <v>0</v>
      </c>
      <c r="N390" s="7">
        <f>SUMIFS('Leave Management'!$L:$L,'Leave Management'!$C:$C,Detail!$A390,'Leave Management'!$B:$B,Detail!N$1)</f>
        <v>0</v>
      </c>
      <c r="O390" s="7">
        <f t="shared" si="14"/>
        <v>12</v>
      </c>
    </row>
    <row r="391" spans="1:15" x14ac:dyDescent="0.25">
      <c r="A391" s="24">
        <v>43489</v>
      </c>
      <c r="B391" s="2" t="str">
        <f t="shared" si="13"/>
        <v>Thu</v>
      </c>
      <c r="C391" s="7">
        <f>SUMIFS('Leave Management'!$L:$L,'Leave Management'!$C:$C,Detail!$A391,'Leave Management'!$B:$B,Detail!C$1)</f>
        <v>0</v>
      </c>
      <c r="D391" s="7">
        <f>SUMIFS('Leave Management'!$L:$L,'Leave Management'!$C:$C,Detail!$A391,'Leave Management'!$B:$B,Detail!D$1)</f>
        <v>0</v>
      </c>
      <c r="E391" s="7">
        <f>SUMIFS('Leave Management'!$L:$L,'Leave Management'!$C:$C,Detail!$A391,'Leave Management'!$B:$B,Detail!E$1)</f>
        <v>0</v>
      </c>
      <c r="F391" s="7">
        <f>SUMIFS('Leave Management'!$L:$L,'Leave Management'!$C:$C,Detail!$A391,'Leave Management'!$B:$B,Detail!F$1)</f>
        <v>0</v>
      </c>
      <c r="G391" s="7">
        <f>SUMIFS('Leave Management'!$L:$L,'Leave Management'!$C:$C,Detail!$A391,'Leave Management'!$B:$B,Detail!G$1)</f>
        <v>0</v>
      </c>
      <c r="H391" s="7">
        <f>SUMIFS('Leave Management'!$L:$L,'Leave Management'!$C:$C,Detail!$A391,'Leave Management'!$B:$B,Detail!H$1)</f>
        <v>0</v>
      </c>
      <c r="I391" s="7">
        <f>SUMIFS('Leave Management'!$L:$L,'Leave Management'!$C:$C,Detail!$A391,'Leave Management'!$B:$B,Detail!I$1)</f>
        <v>0</v>
      </c>
      <c r="J391" s="7">
        <f>SUMIFS('Leave Management'!$L:$L,'Leave Management'!$C:$C,Detail!$A391,'Leave Management'!$B:$B,Detail!J$1)</f>
        <v>0</v>
      </c>
      <c r="K391" s="7">
        <f>SUMIFS('Leave Management'!$L:$L,'Leave Management'!$C:$C,Detail!$A391,'Leave Management'!$B:$B,Detail!K$1)</f>
        <v>0</v>
      </c>
      <c r="L391" s="7">
        <f>SUMIFS('Leave Management'!$L:$L,'Leave Management'!$C:$C,Detail!$A391,'Leave Management'!$B:$B,Detail!L$1)</f>
        <v>0</v>
      </c>
      <c r="M391" s="7">
        <f>SUMIFS('Leave Management'!$L:$L,'Leave Management'!$C:$C,Detail!$A391,'Leave Management'!$B:$B,Detail!M$1)</f>
        <v>0</v>
      </c>
      <c r="N391" s="7">
        <f>SUMIFS('Leave Management'!$L:$L,'Leave Management'!$C:$C,Detail!$A391,'Leave Management'!$B:$B,Detail!N$1)</f>
        <v>0</v>
      </c>
      <c r="O391" s="7">
        <f t="shared" si="14"/>
        <v>12</v>
      </c>
    </row>
    <row r="392" spans="1:15" x14ac:dyDescent="0.25">
      <c r="A392" s="24">
        <v>43490</v>
      </c>
      <c r="B392" s="2" t="str">
        <f t="shared" si="13"/>
        <v>Fri</v>
      </c>
      <c r="C392" s="7">
        <f>SUMIFS('Leave Management'!$L:$L,'Leave Management'!$C:$C,Detail!$A392,'Leave Management'!$B:$B,Detail!C$1)</f>
        <v>0</v>
      </c>
      <c r="D392" s="7">
        <f>SUMIFS('Leave Management'!$L:$L,'Leave Management'!$C:$C,Detail!$A392,'Leave Management'!$B:$B,Detail!D$1)</f>
        <v>0</v>
      </c>
      <c r="E392" s="7">
        <f>SUMIFS('Leave Management'!$L:$L,'Leave Management'!$C:$C,Detail!$A392,'Leave Management'!$B:$B,Detail!E$1)</f>
        <v>0</v>
      </c>
      <c r="F392" s="7">
        <f>SUMIFS('Leave Management'!$L:$L,'Leave Management'!$C:$C,Detail!$A392,'Leave Management'!$B:$B,Detail!F$1)</f>
        <v>0</v>
      </c>
      <c r="G392" s="7">
        <f>SUMIFS('Leave Management'!$L:$L,'Leave Management'!$C:$C,Detail!$A392,'Leave Management'!$B:$B,Detail!G$1)</f>
        <v>0</v>
      </c>
      <c r="H392" s="7">
        <f>SUMIFS('Leave Management'!$L:$L,'Leave Management'!$C:$C,Detail!$A392,'Leave Management'!$B:$B,Detail!H$1)</f>
        <v>0</v>
      </c>
      <c r="I392" s="7">
        <f>SUMIFS('Leave Management'!$L:$L,'Leave Management'!$C:$C,Detail!$A392,'Leave Management'!$B:$B,Detail!I$1)</f>
        <v>0</v>
      </c>
      <c r="J392" s="7">
        <f>SUMIFS('Leave Management'!$L:$L,'Leave Management'!$C:$C,Detail!$A392,'Leave Management'!$B:$B,Detail!J$1)</f>
        <v>0</v>
      </c>
      <c r="K392" s="7">
        <f>SUMIFS('Leave Management'!$L:$L,'Leave Management'!$C:$C,Detail!$A392,'Leave Management'!$B:$B,Detail!K$1)</f>
        <v>0</v>
      </c>
      <c r="L392" s="7">
        <f>SUMIFS('Leave Management'!$L:$L,'Leave Management'!$C:$C,Detail!$A392,'Leave Management'!$B:$B,Detail!L$1)</f>
        <v>0</v>
      </c>
      <c r="M392" s="7">
        <f>SUMIFS('Leave Management'!$L:$L,'Leave Management'!$C:$C,Detail!$A392,'Leave Management'!$B:$B,Detail!M$1)</f>
        <v>0</v>
      </c>
      <c r="N392" s="7">
        <f>SUMIFS('Leave Management'!$L:$L,'Leave Management'!$C:$C,Detail!$A392,'Leave Management'!$B:$B,Detail!N$1)</f>
        <v>0</v>
      </c>
      <c r="O392" s="7">
        <f t="shared" si="14"/>
        <v>12</v>
      </c>
    </row>
    <row r="393" spans="1:15" x14ac:dyDescent="0.25">
      <c r="A393" s="24">
        <v>43491</v>
      </c>
      <c r="B393" s="2" t="str">
        <f t="shared" si="13"/>
        <v>Sat</v>
      </c>
      <c r="C393" s="7">
        <f>SUMIFS('Leave Management'!$L:$L,'Leave Management'!$C:$C,Detail!$A393,'Leave Management'!$B:$B,Detail!C$1)</f>
        <v>0</v>
      </c>
      <c r="D393" s="7">
        <f>SUMIFS('Leave Management'!$L:$L,'Leave Management'!$C:$C,Detail!$A393,'Leave Management'!$B:$B,Detail!D$1)</f>
        <v>0</v>
      </c>
      <c r="E393" s="7">
        <f>SUMIFS('Leave Management'!$L:$L,'Leave Management'!$C:$C,Detail!$A393,'Leave Management'!$B:$B,Detail!E$1)</f>
        <v>0</v>
      </c>
      <c r="F393" s="7">
        <f>SUMIFS('Leave Management'!$L:$L,'Leave Management'!$C:$C,Detail!$A393,'Leave Management'!$B:$B,Detail!F$1)</f>
        <v>0</v>
      </c>
      <c r="G393" s="7">
        <f>SUMIFS('Leave Management'!$L:$L,'Leave Management'!$C:$C,Detail!$A393,'Leave Management'!$B:$B,Detail!G$1)</f>
        <v>0</v>
      </c>
      <c r="H393" s="7">
        <f>SUMIFS('Leave Management'!$L:$L,'Leave Management'!$C:$C,Detail!$A393,'Leave Management'!$B:$B,Detail!H$1)</f>
        <v>0</v>
      </c>
      <c r="I393" s="7">
        <f>SUMIFS('Leave Management'!$L:$L,'Leave Management'!$C:$C,Detail!$A393,'Leave Management'!$B:$B,Detail!I$1)</f>
        <v>0</v>
      </c>
      <c r="J393" s="7">
        <f>SUMIFS('Leave Management'!$L:$L,'Leave Management'!$C:$C,Detail!$A393,'Leave Management'!$B:$B,Detail!J$1)</f>
        <v>0</v>
      </c>
      <c r="K393" s="7">
        <f>SUMIFS('Leave Management'!$L:$L,'Leave Management'!$C:$C,Detail!$A393,'Leave Management'!$B:$B,Detail!K$1)</f>
        <v>0</v>
      </c>
      <c r="L393" s="7">
        <f>SUMIFS('Leave Management'!$L:$L,'Leave Management'!$C:$C,Detail!$A393,'Leave Management'!$B:$B,Detail!L$1)</f>
        <v>0</v>
      </c>
      <c r="M393" s="7">
        <f>SUMIFS('Leave Management'!$L:$L,'Leave Management'!$C:$C,Detail!$A393,'Leave Management'!$B:$B,Detail!M$1)</f>
        <v>0</v>
      </c>
      <c r="N393" s="7">
        <f>SUMIFS('Leave Management'!$L:$L,'Leave Management'!$C:$C,Detail!$A393,'Leave Management'!$B:$B,Detail!N$1)</f>
        <v>0</v>
      </c>
      <c r="O393" s="7">
        <f t="shared" si="14"/>
        <v>12</v>
      </c>
    </row>
    <row r="394" spans="1:15" x14ac:dyDescent="0.25">
      <c r="A394" s="24">
        <v>43492</v>
      </c>
      <c r="B394" s="2" t="str">
        <f t="shared" si="13"/>
        <v>Sun</v>
      </c>
      <c r="C394" s="7">
        <f>SUMIFS('Leave Management'!$L:$L,'Leave Management'!$C:$C,Detail!$A394,'Leave Management'!$B:$B,Detail!C$1)</f>
        <v>0</v>
      </c>
      <c r="D394" s="7">
        <f>SUMIFS('Leave Management'!$L:$L,'Leave Management'!$C:$C,Detail!$A394,'Leave Management'!$B:$B,Detail!D$1)</f>
        <v>0</v>
      </c>
      <c r="E394" s="7">
        <f>SUMIFS('Leave Management'!$L:$L,'Leave Management'!$C:$C,Detail!$A394,'Leave Management'!$B:$B,Detail!E$1)</f>
        <v>0</v>
      </c>
      <c r="F394" s="7">
        <f>SUMIFS('Leave Management'!$L:$L,'Leave Management'!$C:$C,Detail!$A394,'Leave Management'!$B:$B,Detail!F$1)</f>
        <v>0</v>
      </c>
      <c r="G394" s="7">
        <f>SUMIFS('Leave Management'!$L:$L,'Leave Management'!$C:$C,Detail!$A394,'Leave Management'!$B:$B,Detail!G$1)</f>
        <v>0</v>
      </c>
      <c r="H394" s="7">
        <f>SUMIFS('Leave Management'!$L:$L,'Leave Management'!$C:$C,Detail!$A394,'Leave Management'!$B:$B,Detail!H$1)</f>
        <v>0</v>
      </c>
      <c r="I394" s="7">
        <f>SUMIFS('Leave Management'!$L:$L,'Leave Management'!$C:$C,Detail!$A394,'Leave Management'!$B:$B,Detail!I$1)</f>
        <v>0</v>
      </c>
      <c r="J394" s="7">
        <f>SUMIFS('Leave Management'!$L:$L,'Leave Management'!$C:$C,Detail!$A394,'Leave Management'!$B:$B,Detail!J$1)</f>
        <v>0</v>
      </c>
      <c r="K394" s="7">
        <f>SUMIFS('Leave Management'!$L:$L,'Leave Management'!$C:$C,Detail!$A394,'Leave Management'!$B:$B,Detail!K$1)</f>
        <v>0</v>
      </c>
      <c r="L394" s="7">
        <f>SUMIFS('Leave Management'!$L:$L,'Leave Management'!$C:$C,Detail!$A394,'Leave Management'!$B:$B,Detail!L$1)</f>
        <v>0</v>
      </c>
      <c r="M394" s="7">
        <f>SUMIFS('Leave Management'!$L:$L,'Leave Management'!$C:$C,Detail!$A394,'Leave Management'!$B:$B,Detail!M$1)</f>
        <v>0</v>
      </c>
      <c r="N394" s="7">
        <f>SUMIFS('Leave Management'!$L:$L,'Leave Management'!$C:$C,Detail!$A394,'Leave Management'!$B:$B,Detail!N$1)</f>
        <v>0</v>
      </c>
      <c r="O394" s="7">
        <f t="shared" si="14"/>
        <v>12</v>
      </c>
    </row>
    <row r="395" spans="1:15" x14ac:dyDescent="0.25">
      <c r="A395" s="24">
        <v>43493</v>
      </c>
      <c r="B395" s="2" t="str">
        <f t="shared" si="13"/>
        <v>Mon</v>
      </c>
      <c r="C395" s="7">
        <f>SUMIFS('Leave Management'!$L:$L,'Leave Management'!$C:$C,Detail!$A395,'Leave Management'!$B:$B,Detail!C$1)</f>
        <v>0</v>
      </c>
      <c r="D395" s="7">
        <f>SUMIFS('Leave Management'!$L:$L,'Leave Management'!$C:$C,Detail!$A395,'Leave Management'!$B:$B,Detail!D$1)</f>
        <v>0</v>
      </c>
      <c r="E395" s="7">
        <f>SUMIFS('Leave Management'!$L:$L,'Leave Management'!$C:$C,Detail!$A395,'Leave Management'!$B:$B,Detail!E$1)</f>
        <v>0</v>
      </c>
      <c r="F395" s="7">
        <f>SUMIFS('Leave Management'!$L:$L,'Leave Management'!$C:$C,Detail!$A395,'Leave Management'!$B:$B,Detail!F$1)</f>
        <v>1</v>
      </c>
      <c r="G395" s="7">
        <f>SUMIFS('Leave Management'!$L:$L,'Leave Management'!$C:$C,Detail!$A395,'Leave Management'!$B:$B,Detail!G$1)</f>
        <v>0</v>
      </c>
      <c r="H395" s="7">
        <f>SUMIFS('Leave Management'!$L:$L,'Leave Management'!$C:$C,Detail!$A395,'Leave Management'!$B:$B,Detail!H$1)</f>
        <v>0</v>
      </c>
      <c r="I395" s="7">
        <f>SUMIFS('Leave Management'!$L:$L,'Leave Management'!$C:$C,Detail!$A395,'Leave Management'!$B:$B,Detail!I$1)</f>
        <v>0</v>
      </c>
      <c r="J395" s="7">
        <f>SUMIFS('Leave Management'!$L:$L,'Leave Management'!$C:$C,Detail!$A395,'Leave Management'!$B:$B,Detail!J$1)</f>
        <v>0</v>
      </c>
      <c r="K395" s="7">
        <f>SUMIFS('Leave Management'!$L:$L,'Leave Management'!$C:$C,Detail!$A395,'Leave Management'!$B:$B,Detail!K$1)</f>
        <v>0</v>
      </c>
      <c r="L395" s="7">
        <f>SUMIFS('Leave Management'!$L:$L,'Leave Management'!$C:$C,Detail!$A395,'Leave Management'!$B:$B,Detail!L$1)</f>
        <v>0</v>
      </c>
      <c r="M395" s="7">
        <f>SUMIFS('Leave Management'!$L:$L,'Leave Management'!$C:$C,Detail!$A395,'Leave Management'!$B:$B,Detail!M$1)</f>
        <v>0</v>
      </c>
      <c r="N395" s="7">
        <f>SUMIFS('Leave Management'!$L:$L,'Leave Management'!$C:$C,Detail!$A395,'Leave Management'!$B:$B,Detail!N$1)</f>
        <v>0</v>
      </c>
      <c r="O395" s="7">
        <f t="shared" si="14"/>
        <v>11</v>
      </c>
    </row>
    <row r="396" spans="1:15" x14ac:dyDescent="0.25">
      <c r="A396" s="24">
        <v>43494</v>
      </c>
      <c r="B396" s="2" t="str">
        <f t="shared" si="13"/>
        <v>Tue</v>
      </c>
      <c r="C396" s="7">
        <f>SUMIFS('Leave Management'!$L:$L,'Leave Management'!$C:$C,Detail!$A396,'Leave Management'!$B:$B,Detail!C$1)</f>
        <v>0</v>
      </c>
      <c r="D396" s="7">
        <f>SUMIFS('Leave Management'!$L:$L,'Leave Management'!$C:$C,Detail!$A396,'Leave Management'!$B:$B,Detail!D$1)</f>
        <v>0</v>
      </c>
      <c r="E396" s="7">
        <f>SUMIFS('Leave Management'!$L:$L,'Leave Management'!$C:$C,Detail!$A396,'Leave Management'!$B:$B,Detail!E$1)</f>
        <v>0</v>
      </c>
      <c r="F396" s="7">
        <f>SUMIFS('Leave Management'!$L:$L,'Leave Management'!$C:$C,Detail!$A396,'Leave Management'!$B:$B,Detail!F$1)</f>
        <v>0</v>
      </c>
      <c r="G396" s="7">
        <f>SUMIFS('Leave Management'!$L:$L,'Leave Management'!$C:$C,Detail!$A396,'Leave Management'!$B:$B,Detail!G$1)</f>
        <v>0</v>
      </c>
      <c r="H396" s="7">
        <f>SUMIFS('Leave Management'!$L:$L,'Leave Management'!$C:$C,Detail!$A396,'Leave Management'!$B:$B,Detail!H$1)</f>
        <v>0</v>
      </c>
      <c r="I396" s="7">
        <f>SUMIFS('Leave Management'!$L:$L,'Leave Management'!$C:$C,Detail!$A396,'Leave Management'!$B:$B,Detail!I$1)</f>
        <v>0</v>
      </c>
      <c r="J396" s="7">
        <f>SUMIFS('Leave Management'!$L:$L,'Leave Management'!$C:$C,Detail!$A396,'Leave Management'!$B:$B,Detail!J$1)</f>
        <v>0</v>
      </c>
      <c r="K396" s="7">
        <f>SUMIFS('Leave Management'!$L:$L,'Leave Management'!$C:$C,Detail!$A396,'Leave Management'!$B:$B,Detail!K$1)</f>
        <v>0</v>
      </c>
      <c r="L396" s="7">
        <f>SUMIFS('Leave Management'!$L:$L,'Leave Management'!$C:$C,Detail!$A396,'Leave Management'!$B:$B,Detail!L$1)</f>
        <v>0</v>
      </c>
      <c r="M396" s="7">
        <f>SUMIFS('Leave Management'!$L:$L,'Leave Management'!$C:$C,Detail!$A396,'Leave Management'!$B:$B,Detail!M$1)</f>
        <v>0</v>
      </c>
      <c r="N396" s="7">
        <f>SUMIFS('Leave Management'!$L:$L,'Leave Management'!$C:$C,Detail!$A396,'Leave Management'!$B:$B,Detail!N$1)</f>
        <v>0</v>
      </c>
      <c r="O396" s="7">
        <f t="shared" si="14"/>
        <v>12</v>
      </c>
    </row>
    <row r="397" spans="1:15" x14ac:dyDescent="0.25">
      <c r="A397" s="24">
        <v>43495</v>
      </c>
      <c r="B397" s="2" t="str">
        <f t="shared" si="13"/>
        <v>Wed</v>
      </c>
      <c r="C397" s="7">
        <f>SUMIFS('Leave Management'!$L:$L,'Leave Management'!$C:$C,Detail!$A397,'Leave Management'!$B:$B,Detail!C$1)</f>
        <v>0</v>
      </c>
      <c r="D397" s="7">
        <f>SUMIFS('Leave Management'!$L:$L,'Leave Management'!$C:$C,Detail!$A397,'Leave Management'!$B:$B,Detail!D$1)</f>
        <v>0</v>
      </c>
      <c r="E397" s="7">
        <f>SUMIFS('Leave Management'!$L:$L,'Leave Management'!$C:$C,Detail!$A397,'Leave Management'!$B:$B,Detail!E$1)</f>
        <v>0</v>
      </c>
      <c r="F397" s="7">
        <f>SUMIFS('Leave Management'!$L:$L,'Leave Management'!$C:$C,Detail!$A397,'Leave Management'!$B:$B,Detail!F$1)</f>
        <v>0</v>
      </c>
      <c r="G397" s="7">
        <f>SUMIFS('Leave Management'!$L:$L,'Leave Management'!$C:$C,Detail!$A397,'Leave Management'!$B:$B,Detail!G$1)</f>
        <v>0</v>
      </c>
      <c r="H397" s="7">
        <f>SUMIFS('Leave Management'!$L:$L,'Leave Management'!$C:$C,Detail!$A397,'Leave Management'!$B:$B,Detail!H$1)</f>
        <v>0</v>
      </c>
      <c r="I397" s="7">
        <f>SUMIFS('Leave Management'!$L:$L,'Leave Management'!$C:$C,Detail!$A397,'Leave Management'!$B:$B,Detail!I$1)</f>
        <v>0</v>
      </c>
      <c r="J397" s="7">
        <f>SUMIFS('Leave Management'!$L:$L,'Leave Management'!$C:$C,Detail!$A397,'Leave Management'!$B:$B,Detail!J$1)</f>
        <v>0</v>
      </c>
      <c r="K397" s="7">
        <f>SUMIFS('Leave Management'!$L:$L,'Leave Management'!$C:$C,Detail!$A397,'Leave Management'!$B:$B,Detail!K$1)</f>
        <v>0</v>
      </c>
      <c r="L397" s="7">
        <f>SUMIFS('Leave Management'!$L:$L,'Leave Management'!$C:$C,Detail!$A397,'Leave Management'!$B:$B,Detail!L$1)</f>
        <v>0</v>
      </c>
      <c r="M397" s="7">
        <f>SUMIFS('Leave Management'!$L:$L,'Leave Management'!$C:$C,Detail!$A397,'Leave Management'!$B:$B,Detail!M$1)</f>
        <v>0</v>
      </c>
      <c r="N397" s="7">
        <f>SUMIFS('Leave Management'!$L:$L,'Leave Management'!$C:$C,Detail!$A397,'Leave Management'!$B:$B,Detail!N$1)</f>
        <v>0</v>
      </c>
      <c r="O397" s="7">
        <f t="shared" si="14"/>
        <v>12</v>
      </c>
    </row>
    <row r="398" spans="1:15" x14ac:dyDescent="0.25">
      <c r="A398" s="24">
        <v>43496</v>
      </c>
      <c r="B398" s="2" t="str">
        <f t="shared" si="13"/>
        <v>Thu</v>
      </c>
      <c r="C398" s="7">
        <f>SUMIFS('Leave Management'!$L:$L,'Leave Management'!$C:$C,Detail!$A398,'Leave Management'!$B:$B,Detail!C$1)</f>
        <v>0</v>
      </c>
      <c r="D398" s="7">
        <f>SUMIFS('Leave Management'!$L:$L,'Leave Management'!$C:$C,Detail!$A398,'Leave Management'!$B:$B,Detail!D$1)</f>
        <v>0</v>
      </c>
      <c r="E398" s="7">
        <f>SUMIFS('Leave Management'!$L:$L,'Leave Management'!$C:$C,Detail!$A398,'Leave Management'!$B:$B,Detail!E$1)</f>
        <v>0</v>
      </c>
      <c r="F398" s="7">
        <f>SUMIFS('Leave Management'!$L:$L,'Leave Management'!$C:$C,Detail!$A398,'Leave Management'!$B:$B,Detail!F$1)</f>
        <v>0</v>
      </c>
      <c r="G398" s="7">
        <f>SUMIFS('Leave Management'!$L:$L,'Leave Management'!$C:$C,Detail!$A398,'Leave Management'!$B:$B,Detail!G$1)</f>
        <v>0</v>
      </c>
      <c r="H398" s="7">
        <f>SUMIFS('Leave Management'!$L:$L,'Leave Management'!$C:$C,Detail!$A398,'Leave Management'!$B:$B,Detail!H$1)</f>
        <v>0</v>
      </c>
      <c r="I398" s="7">
        <f>SUMIFS('Leave Management'!$L:$L,'Leave Management'!$C:$C,Detail!$A398,'Leave Management'!$B:$B,Detail!I$1)</f>
        <v>0</v>
      </c>
      <c r="J398" s="7">
        <f>SUMIFS('Leave Management'!$L:$L,'Leave Management'!$C:$C,Detail!$A398,'Leave Management'!$B:$B,Detail!J$1)</f>
        <v>0</v>
      </c>
      <c r="K398" s="7">
        <f>SUMIFS('Leave Management'!$L:$L,'Leave Management'!$C:$C,Detail!$A398,'Leave Management'!$B:$B,Detail!K$1)</f>
        <v>0</v>
      </c>
      <c r="L398" s="7">
        <f>SUMIFS('Leave Management'!$L:$L,'Leave Management'!$C:$C,Detail!$A398,'Leave Management'!$B:$B,Detail!L$1)</f>
        <v>0</v>
      </c>
      <c r="M398" s="7">
        <f>SUMIFS('Leave Management'!$L:$L,'Leave Management'!$C:$C,Detail!$A398,'Leave Management'!$B:$B,Detail!M$1)</f>
        <v>0</v>
      </c>
      <c r="N398" s="7">
        <f>SUMIFS('Leave Management'!$L:$L,'Leave Management'!$C:$C,Detail!$A398,'Leave Management'!$B:$B,Detail!N$1)</f>
        <v>0</v>
      </c>
      <c r="O398" s="7">
        <f t="shared" si="14"/>
        <v>12</v>
      </c>
    </row>
    <row r="399" spans="1:15" x14ac:dyDescent="0.25">
      <c r="A399" s="24">
        <v>43497</v>
      </c>
      <c r="B399" s="2" t="str">
        <f t="shared" si="13"/>
        <v>Fri</v>
      </c>
      <c r="C399" s="7">
        <f>SUMIFS('Leave Management'!$L:$L,'Leave Management'!$C:$C,Detail!$A399,'Leave Management'!$B:$B,Detail!C$1)</f>
        <v>0</v>
      </c>
      <c r="D399" s="7">
        <f>SUMIFS('Leave Management'!$L:$L,'Leave Management'!$C:$C,Detail!$A399,'Leave Management'!$B:$B,Detail!D$1)</f>
        <v>0</v>
      </c>
      <c r="E399" s="7">
        <f>SUMIFS('Leave Management'!$L:$L,'Leave Management'!$C:$C,Detail!$A399,'Leave Management'!$B:$B,Detail!E$1)</f>
        <v>0</v>
      </c>
      <c r="F399" s="7">
        <f>SUMIFS('Leave Management'!$L:$L,'Leave Management'!$C:$C,Detail!$A399,'Leave Management'!$B:$B,Detail!F$1)</f>
        <v>0</v>
      </c>
      <c r="G399" s="7">
        <f>SUMIFS('Leave Management'!$L:$L,'Leave Management'!$C:$C,Detail!$A399,'Leave Management'!$B:$B,Detail!G$1)</f>
        <v>0</v>
      </c>
      <c r="H399" s="7">
        <f>SUMIFS('Leave Management'!$L:$L,'Leave Management'!$C:$C,Detail!$A399,'Leave Management'!$B:$B,Detail!H$1)</f>
        <v>0</v>
      </c>
      <c r="I399" s="7">
        <f>SUMIFS('Leave Management'!$L:$L,'Leave Management'!$C:$C,Detail!$A399,'Leave Management'!$B:$B,Detail!I$1)</f>
        <v>0</v>
      </c>
      <c r="J399" s="7">
        <f>SUMIFS('Leave Management'!$L:$L,'Leave Management'!$C:$C,Detail!$A399,'Leave Management'!$B:$B,Detail!J$1)</f>
        <v>0</v>
      </c>
      <c r="K399" s="7">
        <f>SUMIFS('Leave Management'!$L:$L,'Leave Management'!$C:$C,Detail!$A399,'Leave Management'!$B:$B,Detail!K$1)</f>
        <v>0</v>
      </c>
      <c r="L399" s="7">
        <f>SUMIFS('Leave Management'!$L:$L,'Leave Management'!$C:$C,Detail!$A399,'Leave Management'!$B:$B,Detail!L$1)</f>
        <v>0</v>
      </c>
      <c r="M399" s="7">
        <f>SUMIFS('Leave Management'!$L:$L,'Leave Management'!$C:$C,Detail!$A399,'Leave Management'!$B:$B,Detail!M$1)</f>
        <v>0</v>
      </c>
      <c r="N399" s="7">
        <f>SUMIFS('Leave Management'!$L:$L,'Leave Management'!$C:$C,Detail!$A399,'Leave Management'!$B:$B,Detail!N$1)</f>
        <v>0</v>
      </c>
      <c r="O399" s="7">
        <f t="shared" si="14"/>
        <v>12</v>
      </c>
    </row>
    <row r="400" spans="1:15" x14ac:dyDescent="0.25">
      <c r="A400" s="24">
        <v>43498</v>
      </c>
      <c r="B400" s="2" t="str">
        <f t="shared" si="13"/>
        <v>Sat</v>
      </c>
      <c r="C400" s="7">
        <f>SUMIFS('Leave Management'!$L:$L,'Leave Management'!$C:$C,Detail!$A400,'Leave Management'!$B:$B,Detail!C$1)</f>
        <v>0</v>
      </c>
      <c r="D400" s="7">
        <f>SUMIFS('Leave Management'!$L:$L,'Leave Management'!$C:$C,Detail!$A400,'Leave Management'!$B:$B,Detail!D$1)</f>
        <v>0</v>
      </c>
      <c r="E400" s="7">
        <f>SUMIFS('Leave Management'!$L:$L,'Leave Management'!$C:$C,Detail!$A400,'Leave Management'!$B:$B,Detail!E$1)</f>
        <v>0</v>
      </c>
      <c r="F400" s="7">
        <f>SUMIFS('Leave Management'!$L:$L,'Leave Management'!$C:$C,Detail!$A400,'Leave Management'!$B:$B,Detail!F$1)</f>
        <v>0</v>
      </c>
      <c r="G400" s="7">
        <f>SUMIFS('Leave Management'!$L:$L,'Leave Management'!$C:$C,Detail!$A400,'Leave Management'!$B:$B,Detail!G$1)</f>
        <v>0</v>
      </c>
      <c r="H400" s="7">
        <f>SUMIFS('Leave Management'!$L:$L,'Leave Management'!$C:$C,Detail!$A400,'Leave Management'!$B:$B,Detail!H$1)</f>
        <v>0</v>
      </c>
      <c r="I400" s="7">
        <f>SUMIFS('Leave Management'!$L:$L,'Leave Management'!$C:$C,Detail!$A400,'Leave Management'!$B:$B,Detail!I$1)</f>
        <v>0</v>
      </c>
      <c r="J400" s="7">
        <f>SUMIFS('Leave Management'!$L:$L,'Leave Management'!$C:$C,Detail!$A400,'Leave Management'!$B:$B,Detail!J$1)</f>
        <v>0</v>
      </c>
      <c r="K400" s="7">
        <f>SUMIFS('Leave Management'!$L:$L,'Leave Management'!$C:$C,Detail!$A400,'Leave Management'!$B:$B,Detail!K$1)</f>
        <v>0</v>
      </c>
      <c r="L400" s="7">
        <f>SUMIFS('Leave Management'!$L:$L,'Leave Management'!$C:$C,Detail!$A400,'Leave Management'!$B:$B,Detail!L$1)</f>
        <v>0</v>
      </c>
      <c r="M400" s="7">
        <f>SUMIFS('Leave Management'!$L:$L,'Leave Management'!$C:$C,Detail!$A400,'Leave Management'!$B:$B,Detail!M$1)</f>
        <v>0</v>
      </c>
      <c r="N400" s="7">
        <f>SUMIFS('Leave Management'!$L:$L,'Leave Management'!$C:$C,Detail!$A400,'Leave Management'!$B:$B,Detail!N$1)</f>
        <v>0</v>
      </c>
      <c r="O400" s="7">
        <f t="shared" si="14"/>
        <v>12</v>
      </c>
    </row>
    <row r="401" spans="1:15" x14ac:dyDescent="0.25">
      <c r="A401" s="24">
        <v>43499</v>
      </c>
      <c r="B401" s="2" t="str">
        <f t="shared" si="13"/>
        <v>Sun</v>
      </c>
      <c r="C401" s="7">
        <f>SUMIFS('Leave Management'!$L:$L,'Leave Management'!$C:$C,Detail!$A401,'Leave Management'!$B:$B,Detail!C$1)</f>
        <v>0</v>
      </c>
      <c r="D401" s="7">
        <f>SUMIFS('Leave Management'!$L:$L,'Leave Management'!$C:$C,Detail!$A401,'Leave Management'!$B:$B,Detail!D$1)</f>
        <v>0</v>
      </c>
      <c r="E401" s="7">
        <f>SUMIFS('Leave Management'!$L:$L,'Leave Management'!$C:$C,Detail!$A401,'Leave Management'!$B:$B,Detail!E$1)</f>
        <v>0</v>
      </c>
      <c r="F401" s="7">
        <f>SUMIFS('Leave Management'!$L:$L,'Leave Management'!$C:$C,Detail!$A401,'Leave Management'!$B:$B,Detail!F$1)</f>
        <v>0</v>
      </c>
      <c r="G401" s="7">
        <f>SUMIFS('Leave Management'!$L:$L,'Leave Management'!$C:$C,Detail!$A401,'Leave Management'!$B:$B,Detail!G$1)</f>
        <v>0</v>
      </c>
      <c r="H401" s="7">
        <f>SUMIFS('Leave Management'!$L:$L,'Leave Management'!$C:$C,Detail!$A401,'Leave Management'!$B:$B,Detail!H$1)</f>
        <v>0</v>
      </c>
      <c r="I401" s="7">
        <f>SUMIFS('Leave Management'!$L:$L,'Leave Management'!$C:$C,Detail!$A401,'Leave Management'!$B:$B,Detail!I$1)</f>
        <v>0</v>
      </c>
      <c r="J401" s="7">
        <f>SUMIFS('Leave Management'!$L:$L,'Leave Management'!$C:$C,Detail!$A401,'Leave Management'!$B:$B,Detail!J$1)</f>
        <v>0</v>
      </c>
      <c r="K401" s="7">
        <f>SUMIFS('Leave Management'!$L:$L,'Leave Management'!$C:$C,Detail!$A401,'Leave Management'!$B:$B,Detail!K$1)</f>
        <v>0</v>
      </c>
      <c r="L401" s="7">
        <f>SUMIFS('Leave Management'!$L:$L,'Leave Management'!$C:$C,Detail!$A401,'Leave Management'!$B:$B,Detail!L$1)</f>
        <v>0</v>
      </c>
      <c r="M401" s="7">
        <f>SUMIFS('Leave Management'!$L:$L,'Leave Management'!$C:$C,Detail!$A401,'Leave Management'!$B:$B,Detail!M$1)</f>
        <v>0</v>
      </c>
      <c r="N401" s="7">
        <f>SUMIFS('Leave Management'!$L:$L,'Leave Management'!$C:$C,Detail!$A401,'Leave Management'!$B:$B,Detail!N$1)</f>
        <v>0</v>
      </c>
      <c r="O401" s="7">
        <f t="shared" si="14"/>
        <v>12</v>
      </c>
    </row>
    <row r="402" spans="1:15" x14ac:dyDescent="0.25">
      <c r="A402" s="38">
        <v>43500</v>
      </c>
      <c r="B402" s="2" t="str">
        <f t="shared" si="13"/>
        <v>Mon</v>
      </c>
      <c r="C402" s="7">
        <f>SUMIFS('Leave Management'!$L:$L,'Leave Management'!$C:$C,Detail!$A402,'Leave Management'!$B:$B,Detail!C$1)</f>
        <v>0</v>
      </c>
      <c r="D402" s="7">
        <f>SUMIFS('Leave Management'!$L:$L,'Leave Management'!$C:$C,Detail!$A402,'Leave Management'!$B:$B,Detail!D$1)</f>
        <v>0</v>
      </c>
      <c r="E402" s="7">
        <f>SUMIFS('Leave Management'!$L:$L,'Leave Management'!$C:$C,Detail!$A402,'Leave Management'!$B:$B,Detail!E$1)</f>
        <v>0</v>
      </c>
      <c r="F402" s="7">
        <f>SUMIFS('Leave Management'!$L:$L,'Leave Management'!$C:$C,Detail!$A402,'Leave Management'!$B:$B,Detail!F$1)</f>
        <v>0</v>
      </c>
      <c r="G402" s="7">
        <f>SUMIFS('Leave Management'!$L:$L,'Leave Management'!$C:$C,Detail!$A402,'Leave Management'!$B:$B,Detail!G$1)</f>
        <v>0</v>
      </c>
      <c r="H402" s="7">
        <f>SUMIFS('Leave Management'!$L:$L,'Leave Management'!$C:$C,Detail!$A402,'Leave Management'!$B:$B,Detail!H$1)</f>
        <v>0</v>
      </c>
      <c r="I402" s="7">
        <f>SUMIFS('Leave Management'!$L:$L,'Leave Management'!$C:$C,Detail!$A402,'Leave Management'!$B:$B,Detail!I$1)</f>
        <v>0</v>
      </c>
      <c r="J402" s="7">
        <f>SUMIFS('Leave Management'!$L:$L,'Leave Management'!$C:$C,Detail!$A402,'Leave Management'!$B:$B,Detail!J$1)</f>
        <v>0</v>
      </c>
      <c r="K402" s="7">
        <f>SUMIFS('Leave Management'!$L:$L,'Leave Management'!$C:$C,Detail!$A402,'Leave Management'!$B:$B,Detail!K$1)</f>
        <v>0</v>
      </c>
      <c r="L402" s="7">
        <f>SUMIFS('Leave Management'!$L:$L,'Leave Management'!$C:$C,Detail!$A402,'Leave Management'!$B:$B,Detail!L$1)</f>
        <v>0</v>
      </c>
      <c r="M402" s="7">
        <f>SUMIFS('Leave Management'!$L:$L,'Leave Management'!$C:$C,Detail!$A402,'Leave Management'!$B:$B,Detail!M$1)</f>
        <v>0</v>
      </c>
      <c r="N402" s="7">
        <f>SUMIFS('Leave Management'!$L:$L,'Leave Management'!$C:$C,Detail!$A402,'Leave Management'!$B:$B,Detail!N$1)</f>
        <v>0</v>
      </c>
      <c r="O402" s="7">
        <f t="shared" si="14"/>
        <v>12</v>
      </c>
    </row>
    <row r="403" spans="1:15" x14ac:dyDescent="0.25">
      <c r="A403" s="38">
        <v>43501</v>
      </c>
      <c r="B403" s="2" t="str">
        <f t="shared" si="13"/>
        <v>Tue</v>
      </c>
      <c r="C403" s="7">
        <f>SUMIFS('Leave Management'!$L:$L,'Leave Management'!$C:$C,Detail!$A403,'Leave Management'!$B:$B,Detail!C$1)</f>
        <v>0</v>
      </c>
      <c r="D403" s="7">
        <f>SUMIFS('Leave Management'!$L:$L,'Leave Management'!$C:$C,Detail!$A403,'Leave Management'!$B:$B,Detail!D$1)</f>
        <v>0</v>
      </c>
      <c r="E403" s="7">
        <f>SUMIFS('Leave Management'!$L:$L,'Leave Management'!$C:$C,Detail!$A403,'Leave Management'!$B:$B,Detail!E$1)</f>
        <v>0</v>
      </c>
      <c r="F403" s="7">
        <f>SUMIFS('Leave Management'!$L:$L,'Leave Management'!$C:$C,Detail!$A403,'Leave Management'!$B:$B,Detail!F$1)</f>
        <v>0</v>
      </c>
      <c r="G403" s="7">
        <f>SUMIFS('Leave Management'!$L:$L,'Leave Management'!$C:$C,Detail!$A403,'Leave Management'!$B:$B,Detail!G$1)</f>
        <v>0</v>
      </c>
      <c r="H403" s="7">
        <f>SUMIFS('Leave Management'!$L:$L,'Leave Management'!$C:$C,Detail!$A403,'Leave Management'!$B:$B,Detail!H$1)</f>
        <v>0</v>
      </c>
      <c r="I403" s="7">
        <f>SUMIFS('Leave Management'!$L:$L,'Leave Management'!$C:$C,Detail!$A403,'Leave Management'!$B:$B,Detail!I$1)</f>
        <v>0</v>
      </c>
      <c r="J403" s="7">
        <f>SUMIFS('Leave Management'!$L:$L,'Leave Management'!$C:$C,Detail!$A403,'Leave Management'!$B:$B,Detail!J$1)</f>
        <v>0</v>
      </c>
      <c r="K403" s="7">
        <f>SUMIFS('Leave Management'!$L:$L,'Leave Management'!$C:$C,Detail!$A403,'Leave Management'!$B:$B,Detail!K$1)</f>
        <v>0</v>
      </c>
      <c r="L403" s="7">
        <f>SUMIFS('Leave Management'!$L:$L,'Leave Management'!$C:$C,Detail!$A403,'Leave Management'!$B:$B,Detail!L$1)</f>
        <v>0</v>
      </c>
      <c r="M403" s="7">
        <f>SUMIFS('Leave Management'!$L:$L,'Leave Management'!$C:$C,Detail!$A403,'Leave Management'!$B:$B,Detail!M$1)</f>
        <v>0</v>
      </c>
      <c r="N403" s="7">
        <f>SUMIFS('Leave Management'!$L:$L,'Leave Management'!$C:$C,Detail!$A403,'Leave Management'!$B:$B,Detail!N$1)</f>
        <v>0</v>
      </c>
      <c r="O403" s="7">
        <f t="shared" si="14"/>
        <v>12</v>
      </c>
    </row>
    <row r="404" spans="1:15" x14ac:dyDescent="0.25">
      <c r="A404" s="38">
        <v>43502</v>
      </c>
      <c r="B404" s="2" t="str">
        <f t="shared" si="13"/>
        <v>Wed</v>
      </c>
      <c r="C404" s="7">
        <f>SUMIFS('Leave Management'!$L:$L,'Leave Management'!$C:$C,Detail!$A404,'Leave Management'!$B:$B,Detail!C$1)</f>
        <v>0</v>
      </c>
      <c r="D404" s="7">
        <f>SUMIFS('Leave Management'!$L:$L,'Leave Management'!$C:$C,Detail!$A404,'Leave Management'!$B:$B,Detail!D$1)</f>
        <v>0</v>
      </c>
      <c r="E404" s="7">
        <f>SUMIFS('Leave Management'!$L:$L,'Leave Management'!$C:$C,Detail!$A404,'Leave Management'!$B:$B,Detail!E$1)</f>
        <v>0</v>
      </c>
      <c r="F404" s="7">
        <f>SUMIFS('Leave Management'!$L:$L,'Leave Management'!$C:$C,Detail!$A404,'Leave Management'!$B:$B,Detail!F$1)</f>
        <v>0</v>
      </c>
      <c r="G404" s="7">
        <f>SUMIFS('Leave Management'!$L:$L,'Leave Management'!$C:$C,Detail!$A404,'Leave Management'!$B:$B,Detail!G$1)</f>
        <v>0</v>
      </c>
      <c r="H404" s="7">
        <f>SUMIFS('Leave Management'!$L:$L,'Leave Management'!$C:$C,Detail!$A404,'Leave Management'!$B:$B,Detail!H$1)</f>
        <v>0</v>
      </c>
      <c r="I404" s="7">
        <f>SUMIFS('Leave Management'!$L:$L,'Leave Management'!$C:$C,Detail!$A404,'Leave Management'!$B:$B,Detail!I$1)</f>
        <v>0</v>
      </c>
      <c r="J404" s="7">
        <f>SUMIFS('Leave Management'!$L:$L,'Leave Management'!$C:$C,Detail!$A404,'Leave Management'!$B:$B,Detail!J$1)</f>
        <v>0</v>
      </c>
      <c r="K404" s="7">
        <f>SUMIFS('Leave Management'!$L:$L,'Leave Management'!$C:$C,Detail!$A404,'Leave Management'!$B:$B,Detail!K$1)</f>
        <v>0</v>
      </c>
      <c r="L404" s="7">
        <f>SUMIFS('Leave Management'!$L:$L,'Leave Management'!$C:$C,Detail!$A404,'Leave Management'!$B:$B,Detail!L$1)</f>
        <v>0</v>
      </c>
      <c r="M404" s="7">
        <f>SUMIFS('Leave Management'!$L:$L,'Leave Management'!$C:$C,Detail!$A404,'Leave Management'!$B:$B,Detail!M$1)</f>
        <v>0</v>
      </c>
      <c r="N404" s="7">
        <f>SUMIFS('Leave Management'!$L:$L,'Leave Management'!$C:$C,Detail!$A404,'Leave Management'!$B:$B,Detail!N$1)</f>
        <v>0</v>
      </c>
      <c r="O404" s="7">
        <f t="shared" si="14"/>
        <v>12</v>
      </c>
    </row>
    <row r="405" spans="1:15" x14ac:dyDescent="0.25">
      <c r="A405" s="38">
        <v>43503</v>
      </c>
      <c r="B405" s="2" t="str">
        <f t="shared" si="13"/>
        <v>Thu</v>
      </c>
      <c r="C405" s="7">
        <f>SUMIFS('Leave Management'!$L:$L,'Leave Management'!$C:$C,Detail!$A405,'Leave Management'!$B:$B,Detail!C$1)</f>
        <v>0</v>
      </c>
      <c r="D405" s="7">
        <f>SUMIFS('Leave Management'!$L:$L,'Leave Management'!$C:$C,Detail!$A405,'Leave Management'!$B:$B,Detail!D$1)</f>
        <v>0</v>
      </c>
      <c r="E405" s="7">
        <f>SUMIFS('Leave Management'!$L:$L,'Leave Management'!$C:$C,Detail!$A405,'Leave Management'!$B:$B,Detail!E$1)</f>
        <v>0</v>
      </c>
      <c r="F405" s="7">
        <f>SUMIFS('Leave Management'!$L:$L,'Leave Management'!$C:$C,Detail!$A405,'Leave Management'!$B:$B,Detail!F$1)</f>
        <v>0</v>
      </c>
      <c r="G405" s="7">
        <f>SUMIFS('Leave Management'!$L:$L,'Leave Management'!$C:$C,Detail!$A405,'Leave Management'!$B:$B,Detail!G$1)</f>
        <v>0</v>
      </c>
      <c r="H405" s="7">
        <f>SUMIFS('Leave Management'!$L:$L,'Leave Management'!$C:$C,Detail!$A405,'Leave Management'!$B:$B,Detail!H$1)</f>
        <v>0</v>
      </c>
      <c r="I405" s="7">
        <f>SUMIFS('Leave Management'!$L:$L,'Leave Management'!$C:$C,Detail!$A405,'Leave Management'!$B:$B,Detail!I$1)</f>
        <v>0</v>
      </c>
      <c r="J405" s="7">
        <f>SUMIFS('Leave Management'!$L:$L,'Leave Management'!$C:$C,Detail!$A405,'Leave Management'!$B:$B,Detail!J$1)</f>
        <v>0</v>
      </c>
      <c r="K405" s="7">
        <f>SUMIFS('Leave Management'!$L:$L,'Leave Management'!$C:$C,Detail!$A405,'Leave Management'!$B:$B,Detail!K$1)</f>
        <v>0</v>
      </c>
      <c r="L405" s="7">
        <f>SUMIFS('Leave Management'!$L:$L,'Leave Management'!$C:$C,Detail!$A405,'Leave Management'!$B:$B,Detail!L$1)</f>
        <v>0</v>
      </c>
      <c r="M405" s="7">
        <f>SUMIFS('Leave Management'!$L:$L,'Leave Management'!$C:$C,Detail!$A405,'Leave Management'!$B:$B,Detail!M$1)</f>
        <v>0</v>
      </c>
      <c r="N405" s="7">
        <f>SUMIFS('Leave Management'!$L:$L,'Leave Management'!$C:$C,Detail!$A405,'Leave Management'!$B:$B,Detail!N$1)</f>
        <v>0</v>
      </c>
      <c r="O405" s="7">
        <f t="shared" si="14"/>
        <v>12</v>
      </c>
    </row>
    <row r="406" spans="1:15" x14ac:dyDescent="0.25">
      <c r="A406" s="38">
        <v>43504</v>
      </c>
      <c r="B406" s="2" t="str">
        <f t="shared" si="13"/>
        <v>Fri</v>
      </c>
      <c r="C406" s="7">
        <f>SUMIFS('Leave Management'!$L:$L,'Leave Management'!$C:$C,Detail!$A406,'Leave Management'!$B:$B,Detail!C$1)</f>
        <v>0</v>
      </c>
      <c r="D406" s="7">
        <f>SUMIFS('Leave Management'!$L:$L,'Leave Management'!$C:$C,Detail!$A406,'Leave Management'!$B:$B,Detail!D$1)</f>
        <v>0</v>
      </c>
      <c r="E406" s="7">
        <f>SUMIFS('Leave Management'!$L:$L,'Leave Management'!$C:$C,Detail!$A406,'Leave Management'!$B:$B,Detail!E$1)</f>
        <v>0</v>
      </c>
      <c r="F406" s="7">
        <f>SUMIFS('Leave Management'!$L:$L,'Leave Management'!$C:$C,Detail!$A406,'Leave Management'!$B:$B,Detail!F$1)</f>
        <v>0</v>
      </c>
      <c r="G406" s="7">
        <f>SUMIFS('Leave Management'!$L:$L,'Leave Management'!$C:$C,Detail!$A406,'Leave Management'!$B:$B,Detail!G$1)</f>
        <v>0</v>
      </c>
      <c r="H406" s="7">
        <f>SUMIFS('Leave Management'!$L:$L,'Leave Management'!$C:$C,Detail!$A406,'Leave Management'!$B:$B,Detail!H$1)</f>
        <v>0</v>
      </c>
      <c r="I406" s="7">
        <f>SUMIFS('Leave Management'!$L:$L,'Leave Management'!$C:$C,Detail!$A406,'Leave Management'!$B:$B,Detail!I$1)</f>
        <v>0</v>
      </c>
      <c r="J406" s="7">
        <f>SUMIFS('Leave Management'!$L:$L,'Leave Management'!$C:$C,Detail!$A406,'Leave Management'!$B:$B,Detail!J$1)</f>
        <v>0</v>
      </c>
      <c r="K406" s="7">
        <f>SUMIFS('Leave Management'!$L:$L,'Leave Management'!$C:$C,Detail!$A406,'Leave Management'!$B:$B,Detail!K$1)</f>
        <v>0</v>
      </c>
      <c r="L406" s="7">
        <f>SUMIFS('Leave Management'!$L:$L,'Leave Management'!$C:$C,Detail!$A406,'Leave Management'!$B:$B,Detail!L$1)</f>
        <v>0</v>
      </c>
      <c r="M406" s="7">
        <f>SUMIFS('Leave Management'!$L:$L,'Leave Management'!$C:$C,Detail!$A406,'Leave Management'!$B:$B,Detail!M$1)</f>
        <v>0</v>
      </c>
      <c r="N406" s="7">
        <f>SUMIFS('Leave Management'!$L:$L,'Leave Management'!$C:$C,Detail!$A406,'Leave Management'!$B:$B,Detail!N$1)</f>
        <v>0</v>
      </c>
      <c r="O406" s="7">
        <f t="shared" si="14"/>
        <v>12</v>
      </c>
    </row>
    <row r="407" spans="1:15" x14ac:dyDescent="0.25">
      <c r="A407" s="24">
        <v>43505</v>
      </c>
      <c r="B407" s="2" t="str">
        <f t="shared" si="13"/>
        <v>Sat</v>
      </c>
      <c r="C407" s="7">
        <f>SUMIFS('Leave Management'!$L:$L,'Leave Management'!$C:$C,Detail!$A407,'Leave Management'!$B:$B,Detail!C$1)</f>
        <v>0</v>
      </c>
      <c r="D407" s="7">
        <f>SUMIFS('Leave Management'!$L:$L,'Leave Management'!$C:$C,Detail!$A407,'Leave Management'!$B:$B,Detail!D$1)</f>
        <v>0</v>
      </c>
      <c r="E407" s="7">
        <f>SUMIFS('Leave Management'!$L:$L,'Leave Management'!$C:$C,Detail!$A407,'Leave Management'!$B:$B,Detail!E$1)</f>
        <v>0</v>
      </c>
      <c r="F407" s="7">
        <f>SUMIFS('Leave Management'!$L:$L,'Leave Management'!$C:$C,Detail!$A407,'Leave Management'!$B:$B,Detail!F$1)</f>
        <v>0</v>
      </c>
      <c r="G407" s="7">
        <f>SUMIFS('Leave Management'!$L:$L,'Leave Management'!$C:$C,Detail!$A407,'Leave Management'!$B:$B,Detail!G$1)</f>
        <v>0</v>
      </c>
      <c r="H407" s="7">
        <f>SUMIFS('Leave Management'!$L:$L,'Leave Management'!$C:$C,Detail!$A407,'Leave Management'!$B:$B,Detail!H$1)</f>
        <v>0</v>
      </c>
      <c r="I407" s="7">
        <f>SUMIFS('Leave Management'!$L:$L,'Leave Management'!$C:$C,Detail!$A407,'Leave Management'!$B:$B,Detail!I$1)</f>
        <v>0</v>
      </c>
      <c r="J407" s="7">
        <f>SUMIFS('Leave Management'!$L:$L,'Leave Management'!$C:$C,Detail!$A407,'Leave Management'!$B:$B,Detail!J$1)</f>
        <v>0</v>
      </c>
      <c r="K407" s="7">
        <f>SUMIFS('Leave Management'!$L:$L,'Leave Management'!$C:$C,Detail!$A407,'Leave Management'!$B:$B,Detail!K$1)</f>
        <v>0</v>
      </c>
      <c r="L407" s="7">
        <f>SUMIFS('Leave Management'!$L:$L,'Leave Management'!$C:$C,Detail!$A407,'Leave Management'!$B:$B,Detail!L$1)</f>
        <v>0</v>
      </c>
      <c r="M407" s="7">
        <f>SUMIFS('Leave Management'!$L:$L,'Leave Management'!$C:$C,Detail!$A407,'Leave Management'!$B:$B,Detail!M$1)</f>
        <v>0</v>
      </c>
      <c r="N407" s="7">
        <f>SUMIFS('Leave Management'!$L:$L,'Leave Management'!$C:$C,Detail!$A407,'Leave Management'!$B:$B,Detail!N$1)</f>
        <v>0</v>
      </c>
      <c r="O407" s="7">
        <f t="shared" si="14"/>
        <v>12</v>
      </c>
    </row>
    <row r="408" spans="1:15" x14ac:dyDescent="0.25">
      <c r="A408" s="24">
        <v>43506</v>
      </c>
      <c r="B408" s="2" t="str">
        <f t="shared" si="13"/>
        <v>Sun</v>
      </c>
      <c r="C408" s="7">
        <f>SUMIFS('Leave Management'!$L:$L,'Leave Management'!$C:$C,Detail!$A408,'Leave Management'!$B:$B,Detail!C$1)</f>
        <v>0</v>
      </c>
      <c r="D408" s="7">
        <f>SUMIFS('Leave Management'!$L:$L,'Leave Management'!$C:$C,Detail!$A408,'Leave Management'!$B:$B,Detail!D$1)</f>
        <v>0</v>
      </c>
      <c r="E408" s="7">
        <f>SUMIFS('Leave Management'!$L:$L,'Leave Management'!$C:$C,Detail!$A408,'Leave Management'!$B:$B,Detail!E$1)</f>
        <v>0</v>
      </c>
      <c r="F408" s="7">
        <f>SUMIFS('Leave Management'!$L:$L,'Leave Management'!$C:$C,Detail!$A408,'Leave Management'!$B:$B,Detail!F$1)</f>
        <v>0</v>
      </c>
      <c r="G408" s="7">
        <f>SUMIFS('Leave Management'!$L:$L,'Leave Management'!$C:$C,Detail!$A408,'Leave Management'!$B:$B,Detail!G$1)</f>
        <v>0</v>
      </c>
      <c r="H408" s="7">
        <f>SUMIFS('Leave Management'!$L:$L,'Leave Management'!$C:$C,Detail!$A408,'Leave Management'!$B:$B,Detail!H$1)</f>
        <v>0</v>
      </c>
      <c r="I408" s="7">
        <f>SUMIFS('Leave Management'!$L:$L,'Leave Management'!$C:$C,Detail!$A408,'Leave Management'!$B:$B,Detail!I$1)</f>
        <v>0</v>
      </c>
      <c r="J408" s="7">
        <f>SUMIFS('Leave Management'!$L:$L,'Leave Management'!$C:$C,Detail!$A408,'Leave Management'!$B:$B,Detail!J$1)</f>
        <v>0</v>
      </c>
      <c r="K408" s="7">
        <f>SUMIFS('Leave Management'!$L:$L,'Leave Management'!$C:$C,Detail!$A408,'Leave Management'!$B:$B,Detail!K$1)</f>
        <v>0</v>
      </c>
      <c r="L408" s="7">
        <f>SUMIFS('Leave Management'!$L:$L,'Leave Management'!$C:$C,Detail!$A408,'Leave Management'!$B:$B,Detail!L$1)</f>
        <v>0</v>
      </c>
      <c r="M408" s="7">
        <f>SUMIFS('Leave Management'!$L:$L,'Leave Management'!$C:$C,Detail!$A408,'Leave Management'!$B:$B,Detail!M$1)</f>
        <v>0</v>
      </c>
      <c r="N408" s="7">
        <f>SUMIFS('Leave Management'!$L:$L,'Leave Management'!$C:$C,Detail!$A408,'Leave Management'!$B:$B,Detail!N$1)</f>
        <v>0</v>
      </c>
      <c r="O408" s="7">
        <f t="shared" si="14"/>
        <v>12</v>
      </c>
    </row>
    <row r="409" spans="1:15" x14ac:dyDescent="0.25">
      <c r="A409" s="24">
        <v>43507</v>
      </c>
      <c r="B409" s="2" t="str">
        <f t="shared" si="13"/>
        <v>Mon</v>
      </c>
      <c r="C409" s="7">
        <f>SUMIFS('Leave Management'!$L:$L,'Leave Management'!$C:$C,Detail!$A409,'Leave Management'!$B:$B,Detail!C$1)</f>
        <v>0</v>
      </c>
      <c r="D409" s="7">
        <f>SUMIFS('Leave Management'!$L:$L,'Leave Management'!$C:$C,Detail!$A409,'Leave Management'!$B:$B,Detail!D$1)</f>
        <v>0</v>
      </c>
      <c r="E409" s="7">
        <f>SUMIFS('Leave Management'!$L:$L,'Leave Management'!$C:$C,Detail!$A409,'Leave Management'!$B:$B,Detail!E$1)</f>
        <v>0</v>
      </c>
      <c r="F409" s="7">
        <f>SUMIFS('Leave Management'!$L:$L,'Leave Management'!$C:$C,Detail!$A409,'Leave Management'!$B:$B,Detail!F$1)</f>
        <v>0</v>
      </c>
      <c r="G409" s="7">
        <f>SUMIFS('Leave Management'!$L:$L,'Leave Management'!$C:$C,Detail!$A409,'Leave Management'!$B:$B,Detail!G$1)</f>
        <v>0</v>
      </c>
      <c r="H409" s="7">
        <f>SUMIFS('Leave Management'!$L:$L,'Leave Management'!$C:$C,Detail!$A409,'Leave Management'!$B:$B,Detail!H$1)</f>
        <v>0</v>
      </c>
      <c r="I409" s="7">
        <f>SUMIFS('Leave Management'!$L:$L,'Leave Management'!$C:$C,Detail!$A409,'Leave Management'!$B:$B,Detail!I$1)</f>
        <v>0</v>
      </c>
      <c r="J409" s="7">
        <f>SUMIFS('Leave Management'!$L:$L,'Leave Management'!$C:$C,Detail!$A409,'Leave Management'!$B:$B,Detail!J$1)</f>
        <v>0</v>
      </c>
      <c r="K409" s="7">
        <f>SUMIFS('Leave Management'!$L:$L,'Leave Management'!$C:$C,Detail!$A409,'Leave Management'!$B:$B,Detail!K$1)</f>
        <v>0</v>
      </c>
      <c r="L409" s="7">
        <f>SUMIFS('Leave Management'!$L:$L,'Leave Management'!$C:$C,Detail!$A409,'Leave Management'!$B:$B,Detail!L$1)</f>
        <v>0</v>
      </c>
      <c r="M409" s="7">
        <f>SUMIFS('Leave Management'!$L:$L,'Leave Management'!$C:$C,Detail!$A409,'Leave Management'!$B:$B,Detail!M$1)</f>
        <v>0</v>
      </c>
      <c r="N409" s="7">
        <f>SUMIFS('Leave Management'!$L:$L,'Leave Management'!$C:$C,Detail!$A409,'Leave Management'!$B:$B,Detail!N$1)</f>
        <v>0</v>
      </c>
      <c r="O409" s="7">
        <f t="shared" si="14"/>
        <v>12</v>
      </c>
    </row>
    <row r="410" spans="1:15" x14ac:dyDescent="0.25">
      <c r="A410" s="24">
        <v>43508</v>
      </c>
      <c r="B410" s="2" t="str">
        <f t="shared" si="13"/>
        <v>Tue</v>
      </c>
      <c r="C410" s="7">
        <f>SUMIFS('Leave Management'!$L:$L,'Leave Management'!$C:$C,Detail!$A410,'Leave Management'!$B:$B,Detail!C$1)</f>
        <v>0</v>
      </c>
      <c r="D410" s="7">
        <f>SUMIFS('Leave Management'!$L:$L,'Leave Management'!$C:$C,Detail!$A410,'Leave Management'!$B:$B,Detail!D$1)</f>
        <v>0</v>
      </c>
      <c r="E410" s="7">
        <f>SUMIFS('Leave Management'!$L:$L,'Leave Management'!$C:$C,Detail!$A410,'Leave Management'!$B:$B,Detail!E$1)</f>
        <v>0</v>
      </c>
      <c r="F410" s="7">
        <f>SUMIFS('Leave Management'!$L:$L,'Leave Management'!$C:$C,Detail!$A410,'Leave Management'!$B:$B,Detail!F$1)</f>
        <v>0</v>
      </c>
      <c r="G410" s="7">
        <f>SUMIFS('Leave Management'!$L:$L,'Leave Management'!$C:$C,Detail!$A410,'Leave Management'!$B:$B,Detail!G$1)</f>
        <v>0</v>
      </c>
      <c r="H410" s="7">
        <f>SUMIFS('Leave Management'!$L:$L,'Leave Management'!$C:$C,Detail!$A410,'Leave Management'!$B:$B,Detail!H$1)</f>
        <v>0</v>
      </c>
      <c r="I410" s="7">
        <f>SUMIFS('Leave Management'!$L:$L,'Leave Management'!$C:$C,Detail!$A410,'Leave Management'!$B:$B,Detail!I$1)</f>
        <v>0</v>
      </c>
      <c r="J410" s="7">
        <f>SUMIFS('Leave Management'!$L:$L,'Leave Management'!$C:$C,Detail!$A410,'Leave Management'!$B:$B,Detail!J$1)</f>
        <v>0</v>
      </c>
      <c r="K410" s="7">
        <f>SUMIFS('Leave Management'!$L:$L,'Leave Management'!$C:$C,Detail!$A410,'Leave Management'!$B:$B,Detail!K$1)</f>
        <v>0</v>
      </c>
      <c r="L410" s="7">
        <f>SUMIFS('Leave Management'!$L:$L,'Leave Management'!$C:$C,Detail!$A410,'Leave Management'!$B:$B,Detail!L$1)</f>
        <v>0</v>
      </c>
      <c r="M410" s="7">
        <f>SUMIFS('Leave Management'!$L:$L,'Leave Management'!$C:$C,Detail!$A410,'Leave Management'!$B:$B,Detail!M$1)</f>
        <v>0</v>
      </c>
      <c r="N410" s="7">
        <f>SUMIFS('Leave Management'!$L:$L,'Leave Management'!$C:$C,Detail!$A410,'Leave Management'!$B:$B,Detail!N$1)</f>
        <v>0</v>
      </c>
      <c r="O410" s="7">
        <f t="shared" si="14"/>
        <v>12</v>
      </c>
    </row>
    <row r="411" spans="1:15" x14ac:dyDescent="0.25">
      <c r="A411" s="24">
        <v>43509</v>
      </c>
      <c r="B411" s="2" t="str">
        <f t="shared" si="13"/>
        <v>Wed</v>
      </c>
      <c r="C411" s="7">
        <f>SUMIFS('Leave Management'!$L:$L,'Leave Management'!$C:$C,Detail!$A411,'Leave Management'!$B:$B,Detail!C$1)</f>
        <v>0</v>
      </c>
      <c r="D411" s="7">
        <f>SUMIFS('Leave Management'!$L:$L,'Leave Management'!$C:$C,Detail!$A411,'Leave Management'!$B:$B,Detail!D$1)</f>
        <v>0</v>
      </c>
      <c r="E411" s="7">
        <f>SUMIFS('Leave Management'!$L:$L,'Leave Management'!$C:$C,Detail!$A411,'Leave Management'!$B:$B,Detail!E$1)</f>
        <v>0</v>
      </c>
      <c r="F411" s="7">
        <f>SUMIFS('Leave Management'!$L:$L,'Leave Management'!$C:$C,Detail!$A411,'Leave Management'!$B:$B,Detail!F$1)</f>
        <v>0</v>
      </c>
      <c r="G411" s="7">
        <f>SUMIFS('Leave Management'!$L:$L,'Leave Management'!$C:$C,Detail!$A411,'Leave Management'!$B:$B,Detail!G$1)</f>
        <v>0</v>
      </c>
      <c r="H411" s="7">
        <f>SUMIFS('Leave Management'!$L:$L,'Leave Management'!$C:$C,Detail!$A411,'Leave Management'!$B:$B,Detail!H$1)</f>
        <v>0</v>
      </c>
      <c r="I411" s="7">
        <f>SUMIFS('Leave Management'!$L:$L,'Leave Management'!$C:$C,Detail!$A411,'Leave Management'!$B:$B,Detail!I$1)</f>
        <v>0</v>
      </c>
      <c r="J411" s="7">
        <f>SUMIFS('Leave Management'!$L:$L,'Leave Management'!$C:$C,Detail!$A411,'Leave Management'!$B:$B,Detail!J$1)</f>
        <v>0</v>
      </c>
      <c r="K411" s="7">
        <f>SUMIFS('Leave Management'!$L:$L,'Leave Management'!$C:$C,Detail!$A411,'Leave Management'!$B:$B,Detail!K$1)</f>
        <v>0</v>
      </c>
      <c r="L411" s="7">
        <f>SUMIFS('Leave Management'!$L:$L,'Leave Management'!$C:$C,Detail!$A411,'Leave Management'!$B:$B,Detail!L$1)</f>
        <v>0</v>
      </c>
      <c r="M411" s="7">
        <f>SUMIFS('Leave Management'!$L:$L,'Leave Management'!$C:$C,Detail!$A411,'Leave Management'!$B:$B,Detail!M$1)</f>
        <v>0</v>
      </c>
      <c r="N411" s="7">
        <f>SUMIFS('Leave Management'!$L:$L,'Leave Management'!$C:$C,Detail!$A411,'Leave Management'!$B:$B,Detail!N$1)</f>
        <v>0</v>
      </c>
      <c r="O411" s="7">
        <f t="shared" si="14"/>
        <v>12</v>
      </c>
    </row>
    <row r="412" spans="1:15" x14ac:dyDescent="0.25">
      <c r="A412" s="24">
        <v>43510</v>
      </c>
      <c r="B412" s="2" t="str">
        <f t="shared" si="13"/>
        <v>Thu</v>
      </c>
      <c r="C412" s="7">
        <f>SUMIFS('Leave Management'!$L:$L,'Leave Management'!$C:$C,Detail!$A412,'Leave Management'!$B:$B,Detail!C$1)</f>
        <v>0</v>
      </c>
      <c r="D412" s="7">
        <f>SUMIFS('Leave Management'!$L:$L,'Leave Management'!$C:$C,Detail!$A412,'Leave Management'!$B:$B,Detail!D$1)</f>
        <v>0</v>
      </c>
      <c r="E412" s="7">
        <f>SUMIFS('Leave Management'!$L:$L,'Leave Management'!$C:$C,Detail!$A412,'Leave Management'!$B:$B,Detail!E$1)</f>
        <v>0</v>
      </c>
      <c r="F412" s="7">
        <f>SUMIFS('Leave Management'!$L:$L,'Leave Management'!$C:$C,Detail!$A412,'Leave Management'!$B:$B,Detail!F$1)</f>
        <v>0</v>
      </c>
      <c r="G412" s="7">
        <f>SUMIFS('Leave Management'!$L:$L,'Leave Management'!$C:$C,Detail!$A412,'Leave Management'!$B:$B,Detail!G$1)</f>
        <v>0</v>
      </c>
      <c r="H412" s="7">
        <f>SUMIFS('Leave Management'!$L:$L,'Leave Management'!$C:$C,Detail!$A412,'Leave Management'!$B:$B,Detail!H$1)</f>
        <v>0</v>
      </c>
      <c r="I412" s="7">
        <f>SUMIFS('Leave Management'!$L:$L,'Leave Management'!$C:$C,Detail!$A412,'Leave Management'!$B:$B,Detail!I$1)</f>
        <v>0</v>
      </c>
      <c r="J412" s="7">
        <f>SUMIFS('Leave Management'!$L:$L,'Leave Management'!$C:$C,Detail!$A412,'Leave Management'!$B:$B,Detail!J$1)</f>
        <v>0</v>
      </c>
      <c r="K412" s="7">
        <f>SUMIFS('Leave Management'!$L:$L,'Leave Management'!$C:$C,Detail!$A412,'Leave Management'!$B:$B,Detail!K$1)</f>
        <v>0</v>
      </c>
      <c r="L412" s="7">
        <f>SUMIFS('Leave Management'!$L:$L,'Leave Management'!$C:$C,Detail!$A412,'Leave Management'!$B:$B,Detail!L$1)</f>
        <v>0</v>
      </c>
      <c r="M412" s="7">
        <f>SUMIFS('Leave Management'!$L:$L,'Leave Management'!$C:$C,Detail!$A412,'Leave Management'!$B:$B,Detail!M$1)</f>
        <v>0</v>
      </c>
      <c r="N412" s="7">
        <f>SUMIFS('Leave Management'!$L:$L,'Leave Management'!$C:$C,Detail!$A412,'Leave Management'!$B:$B,Detail!N$1)</f>
        <v>0</v>
      </c>
      <c r="O412" s="7">
        <f t="shared" si="14"/>
        <v>12</v>
      </c>
    </row>
    <row r="413" spans="1:15" x14ac:dyDescent="0.25">
      <c r="A413" s="24">
        <v>43511</v>
      </c>
      <c r="B413" s="2" t="str">
        <f t="shared" si="13"/>
        <v>Fri</v>
      </c>
      <c r="C413" s="7">
        <f>SUMIFS('Leave Management'!$L:$L,'Leave Management'!$C:$C,Detail!$A413,'Leave Management'!$B:$B,Detail!C$1)</f>
        <v>0</v>
      </c>
      <c r="D413" s="7">
        <f>SUMIFS('Leave Management'!$L:$L,'Leave Management'!$C:$C,Detail!$A413,'Leave Management'!$B:$B,Detail!D$1)</f>
        <v>0</v>
      </c>
      <c r="E413" s="7">
        <f>SUMIFS('Leave Management'!$L:$L,'Leave Management'!$C:$C,Detail!$A413,'Leave Management'!$B:$B,Detail!E$1)</f>
        <v>0</v>
      </c>
      <c r="F413" s="7">
        <f>SUMIFS('Leave Management'!$L:$L,'Leave Management'!$C:$C,Detail!$A413,'Leave Management'!$B:$B,Detail!F$1)</f>
        <v>0</v>
      </c>
      <c r="G413" s="7">
        <f>SUMIFS('Leave Management'!$L:$L,'Leave Management'!$C:$C,Detail!$A413,'Leave Management'!$B:$B,Detail!G$1)</f>
        <v>0</v>
      </c>
      <c r="H413" s="7">
        <f>SUMIFS('Leave Management'!$L:$L,'Leave Management'!$C:$C,Detail!$A413,'Leave Management'!$B:$B,Detail!H$1)</f>
        <v>0</v>
      </c>
      <c r="I413" s="7">
        <f>SUMIFS('Leave Management'!$L:$L,'Leave Management'!$C:$C,Detail!$A413,'Leave Management'!$B:$B,Detail!I$1)</f>
        <v>0</v>
      </c>
      <c r="J413" s="7">
        <f>SUMIFS('Leave Management'!$L:$L,'Leave Management'!$C:$C,Detail!$A413,'Leave Management'!$B:$B,Detail!J$1)</f>
        <v>0</v>
      </c>
      <c r="K413" s="7">
        <f>SUMIFS('Leave Management'!$L:$L,'Leave Management'!$C:$C,Detail!$A413,'Leave Management'!$B:$B,Detail!K$1)</f>
        <v>0</v>
      </c>
      <c r="L413" s="7">
        <f>SUMIFS('Leave Management'!$L:$L,'Leave Management'!$C:$C,Detail!$A413,'Leave Management'!$B:$B,Detail!L$1)</f>
        <v>0</v>
      </c>
      <c r="M413" s="7">
        <f>SUMIFS('Leave Management'!$L:$L,'Leave Management'!$C:$C,Detail!$A413,'Leave Management'!$B:$B,Detail!M$1)</f>
        <v>0</v>
      </c>
      <c r="N413" s="7">
        <f>SUMIFS('Leave Management'!$L:$L,'Leave Management'!$C:$C,Detail!$A413,'Leave Management'!$B:$B,Detail!N$1)</f>
        <v>0</v>
      </c>
      <c r="O413" s="7">
        <f t="shared" si="14"/>
        <v>12</v>
      </c>
    </row>
    <row r="414" spans="1:15" x14ac:dyDescent="0.25">
      <c r="A414" s="24">
        <v>43512</v>
      </c>
      <c r="B414" s="2" t="str">
        <f t="shared" si="13"/>
        <v>Sat</v>
      </c>
      <c r="C414" s="7">
        <f>SUMIFS('Leave Management'!$L:$L,'Leave Management'!$C:$C,Detail!$A414,'Leave Management'!$B:$B,Detail!C$1)</f>
        <v>0</v>
      </c>
      <c r="D414" s="7">
        <f>SUMIFS('Leave Management'!$L:$L,'Leave Management'!$C:$C,Detail!$A414,'Leave Management'!$B:$B,Detail!D$1)</f>
        <v>0</v>
      </c>
      <c r="E414" s="7">
        <f>SUMIFS('Leave Management'!$L:$L,'Leave Management'!$C:$C,Detail!$A414,'Leave Management'!$B:$B,Detail!E$1)</f>
        <v>0</v>
      </c>
      <c r="F414" s="7">
        <f>SUMIFS('Leave Management'!$L:$L,'Leave Management'!$C:$C,Detail!$A414,'Leave Management'!$B:$B,Detail!F$1)</f>
        <v>0</v>
      </c>
      <c r="G414" s="7">
        <f>SUMIFS('Leave Management'!$L:$L,'Leave Management'!$C:$C,Detail!$A414,'Leave Management'!$B:$B,Detail!G$1)</f>
        <v>0</v>
      </c>
      <c r="H414" s="7">
        <f>SUMIFS('Leave Management'!$L:$L,'Leave Management'!$C:$C,Detail!$A414,'Leave Management'!$B:$B,Detail!H$1)</f>
        <v>0</v>
      </c>
      <c r="I414" s="7">
        <f>SUMIFS('Leave Management'!$L:$L,'Leave Management'!$C:$C,Detail!$A414,'Leave Management'!$B:$B,Detail!I$1)</f>
        <v>0</v>
      </c>
      <c r="J414" s="7">
        <f>SUMIFS('Leave Management'!$L:$L,'Leave Management'!$C:$C,Detail!$A414,'Leave Management'!$B:$B,Detail!J$1)</f>
        <v>0</v>
      </c>
      <c r="K414" s="7">
        <f>SUMIFS('Leave Management'!$L:$L,'Leave Management'!$C:$C,Detail!$A414,'Leave Management'!$B:$B,Detail!K$1)</f>
        <v>0</v>
      </c>
      <c r="L414" s="7">
        <f>SUMIFS('Leave Management'!$L:$L,'Leave Management'!$C:$C,Detail!$A414,'Leave Management'!$B:$B,Detail!L$1)</f>
        <v>0</v>
      </c>
      <c r="M414" s="7">
        <f>SUMIFS('Leave Management'!$L:$L,'Leave Management'!$C:$C,Detail!$A414,'Leave Management'!$B:$B,Detail!M$1)</f>
        <v>0</v>
      </c>
      <c r="N414" s="7">
        <f>SUMIFS('Leave Management'!$L:$L,'Leave Management'!$C:$C,Detail!$A414,'Leave Management'!$B:$B,Detail!N$1)</f>
        <v>0</v>
      </c>
      <c r="O414" s="7">
        <f t="shared" si="14"/>
        <v>12</v>
      </c>
    </row>
    <row r="415" spans="1:15" x14ac:dyDescent="0.25">
      <c r="A415" s="24">
        <v>43513</v>
      </c>
      <c r="B415" s="2" t="str">
        <f t="shared" si="13"/>
        <v>Sun</v>
      </c>
      <c r="C415" s="7">
        <f>SUMIFS('Leave Management'!$L:$L,'Leave Management'!$C:$C,Detail!$A415,'Leave Management'!$B:$B,Detail!C$1)</f>
        <v>0</v>
      </c>
      <c r="D415" s="7">
        <f>SUMIFS('Leave Management'!$L:$L,'Leave Management'!$C:$C,Detail!$A415,'Leave Management'!$B:$B,Detail!D$1)</f>
        <v>0</v>
      </c>
      <c r="E415" s="7">
        <f>SUMIFS('Leave Management'!$L:$L,'Leave Management'!$C:$C,Detail!$A415,'Leave Management'!$B:$B,Detail!E$1)</f>
        <v>0</v>
      </c>
      <c r="F415" s="7">
        <f>SUMIFS('Leave Management'!$L:$L,'Leave Management'!$C:$C,Detail!$A415,'Leave Management'!$B:$B,Detail!F$1)</f>
        <v>0</v>
      </c>
      <c r="G415" s="7">
        <f>SUMIFS('Leave Management'!$L:$L,'Leave Management'!$C:$C,Detail!$A415,'Leave Management'!$B:$B,Detail!G$1)</f>
        <v>0</v>
      </c>
      <c r="H415" s="7">
        <f>SUMIFS('Leave Management'!$L:$L,'Leave Management'!$C:$C,Detail!$A415,'Leave Management'!$B:$B,Detail!H$1)</f>
        <v>0</v>
      </c>
      <c r="I415" s="7">
        <f>SUMIFS('Leave Management'!$L:$L,'Leave Management'!$C:$C,Detail!$A415,'Leave Management'!$B:$B,Detail!I$1)</f>
        <v>0</v>
      </c>
      <c r="J415" s="7">
        <f>SUMIFS('Leave Management'!$L:$L,'Leave Management'!$C:$C,Detail!$A415,'Leave Management'!$B:$B,Detail!J$1)</f>
        <v>0</v>
      </c>
      <c r="K415" s="7">
        <f>SUMIFS('Leave Management'!$L:$L,'Leave Management'!$C:$C,Detail!$A415,'Leave Management'!$B:$B,Detail!K$1)</f>
        <v>0</v>
      </c>
      <c r="L415" s="7">
        <f>SUMIFS('Leave Management'!$L:$L,'Leave Management'!$C:$C,Detail!$A415,'Leave Management'!$B:$B,Detail!L$1)</f>
        <v>0</v>
      </c>
      <c r="M415" s="7">
        <f>SUMIFS('Leave Management'!$L:$L,'Leave Management'!$C:$C,Detail!$A415,'Leave Management'!$B:$B,Detail!M$1)</f>
        <v>0</v>
      </c>
      <c r="N415" s="7">
        <f>SUMIFS('Leave Management'!$L:$L,'Leave Management'!$C:$C,Detail!$A415,'Leave Management'!$B:$B,Detail!N$1)</f>
        <v>0</v>
      </c>
      <c r="O415" s="7">
        <f t="shared" si="14"/>
        <v>12</v>
      </c>
    </row>
    <row r="416" spans="1:15" x14ac:dyDescent="0.25">
      <c r="A416" s="24">
        <v>43514</v>
      </c>
      <c r="B416" s="2" t="str">
        <f t="shared" si="13"/>
        <v>Mon</v>
      </c>
      <c r="C416" s="7">
        <f>SUMIFS('Leave Management'!$L:$L,'Leave Management'!$C:$C,Detail!$A416,'Leave Management'!$B:$B,Detail!C$1)</f>
        <v>0</v>
      </c>
      <c r="D416" s="7">
        <f>SUMIFS('Leave Management'!$L:$L,'Leave Management'!$C:$C,Detail!$A416,'Leave Management'!$B:$B,Detail!D$1)</f>
        <v>0</v>
      </c>
      <c r="E416" s="7">
        <f>SUMIFS('Leave Management'!$L:$L,'Leave Management'!$C:$C,Detail!$A416,'Leave Management'!$B:$B,Detail!E$1)</f>
        <v>0</v>
      </c>
      <c r="F416" s="7">
        <f>SUMIFS('Leave Management'!$L:$L,'Leave Management'!$C:$C,Detail!$A416,'Leave Management'!$B:$B,Detail!F$1)</f>
        <v>0</v>
      </c>
      <c r="G416" s="7">
        <f>SUMIFS('Leave Management'!$L:$L,'Leave Management'!$C:$C,Detail!$A416,'Leave Management'!$B:$B,Detail!G$1)</f>
        <v>0</v>
      </c>
      <c r="H416" s="7">
        <f>SUMIFS('Leave Management'!$L:$L,'Leave Management'!$C:$C,Detail!$A416,'Leave Management'!$B:$B,Detail!H$1)</f>
        <v>0</v>
      </c>
      <c r="I416" s="7">
        <f>SUMIFS('Leave Management'!$L:$L,'Leave Management'!$C:$C,Detail!$A416,'Leave Management'!$B:$B,Detail!I$1)</f>
        <v>0</v>
      </c>
      <c r="J416" s="7">
        <f>SUMIFS('Leave Management'!$L:$L,'Leave Management'!$C:$C,Detail!$A416,'Leave Management'!$B:$B,Detail!J$1)</f>
        <v>0</v>
      </c>
      <c r="K416" s="7">
        <f>SUMIFS('Leave Management'!$L:$L,'Leave Management'!$C:$C,Detail!$A416,'Leave Management'!$B:$B,Detail!K$1)</f>
        <v>0</v>
      </c>
      <c r="L416" s="7">
        <f>SUMIFS('Leave Management'!$L:$L,'Leave Management'!$C:$C,Detail!$A416,'Leave Management'!$B:$B,Detail!L$1)</f>
        <v>0</v>
      </c>
      <c r="M416" s="7">
        <f>SUMIFS('Leave Management'!$L:$L,'Leave Management'!$C:$C,Detail!$A416,'Leave Management'!$B:$B,Detail!M$1)</f>
        <v>0</v>
      </c>
      <c r="N416" s="7">
        <f>SUMIFS('Leave Management'!$L:$L,'Leave Management'!$C:$C,Detail!$A416,'Leave Management'!$B:$B,Detail!N$1)</f>
        <v>0</v>
      </c>
      <c r="O416" s="7">
        <f t="shared" si="14"/>
        <v>12</v>
      </c>
    </row>
    <row r="417" spans="1:15" x14ac:dyDescent="0.25">
      <c r="A417" s="24">
        <v>43515</v>
      </c>
      <c r="B417" s="2" t="str">
        <f t="shared" si="13"/>
        <v>Tue</v>
      </c>
      <c r="C417" s="7">
        <f>SUMIFS('Leave Management'!$L:$L,'Leave Management'!$C:$C,Detail!$A417,'Leave Management'!$B:$B,Detail!C$1)</f>
        <v>0</v>
      </c>
      <c r="D417" s="7">
        <f>SUMIFS('Leave Management'!$L:$L,'Leave Management'!$C:$C,Detail!$A417,'Leave Management'!$B:$B,Detail!D$1)</f>
        <v>0</v>
      </c>
      <c r="E417" s="7">
        <f>SUMIFS('Leave Management'!$L:$L,'Leave Management'!$C:$C,Detail!$A417,'Leave Management'!$B:$B,Detail!E$1)</f>
        <v>0</v>
      </c>
      <c r="F417" s="7">
        <f>SUMIFS('Leave Management'!$L:$L,'Leave Management'!$C:$C,Detail!$A417,'Leave Management'!$B:$B,Detail!F$1)</f>
        <v>0</v>
      </c>
      <c r="G417" s="7">
        <f>SUMIFS('Leave Management'!$L:$L,'Leave Management'!$C:$C,Detail!$A417,'Leave Management'!$B:$B,Detail!G$1)</f>
        <v>0</v>
      </c>
      <c r="H417" s="7">
        <f>SUMIFS('Leave Management'!$L:$L,'Leave Management'!$C:$C,Detail!$A417,'Leave Management'!$B:$B,Detail!H$1)</f>
        <v>0</v>
      </c>
      <c r="I417" s="7">
        <f>SUMIFS('Leave Management'!$L:$L,'Leave Management'!$C:$C,Detail!$A417,'Leave Management'!$B:$B,Detail!I$1)</f>
        <v>0</v>
      </c>
      <c r="J417" s="7">
        <f>SUMIFS('Leave Management'!$L:$L,'Leave Management'!$C:$C,Detail!$A417,'Leave Management'!$B:$B,Detail!J$1)</f>
        <v>0</v>
      </c>
      <c r="K417" s="7">
        <f>SUMIFS('Leave Management'!$L:$L,'Leave Management'!$C:$C,Detail!$A417,'Leave Management'!$B:$B,Detail!K$1)</f>
        <v>0</v>
      </c>
      <c r="L417" s="7">
        <f>SUMIFS('Leave Management'!$L:$L,'Leave Management'!$C:$C,Detail!$A417,'Leave Management'!$B:$B,Detail!L$1)</f>
        <v>0</v>
      </c>
      <c r="M417" s="7">
        <f>SUMIFS('Leave Management'!$L:$L,'Leave Management'!$C:$C,Detail!$A417,'Leave Management'!$B:$B,Detail!M$1)</f>
        <v>0</v>
      </c>
      <c r="N417" s="7">
        <f>SUMIFS('Leave Management'!$L:$L,'Leave Management'!$C:$C,Detail!$A417,'Leave Management'!$B:$B,Detail!N$1)</f>
        <v>0</v>
      </c>
      <c r="O417" s="7">
        <f t="shared" si="14"/>
        <v>12</v>
      </c>
    </row>
    <row r="418" spans="1:15" x14ac:dyDescent="0.25">
      <c r="A418" s="24">
        <v>43516</v>
      </c>
      <c r="B418" s="2" t="str">
        <f t="shared" si="13"/>
        <v>Wed</v>
      </c>
      <c r="C418" s="7">
        <f>SUMIFS('Leave Management'!$L:$L,'Leave Management'!$C:$C,Detail!$A418,'Leave Management'!$B:$B,Detail!C$1)</f>
        <v>0</v>
      </c>
      <c r="D418" s="7">
        <f>SUMIFS('Leave Management'!$L:$L,'Leave Management'!$C:$C,Detail!$A418,'Leave Management'!$B:$B,Detail!D$1)</f>
        <v>0</v>
      </c>
      <c r="E418" s="7">
        <f>SUMIFS('Leave Management'!$L:$L,'Leave Management'!$C:$C,Detail!$A418,'Leave Management'!$B:$B,Detail!E$1)</f>
        <v>0</v>
      </c>
      <c r="F418" s="7">
        <f>SUMIFS('Leave Management'!$L:$L,'Leave Management'!$C:$C,Detail!$A418,'Leave Management'!$B:$B,Detail!F$1)</f>
        <v>0</v>
      </c>
      <c r="G418" s="7">
        <f>SUMIFS('Leave Management'!$L:$L,'Leave Management'!$C:$C,Detail!$A418,'Leave Management'!$B:$B,Detail!G$1)</f>
        <v>0</v>
      </c>
      <c r="H418" s="7">
        <f>SUMIFS('Leave Management'!$L:$L,'Leave Management'!$C:$C,Detail!$A418,'Leave Management'!$B:$B,Detail!H$1)</f>
        <v>0</v>
      </c>
      <c r="I418" s="7">
        <f>SUMIFS('Leave Management'!$L:$L,'Leave Management'!$C:$C,Detail!$A418,'Leave Management'!$B:$B,Detail!I$1)</f>
        <v>0</v>
      </c>
      <c r="J418" s="7">
        <f>SUMIFS('Leave Management'!$L:$L,'Leave Management'!$C:$C,Detail!$A418,'Leave Management'!$B:$B,Detail!J$1)</f>
        <v>0</v>
      </c>
      <c r="K418" s="7">
        <f>SUMIFS('Leave Management'!$L:$L,'Leave Management'!$C:$C,Detail!$A418,'Leave Management'!$B:$B,Detail!K$1)</f>
        <v>0</v>
      </c>
      <c r="L418" s="7">
        <f>SUMIFS('Leave Management'!$L:$L,'Leave Management'!$C:$C,Detail!$A418,'Leave Management'!$B:$B,Detail!L$1)</f>
        <v>0</v>
      </c>
      <c r="M418" s="7">
        <f>SUMIFS('Leave Management'!$L:$L,'Leave Management'!$C:$C,Detail!$A418,'Leave Management'!$B:$B,Detail!M$1)</f>
        <v>0</v>
      </c>
      <c r="N418" s="7">
        <f>SUMIFS('Leave Management'!$L:$L,'Leave Management'!$C:$C,Detail!$A418,'Leave Management'!$B:$B,Detail!N$1)</f>
        <v>0</v>
      </c>
      <c r="O418" s="7">
        <f t="shared" si="14"/>
        <v>12</v>
      </c>
    </row>
    <row r="419" spans="1:15" x14ac:dyDescent="0.25">
      <c r="A419" s="24">
        <v>43517</v>
      </c>
      <c r="B419" s="2" t="str">
        <f t="shared" si="13"/>
        <v>Thu</v>
      </c>
      <c r="C419" s="7">
        <f>SUMIFS('Leave Management'!$L:$L,'Leave Management'!$C:$C,Detail!$A419,'Leave Management'!$B:$B,Detail!C$1)</f>
        <v>0</v>
      </c>
      <c r="D419" s="7">
        <f>SUMIFS('Leave Management'!$L:$L,'Leave Management'!$C:$C,Detail!$A419,'Leave Management'!$B:$B,Detail!D$1)</f>
        <v>0</v>
      </c>
      <c r="E419" s="7">
        <f>SUMIFS('Leave Management'!$L:$L,'Leave Management'!$C:$C,Detail!$A419,'Leave Management'!$B:$B,Detail!E$1)</f>
        <v>1</v>
      </c>
      <c r="F419" s="7">
        <f>SUMIFS('Leave Management'!$L:$L,'Leave Management'!$C:$C,Detail!$A419,'Leave Management'!$B:$B,Detail!F$1)</f>
        <v>0</v>
      </c>
      <c r="G419" s="7">
        <f>SUMIFS('Leave Management'!$L:$L,'Leave Management'!$C:$C,Detail!$A419,'Leave Management'!$B:$B,Detail!G$1)</f>
        <v>0</v>
      </c>
      <c r="H419" s="7">
        <f>SUMIFS('Leave Management'!$L:$L,'Leave Management'!$C:$C,Detail!$A419,'Leave Management'!$B:$B,Detail!H$1)</f>
        <v>0</v>
      </c>
      <c r="I419" s="7">
        <f>SUMIFS('Leave Management'!$L:$L,'Leave Management'!$C:$C,Detail!$A419,'Leave Management'!$B:$B,Detail!I$1)</f>
        <v>0</v>
      </c>
      <c r="J419" s="7">
        <f>SUMIFS('Leave Management'!$L:$L,'Leave Management'!$C:$C,Detail!$A419,'Leave Management'!$B:$B,Detail!J$1)</f>
        <v>0</v>
      </c>
      <c r="K419" s="7">
        <f>SUMIFS('Leave Management'!$L:$L,'Leave Management'!$C:$C,Detail!$A419,'Leave Management'!$B:$B,Detail!K$1)</f>
        <v>0</v>
      </c>
      <c r="L419" s="7">
        <f>SUMIFS('Leave Management'!$L:$L,'Leave Management'!$C:$C,Detail!$A419,'Leave Management'!$B:$B,Detail!L$1)</f>
        <v>0</v>
      </c>
      <c r="M419" s="7">
        <f>SUMIFS('Leave Management'!$L:$L,'Leave Management'!$C:$C,Detail!$A419,'Leave Management'!$B:$B,Detail!M$1)</f>
        <v>0</v>
      </c>
      <c r="N419" s="7">
        <f>SUMIFS('Leave Management'!$L:$L,'Leave Management'!$C:$C,Detail!$A419,'Leave Management'!$B:$B,Detail!N$1)</f>
        <v>0</v>
      </c>
      <c r="O419" s="7">
        <f t="shared" si="14"/>
        <v>11</v>
      </c>
    </row>
    <row r="420" spans="1:15" x14ac:dyDescent="0.25">
      <c r="A420" s="24">
        <v>43518</v>
      </c>
      <c r="B420" s="2" t="str">
        <f t="shared" si="13"/>
        <v>Fri</v>
      </c>
      <c r="C420" s="7">
        <f>SUMIFS('Leave Management'!$L:$L,'Leave Management'!$C:$C,Detail!$A420,'Leave Management'!$B:$B,Detail!C$1)</f>
        <v>0</v>
      </c>
      <c r="D420" s="7">
        <f>SUMIFS('Leave Management'!$L:$L,'Leave Management'!$C:$C,Detail!$A420,'Leave Management'!$B:$B,Detail!D$1)</f>
        <v>0</v>
      </c>
      <c r="E420" s="7">
        <f>SUMIFS('Leave Management'!$L:$L,'Leave Management'!$C:$C,Detail!$A420,'Leave Management'!$B:$B,Detail!E$1)</f>
        <v>0</v>
      </c>
      <c r="F420" s="7">
        <f>SUMIFS('Leave Management'!$L:$L,'Leave Management'!$C:$C,Detail!$A420,'Leave Management'!$B:$B,Detail!F$1)</f>
        <v>0</v>
      </c>
      <c r="G420" s="7">
        <f>SUMIFS('Leave Management'!$L:$L,'Leave Management'!$C:$C,Detail!$A420,'Leave Management'!$B:$B,Detail!G$1)</f>
        <v>0</v>
      </c>
      <c r="H420" s="7">
        <f>SUMIFS('Leave Management'!$L:$L,'Leave Management'!$C:$C,Detail!$A420,'Leave Management'!$B:$B,Detail!H$1)</f>
        <v>1</v>
      </c>
      <c r="I420" s="7">
        <f>SUMIFS('Leave Management'!$L:$L,'Leave Management'!$C:$C,Detail!$A420,'Leave Management'!$B:$B,Detail!I$1)</f>
        <v>0</v>
      </c>
      <c r="J420" s="7">
        <f>SUMIFS('Leave Management'!$L:$L,'Leave Management'!$C:$C,Detail!$A420,'Leave Management'!$B:$B,Detail!J$1)</f>
        <v>0</v>
      </c>
      <c r="K420" s="7">
        <f>SUMIFS('Leave Management'!$L:$L,'Leave Management'!$C:$C,Detail!$A420,'Leave Management'!$B:$B,Detail!K$1)</f>
        <v>0</v>
      </c>
      <c r="L420" s="7">
        <f>SUMIFS('Leave Management'!$L:$L,'Leave Management'!$C:$C,Detail!$A420,'Leave Management'!$B:$B,Detail!L$1)</f>
        <v>0</v>
      </c>
      <c r="M420" s="7">
        <f>SUMIFS('Leave Management'!$L:$L,'Leave Management'!$C:$C,Detail!$A420,'Leave Management'!$B:$B,Detail!M$1)</f>
        <v>0</v>
      </c>
      <c r="N420" s="7">
        <f>SUMIFS('Leave Management'!$L:$L,'Leave Management'!$C:$C,Detail!$A420,'Leave Management'!$B:$B,Detail!N$1)</f>
        <v>0</v>
      </c>
      <c r="O420" s="7">
        <f t="shared" si="14"/>
        <v>11</v>
      </c>
    </row>
    <row r="421" spans="1:15" x14ac:dyDescent="0.25">
      <c r="A421" s="24">
        <v>43519</v>
      </c>
      <c r="B421" s="2" t="str">
        <f t="shared" si="13"/>
        <v>Sat</v>
      </c>
      <c r="C421" s="7">
        <f>SUMIFS('Leave Management'!$L:$L,'Leave Management'!$C:$C,Detail!$A421,'Leave Management'!$B:$B,Detail!C$1)</f>
        <v>0</v>
      </c>
      <c r="D421" s="7">
        <f>SUMIFS('Leave Management'!$L:$L,'Leave Management'!$C:$C,Detail!$A421,'Leave Management'!$B:$B,Detail!D$1)</f>
        <v>0</v>
      </c>
      <c r="E421" s="7">
        <f>SUMIFS('Leave Management'!$L:$L,'Leave Management'!$C:$C,Detail!$A421,'Leave Management'!$B:$B,Detail!E$1)</f>
        <v>0</v>
      </c>
      <c r="F421" s="7">
        <f>SUMIFS('Leave Management'!$L:$L,'Leave Management'!$C:$C,Detail!$A421,'Leave Management'!$B:$B,Detail!F$1)</f>
        <v>0</v>
      </c>
      <c r="G421" s="7">
        <f>SUMIFS('Leave Management'!$L:$L,'Leave Management'!$C:$C,Detail!$A421,'Leave Management'!$B:$B,Detail!G$1)</f>
        <v>0</v>
      </c>
      <c r="H421" s="7">
        <f>SUMIFS('Leave Management'!$L:$L,'Leave Management'!$C:$C,Detail!$A421,'Leave Management'!$B:$B,Detail!H$1)</f>
        <v>0</v>
      </c>
      <c r="I421" s="7">
        <f>SUMIFS('Leave Management'!$L:$L,'Leave Management'!$C:$C,Detail!$A421,'Leave Management'!$B:$B,Detail!I$1)</f>
        <v>0</v>
      </c>
      <c r="J421" s="7">
        <f>SUMIFS('Leave Management'!$L:$L,'Leave Management'!$C:$C,Detail!$A421,'Leave Management'!$B:$B,Detail!J$1)</f>
        <v>0</v>
      </c>
      <c r="K421" s="7">
        <f>SUMIFS('Leave Management'!$L:$L,'Leave Management'!$C:$C,Detail!$A421,'Leave Management'!$B:$B,Detail!K$1)</f>
        <v>0</v>
      </c>
      <c r="L421" s="7">
        <f>SUMIFS('Leave Management'!$L:$L,'Leave Management'!$C:$C,Detail!$A421,'Leave Management'!$B:$B,Detail!L$1)</f>
        <v>0</v>
      </c>
      <c r="M421" s="7">
        <f>SUMIFS('Leave Management'!$L:$L,'Leave Management'!$C:$C,Detail!$A421,'Leave Management'!$B:$B,Detail!M$1)</f>
        <v>0</v>
      </c>
      <c r="N421" s="7">
        <f>SUMIFS('Leave Management'!$L:$L,'Leave Management'!$C:$C,Detail!$A421,'Leave Management'!$B:$B,Detail!N$1)</f>
        <v>0</v>
      </c>
      <c r="O421" s="7">
        <f t="shared" si="14"/>
        <v>12</v>
      </c>
    </row>
    <row r="422" spans="1:15" x14ac:dyDescent="0.25">
      <c r="A422" s="24">
        <v>43520</v>
      </c>
      <c r="B422" s="2" t="str">
        <f t="shared" si="13"/>
        <v>Sun</v>
      </c>
      <c r="C422" s="7">
        <f>SUMIFS('Leave Management'!$L:$L,'Leave Management'!$C:$C,Detail!$A422,'Leave Management'!$B:$B,Detail!C$1)</f>
        <v>0</v>
      </c>
      <c r="D422" s="7">
        <f>SUMIFS('Leave Management'!$L:$L,'Leave Management'!$C:$C,Detail!$A422,'Leave Management'!$B:$B,Detail!D$1)</f>
        <v>0</v>
      </c>
      <c r="E422" s="7">
        <f>SUMIFS('Leave Management'!$L:$L,'Leave Management'!$C:$C,Detail!$A422,'Leave Management'!$B:$B,Detail!E$1)</f>
        <v>0</v>
      </c>
      <c r="F422" s="7">
        <f>SUMIFS('Leave Management'!$L:$L,'Leave Management'!$C:$C,Detail!$A422,'Leave Management'!$B:$B,Detail!F$1)</f>
        <v>0</v>
      </c>
      <c r="G422" s="7">
        <f>SUMIFS('Leave Management'!$L:$L,'Leave Management'!$C:$C,Detail!$A422,'Leave Management'!$B:$B,Detail!G$1)</f>
        <v>0</v>
      </c>
      <c r="H422" s="7">
        <f>SUMIFS('Leave Management'!$L:$L,'Leave Management'!$C:$C,Detail!$A422,'Leave Management'!$B:$B,Detail!H$1)</f>
        <v>0</v>
      </c>
      <c r="I422" s="7">
        <f>SUMIFS('Leave Management'!$L:$L,'Leave Management'!$C:$C,Detail!$A422,'Leave Management'!$B:$B,Detail!I$1)</f>
        <v>0</v>
      </c>
      <c r="J422" s="7">
        <f>SUMIFS('Leave Management'!$L:$L,'Leave Management'!$C:$C,Detail!$A422,'Leave Management'!$B:$B,Detail!J$1)</f>
        <v>0</v>
      </c>
      <c r="K422" s="7">
        <f>SUMIFS('Leave Management'!$L:$L,'Leave Management'!$C:$C,Detail!$A422,'Leave Management'!$B:$B,Detail!K$1)</f>
        <v>0</v>
      </c>
      <c r="L422" s="7">
        <f>SUMIFS('Leave Management'!$L:$L,'Leave Management'!$C:$C,Detail!$A422,'Leave Management'!$B:$B,Detail!L$1)</f>
        <v>0</v>
      </c>
      <c r="M422" s="7">
        <f>SUMIFS('Leave Management'!$L:$L,'Leave Management'!$C:$C,Detail!$A422,'Leave Management'!$B:$B,Detail!M$1)</f>
        <v>0</v>
      </c>
      <c r="N422" s="7">
        <f>SUMIFS('Leave Management'!$L:$L,'Leave Management'!$C:$C,Detail!$A422,'Leave Management'!$B:$B,Detail!N$1)</f>
        <v>0</v>
      </c>
      <c r="O422" s="7">
        <f t="shared" si="14"/>
        <v>12</v>
      </c>
    </row>
    <row r="423" spans="1:15" x14ac:dyDescent="0.25">
      <c r="A423" s="24">
        <v>43521</v>
      </c>
      <c r="B423" s="2" t="str">
        <f t="shared" si="13"/>
        <v>Mon</v>
      </c>
      <c r="C423" s="7">
        <f>SUMIFS('Leave Management'!$L:$L,'Leave Management'!$C:$C,Detail!$A423,'Leave Management'!$B:$B,Detail!C$1)</f>
        <v>0</v>
      </c>
      <c r="D423" s="7">
        <f>SUMIFS('Leave Management'!$L:$L,'Leave Management'!$C:$C,Detail!$A423,'Leave Management'!$B:$B,Detail!D$1)</f>
        <v>0</v>
      </c>
      <c r="E423" s="7">
        <f>SUMIFS('Leave Management'!$L:$L,'Leave Management'!$C:$C,Detail!$A423,'Leave Management'!$B:$B,Detail!E$1)</f>
        <v>0</v>
      </c>
      <c r="F423" s="7">
        <f>SUMIFS('Leave Management'!$L:$L,'Leave Management'!$C:$C,Detail!$A423,'Leave Management'!$B:$B,Detail!F$1)</f>
        <v>0</v>
      </c>
      <c r="G423" s="7">
        <f>SUMIFS('Leave Management'!$L:$L,'Leave Management'!$C:$C,Detail!$A423,'Leave Management'!$B:$B,Detail!G$1)</f>
        <v>0</v>
      </c>
      <c r="H423" s="7">
        <f>SUMIFS('Leave Management'!$L:$L,'Leave Management'!$C:$C,Detail!$A423,'Leave Management'!$B:$B,Detail!H$1)</f>
        <v>0</v>
      </c>
      <c r="I423" s="7">
        <f>SUMIFS('Leave Management'!$L:$L,'Leave Management'!$C:$C,Detail!$A423,'Leave Management'!$B:$B,Detail!I$1)</f>
        <v>0</v>
      </c>
      <c r="J423" s="7">
        <f>SUMIFS('Leave Management'!$L:$L,'Leave Management'!$C:$C,Detail!$A423,'Leave Management'!$B:$B,Detail!J$1)</f>
        <v>0</v>
      </c>
      <c r="K423" s="7">
        <f>SUMIFS('Leave Management'!$L:$L,'Leave Management'!$C:$C,Detail!$A423,'Leave Management'!$B:$B,Detail!K$1)</f>
        <v>0</v>
      </c>
      <c r="L423" s="7">
        <f>SUMIFS('Leave Management'!$L:$L,'Leave Management'!$C:$C,Detail!$A423,'Leave Management'!$B:$B,Detail!L$1)</f>
        <v>0</v>
      </c>
      <c r="M423" s="7">
        <f>SUMIFS('Leave Management'!$L:$L,'Leave Management'!$C:$C,Detail!$A423,'Leave Management'!$B:$B,Detail!M$1)</f>
        <v>0</v>
      </c>
      <c r="N423" s="7">
        <f>SUMIFS('Leave Management'!$L:$L,'Leave Management'!$C:$C,Detail!$A423,'Leave Management'!$B:$B,Detail!N$1)</f>
        <v>0</v>
      </c>
      <c r="O423" s="7">
        <f t="shared" si="14"/>
        <v>12</v>
      </c>
    </row>
    <row r="424" spans="1:15" x14ac:dyDescent="0.25">
      <c r="A424" s="24">
        <v>43522</v>
      </c>
      <c r="B424" s="2" t="str">
        <f t="shared" si="13"/>
        <v>Tue</v>
      </c>
      <c r="C424" s="7">
        <f>SUMIFS('Leave Management'!$L:$L,'Leave Management'!$C:$C,Detail!$A424,'Leave Management'!$B:$B,Detail!C$1)</f>
        <v>0</v>
      </c>
      <c r="D424" s="7">
        <f>SUMIFS('Leave Management'!$L:$L,'Leave Management'!$C:$C,Detail!$A424,'Leave Management'!$B:$B,Detail!D$1)</f>
        <v>0</v>
      </c>
      <c r="E424" s="7">
        <f>SUMIFS('Leave Management'!$L:$L,'Leave Management'!$C:$C,Detail!$A424,'Leave Management'!$B:$B,Detail!E$1)</f>
        <v>0</v>
      </c>
      <c r="F424" s="7">
        <f>SUMIFS('Leave Management'!$L:$L,'Leave Management'!$C:$C,Detail!$A424,'Leave Management'!$B:$B,Detail!F$1)</f>
        <v>0</v>
      </c>
      <c r="G424" s="7">
        <f>SUMIFS('Leave Management'!$L:$L,'Leave Management'!$C:$C,Detail!$A424,'Leave Management'!$B:$B,Detail!G$1)</f>
        <v>0</v>
      </c>
      <c r="H424" s="7">
        <f>SUMIFS('Leave Management'!$L:$L,'Leave Management'!$C:$C,Detail!$A424,'Leave Management'!$B:$B,Detail!H$1)</f>
        <v>0</v>
      </c>
      <c r="I424" s="7">
        <f>SUMIFS('Leave Management'!$L:$L,'Leave Management'!$C:$C,Detail!$A424,'Leave Management'!$B:$B,Detail!I$1)</f>
        <v>0</v>
      </c>
      <c r="J424" s="7">
        <f>SUMIFS('Leave Management'!$L:$L,'Leave Management'!$C:$C,Detail!$A424,'Leave Management'!$B:$B,Detail!J$1)</f>
        <v>0</v>
      </c>
      <c r="K424" s="7">
        <f>SUMIFS('Leave Management'!$L:$L,'Leave Management'!$C:$C,Detail!$A424,'Leave Management'!$B:$B,Detail!K$1)</f>
        <v>0</v>
      </c>
      <c r="L424" s="7">
        <f>SUMIFS('Leave Management'!$L:$L,'Leave Management'!$C:$C,Detail!$A424,'Leave Management'!$B:$B,Detail!L$1)</f>
        <v>0</v>
      </c>
      <c r="M424" s="7">
        <f>SUMIFS('Leave Management'!$L:$L,'Leave Management'!$C:$C,Detail!$A424,'Leave Management'!$B:$B,Detail!M$1)</f>
        <v>0</v>
      </c>
      <c r="N424" s="7">
        <f>SUMIFS('Leave Management'!$L:$L,'Leave Management'!$C:$C,Detail!$A424,'Leave Management'!$B:$B,Detail!N$1)</f>
        <v>0</v>
      </c>
      <c r="O424" s="7">
        <f t="shared" si="14"/>
        <v>12</v>
      </c>
    </row>
    <row r="425" spans="1:15" x14ac:dyDescent="0.25">
      <c r="A425" s="24">
        <v>43523</v>
      </c>
      <c r="B425" s="2" t="str">
        <f t="shared" si="13"/>
        <v>Wed</v>
      </c>
      <c r="C425" s="7">
        <f>SUMIFS('Leave Management'!$L:$L,'Leave Management'!$C:$C,Detail!$A425,'Leave Management'!$B:$B,Detail!C$1)</f>
        <v>0</v>
      </c>
      <c r="D425" s="7">
        <f>SUMIFS('Leave Management'!$L:$L,'Leave Management'!$C:$C,Detail!$A425,'Leave Management'!$B:$B,Detail!D$1)</f>
        <v>0</v>
      </c>
      <c r="E425" s="7">
        <f>SUMIFS('Leave Management'!$L:$L,'Leave Management'!$C:$C,Detail!$A425,'Leave Management'!$B:$B,Detail!E$1)</f>
        <v>0</v>
      </c>
      <c r="F425" s="7">
        <f>SUMIFS('Leave Management'!$L:$L,'Leave Management'!$C:$C,Detail!$A425,'Leave Management'!$B:$B,Detail!F$1)</f>
        <v>0</v>
      </c>
      <c r="G425" s="7">
        <f>SUMIFS('Leave Management'!$L:$L,'Leave Management'!$C:$C,Detail!$A425,'Leave Management'!$B:$B,Detail!G$1)</f>
        <v>0</v>
      </c>
      <c r="H425" s="7">
        <f>SUMIFS('Leave Management'!$L:$L,'Leave Management'!$C:$C,Detail!$A425,'Leave Management'!$B:$B,Detail!H$1)</f>
        <v>0</v>
      </c>
      <c r="I425" s="7">
        <f>SUMIFS('Leave Management'!$L:$L,'Leave Management'!$C:$C,Detail!$A425,'Leave Management'!$B:$B,Detail!I$1)</f>
        <v>0</v>
      </c>
      <c r="J425" s="7">
        <f>SUMIFS('Leave Management'!$L:$L,'Leave Management'!$C:$C,Detail!$A425,'Leave Management'!$B:$B,Detail!J$1)</f>
        <v>0</v>
      </c>
      <c r="K425" s="7">
        <f>SUMIFS('Leave Management'!$L:$L,'Leave Management'!$C:$C,Detail!$A425,'Leave Management'!$B:$B,Detail!K$1)</f>
        <v>0</v>
      </c>
      <c r="L425" s="7">
        <f>SUMIFS('Leave Management'!$L:$L,'Leave Management'!$C:$C,Detail!$A425,'Leave Management'!$B:$B,Detail!L$1)</f>
        <v>0</v>
      </c>
      <c r="M425" s="7">
        <f>SUMIFS('Leave Management'!$L:$L,'Leave Management'!$C:$C,Detail!$A425,'Leave Management'!$B:$B,Detail!M$1)</f>
        <v>0</v>
      </c>
      <c r="N425" s="7">
        <f>SUMIFS('Leave Management'!$L:$L,'Leave Management'!$C:$C,Detail!$A425,'Leave Management'!$B:$B,Detail!N$1)</f>
        <v>0</v>
      </c>
      <c r="O425" s="7">
        <f t="shared" si="14"/>
        <v>12</v>
      </c>
    </row>
    <row r="426" spans="1:15" x14ac:dyDescent="0.25">
      <c r="A426" s="24">
        <v>43524</v>
      </c>
      <c r="B426" s="2" t="str">
        <f t="shared" ref="B426:B431" si="15">CHOOSE(WEEKDAY(A426),"Sun","Mon","Tue","Wed","Thu","Fri","Sat")</f>
        <v>Thu</v>
      </c>
      <c r="C426" s="7">
        <f>SUMIFS('Leave Management'!$L:$L,'Leave Management'!$C:$C,Detail!$A426,'Leave Management'!$B:$B,Detail!C$1)</f>
        <v>0</v>
      </c>
      <c r="D426" s="7">
        <f>SUMIFS('Leave Management'!$L:$L,'Leave Management'!$C:$C,Detail!$A426,'Leave Management'!$B:$B,Detail!D$1)</f>
        <v>0</v>
      </c>
      <c r="E426" s="7">
        <f>SUMIFS('Leave Management'!$L:$L,'Leave Management'!$C:$C,Detail!$A426,'Leave Management'!$B:$B,Detail!E$1)</f>
        <v>0</v>
      </c>
      <c r="F426" s="7">
        <f>SUMIFS('Leave Management'!$L:$L,'Leave Management'!$C:$C,Detail!$A426,'Leave Management'!$B:$B,Detail!F$1)</f>
        <v>0</v>
      </c>
      <c r="G426" s="7">
        <f>SUMIFS('Leave Management'!$L:$L,'Leave Management'!$C:$C,Detail!$A426,'Leave Management'!$B:$B,Detail!G$1)</f>
        <v>0</v>
      </c>
      <c r="H426" s="7">
        <f>SUMIFS('Leave Management'!$L:$L,'Leave Management'!$C:$C,Detail!$A426,'Leave Management'!$B:$B,Detail!H$1)</f>
        <v>0</v>
      </c>
      <c r="I426" s="7">
        <f>SUMIFS('Leave Management'!$L:$L,'Leave Management'!$C:$C,Detail!$A426,'Leave Management'!$B:$B,Detail!I$1)</f>
        <v>0</v>
      </c>
      <c r="J426" s="7">
        <f>SUMIFS('Leave Management'!$L:$L,'Leave Management'!$C:$C,Detail!$A426,'Leave Management'!$B:$B,Detail!J$1)</f>
        <v>0</v>
      </c>
      <c r="K426" s="7">
        <f>SUMIFS('Leave Management'!$L:$L,'Leave Management'!$C:$C,Detail!$A426,'Leave Management'!$B:$B,Detail!K$1)</f>
        <v>0</v>
      </c>
      <c r="L426" s="7">
        <f>SUMIFS('Leave Management'!$L:$L,'Leave Management'!$C:$C,Detail!$A426,'Leave Management'!$B:$B,Detail!L$1)</f>
        <v>0</v>
      </c>
      <c r="M426" s="7">
        <f>SUMIFS('Leave Management'!$L:$L,'Leave Management'!$C:$C,Detail!$A426,'Leave Management'!$B:$B,Detail!M$1)</f>
        <v>0</v>
      </c>
      <c r="N426" s="7">
        <f>SUMIFS('Leave Management'!$L:$L,'Leave Management'!$C:$C,Detail!$A426,'Leave Management'!$B:$B,Detail!N$1)</f>
        <v>0</v>
      </c>
      <c r="O426" s="7">
        <f t="shared" si="14"/>
        <v>12</v>
      </c>
    </row>
    <row r="427" spans="1:15" x14ac:dyDescent="0.25">
      <c r="A427" s="24">
        <v>43525</v>
      </c>
      <c r="B427" s="2" t="str">
        <f t="shared" si="15"/>
        <v>Fri</v>
      </c>
      <c r="C427" s="7">
        <f>SUMIFS('Leave Management'!$L:$L,'Leave Management'!$C:$C,Detail!$A427,'Leave Management'!$B:$B,Detail!C$1)</f>
        <v>0</v>
      </c>
      <c r="D427" s="7">
        <f>SUMIFS('Leave Management'!$L:$L,'Leave Management'!$C:$C,Detail!$A427,'Leave Management'!$B:$B,Detail!D$1)</f>
        <v>0</v>
      </c>
      <c r="E427" s="7">
        <f>SUMIFS('Leave Management'!$L:$L,'Leave Management'!$C:$C,Detail!$A427,'Leave Management'!$B:$B,Detail!E$1)</f>
        <v>0</v>
      </c>
      <c r="F427" s="7">
        <f>SUMIFS('Leave Management'!$L:$L,'Leave Management'!$C:$C,Detail!$A427,'Leave Management'!$B:$B,Detail!F$1)</f>
        <v>0</v>
      </c>
      <c r="G427" s="7">
        <f>SUMIFS('Leave Management'!$L:$L,'Leave Management'!$C:$C,Detail!$A427,'Leave Management'!$B:$B,Detail!G$1)</f>
        <v>0</v>
      </c>
      <c r="H427" s="7">
        <f>SUMIFS('Leave Management'!$L:$L,'Leave Management'!$C:$C,Detail!$A427,'Leave Management'!$B:$B,Detail!H$1)</f>
        <v>0</v>
      </c>
      <c r="I427" s="7">
        <f>SUMIFS('Leave Management'!$L:$L,'Leave Management'!$C:$C,Detail!$A427,'Leave Management'!$B:$B,Detail!I$1)</f>
        <v>0</v>
      </c>
      <c r="J427" s="7">
        <f>SUMIFS('Leave Management'!$L:$L,'Leave Management'!$C:$C,Detail!$A427,'Leave Management'!$B:$B,Detail!J$1)</f>
        <v>0</v>
      </c>
      <c r="K427" s="7">
        <f>SUMIFS('Leave Management'!$L:$L,'Leave Management'!$C:$C,Detail!$A427,'Leave Management'!$B:$B,Detail!K$1)</f>
        <v>0</v>
      </c>
      <c r="L427" s="7">
        <f>SUMIFS('Leave Management'!$L:$L,'Leave Management'!$C:$C,Detail!$A427,'Leave Management'!$B:$B,Detail!L$1)</f>
        <v>0</v>
      </c>
      <c r="M427" s="7">
        <f>SUMIFS('Leave Management'!$L:$L,'Leave Management'!$C:$C,Detail!$A427,'Leave Management'!$B:$B,Detail!M$1)</f>
        <v>0</v>
      </c>
      <c r="N427" s="7">
        <f>SUMIFS('Leave Management'!$L:$L,'Leave Management'!$C:$C,Detail!$A427,'Leave Management'!$B:$B,Detail!N$1)</f>
        <v>0</v>
      </c>
      <c r="O427" s="7">
        <f t="shared" si="14"/>
        <v>12</v>
      </c>
    </row>
    <row r="428" spans="1:15" x14ac:dyDescent="0.25">
      <c r="A428" s="24">
        <v>43526</v>
      </c>
      <c r="B428" s="2" t="str">
        <f t="shared" si="15"/>
        <v>Sat</v>
      </c>
      <c r="C428" s="7">
        <f>SUMIFS('Leave Management'!$L:$L,'Leave Management'!$C:$C,Detail!$A428,'Leave Management'!$B:$B,Detail!C$1)</f>
        <v>0</v>
      </c>
      <c r="D428" s="7">
        <f>SUMIFS('Leave Management'!$L:$L,'Leave Management'!$C:$C,Detail!$A428,'Leave Management'!$B:$B,Detail!D$1)</f>
        <v>0</v>
      </c>
      <c r="E428" s="7">
        <f>SUMIFS('Leave Management'!$L:$L,'Leave Management'!$C:$C,Detail!$A428,'Leave Management'!$B:$B,Detail!E$1)</f>
        <v>0</v>
      </c>
      <c r="F428" s="7">
        <f>SUMIFS('Leave Management'!$L:$L,'Leave Management'!$C:$C,Detail!$A428,'Leave Management'!$B:$B,Detail!F$1)</f>
        <v>0</v>
      </c>
      <c r="G428" s="7">
        <f>SUMIFS('Leave Management'!$L:$L,'Leave Management'!$C:$C,Detail!$A428,'Leave Management'!$B:$B,Detail!G$1)</f>
        <v>0</v>
      </c>
      <c r="H428" s="7">
        <f>SUMIFS('Leave Management'!$L:$L,'Leave Management'!$C:$C,Detail!$A428,'Leave Management'!$B:$B,Detail!H$1)</f>
        <v>0</v>
      </c>
      <c r="I428" s="7">
        <f>SUMIFS('Leave Management'!$L:$L,'Leave Management'!$C:$C,Detail!$A428,'Leave Management'!$B:$B,Detail!I$1)</f>
        <v>0</v>
      </c>
      <c r="J428" s="7">
        <f>SUMIFS('Leave Management'!$L:$L,'Leave Management'!$C:$C,Detail!$A428,'Leave Management'!$B:$B,Detail!J$1)</f>
        <v>0</v>
      </c>
      <c r="K428" s="7">
        <f>SUMIFS('Leave Management'!$L:$L,'Leave Management'!$C:$C,Detail!$A428,'Leave Management'!$B:$B,Detail!K$1)</f>
        <v>0</v>
      </c>
      <c r="L428" s="7">
        <f>SUMIFS('Leave Management'!$L:$L,'Leave Management'!$C:$C,Detail!$A428,'Leave Management'!$B:$B,Detail!L$1)</f>
        <v>0</v>
      </c>
      <c r="M428" s="7">
        <f>SUMIFS('Leave Management'!$L:$L,'Leave Management'!$C:$C,Detail!$A428,'Leave Management'!$B:$B,Detail!M$1)</f>
        <v>0</v>
      </c>
      <c r="N428" s="7">
        <f>SUMIFS('Leave Management'!$L:$L,'Leave Management'!$C:$C,Detail!$A428,'Leave Management'!$B:$B,Detail!N$1)</f>
        <v>0</v>
      </c>
      <c r="O428" s="7">
        <f t="shared" si="14"/>
        <v>12</v>
      </c>
    </row>
    <row r="429" spans="1:15" x14ac:dyDescent="0.25">
      <c r="A429" s="24">
        <v>43527</v>
      </c>
      <c r="B429" s="2" t="str">
        <f t="shared" si="15"/>
        <v>Sun</v>
      </c>
      <c r="C429" s="7">
        <f>SUMIFS('Leave Management'!$L:$L,'Leave Management'!$C:$C,Detail!$A429,'Leave Management'!$B:$B,Detail!C$1)</f>
        <v>0</v>
      </c>
      <c r="D429" s="7">
        <f>SUMIFS('Leave Management'!$L:$L,'Leave Management'!$C:$C,Detail!$A429,'Leave Management'!$B:$B,Detail!D$1)</f>
        <v>0</v>
      </c>
      <c r="E429" s="7">
        <f>SUMIFS('Leave Management'!$L:$L,'Leave Management'!$C:$C,Detail!$A429,'Leave Management'!$B:$B,Detail!E$1)</f>
        <v>0</v>
      </c>
      <c r="F429" s="7">
        <f>SUMIFS('Leave Management'!$L:$L,'Leave Management'!$C:$C,Detail!$A429,'Leave Management'!$B:$B,Detail!F$1)</f>
        <v>0</v>
      </c>
      <c r="G429" s="7">
        <f>SUMIFS('Leave Management'!$L:$L,'Leave Management'!$C:$C,Detail!$A429,'Leave Management'!$B:$B,Detail!G$1)</f>
        <v>0</v>
      </c>
      <c r="H429" s="7">
        <f>SUMIFS('Leave Management'!$L:$L,'Leave Management'!$C:$C,Detail!$A429,'Leave Management'!$B:$B,Detail!H$1)</f>
        <v>0</v>
      </c>
      <c r="I429" s="7">
        <f>SUMIFS('Leave Management'!$L:$L,'Leave Management'!$C:$C,Detail!$A429,'Leave Management'!$B:$B,Detail!I$1)</f>
        <v>0</v>
      </c>
      <c r="J429" s="7">
        <f>SUMIFS('Leave Management'!$L:$L,'Leave Management'!$C:$C,Detail!$A429,'Leave Management'!$B:$B,Detail!J$1)</f>
        <v>0</v>
      </c>
      <c r="K429" s="7">
        <f>SUMIFS('Leave Management'!$L:$L,'Leave Management'!$C:$C,Detail!$A429,'Leave Management'!$B:$B,Detail!K$1)</f>
        <v>0</v>
      </c>
      <c r="L429" s="7">
        <f>SUMIFS('Leave Management'!$L:$L,'Leave Management'!$C:$C,Detail!$A429,'Leave Management'!$B:$B,Detail!L$1)</f>
        <v>0</v>
      </c>
      <c r="M429" s="7">
        <f>SUMIFS('Leave Management'!$L:$L,'Leave Management'!$C:$C,Detail!$A429,'Leave Management'!$B:$B,Detail!M$1)</f>
        <v>0</v>
      </c>
      <c r="N429" s="7">
        <f>SUMIFS('Leave Management'!$L:$L,'Leave Management'!$C:$C,Detail!$A429,'Leave Management'!$B:$B,Detail!N$1)</f>
        <v>0</v>
      </c>
      <c r="O429" s="7">
        <f t="shared" si="14"/>
        <v>12</v>
      </c>
    </row>
    <row r="430" spans="1:15" x14ac:dyDescent="0.25">
      <c r="A430" s="24">
        <v>43528</v>
      </c>
      <c r="B430" s="2" t="str">
        <f t="shared" si="15"/>
        <v>Mon</v>
      </c>
      <c r="C430" s="7">
        <f>SUMIFS('Leave Management'!$L:$L,'Leave Management'!$C:$C,Detail!$A430,'Leave Management'!$B:$B,Detail!C$1)</f>
        <v>0</v>
      </c>
      <c r="D430" s="7">
        <f>SUMIFS('Leave Management'!$L:$L,'Leave Management'!$C:$C,Detail!$A430,'Leave Management'!$B:$B,Detail!D$1)</f>
        <v>0</v>
      </c>
      <c r="E430" s="7">
        <f>SUMIFS('Leave Management'!$L:$L,'Leave Management'!$C:$C,Detail!$A430,'Leave Management'!$B:$B,Detail!E$1)</f>
        <v>0</v>
      </c>
      <c r="F430" s="7">
        <f>SUMIFS('Leave Management'!$L:$L,'Leave Management'!$C:$C,Detail!$A430,'Leave Management'!$B:$B,Detail!F$1)</f>
        <v>0</v>
      </c>
      <c r="G430" s="7">
        <f>SUMIFS('Leave Management'!$L:$L,'Leave Management'!$C:$C,Detail!$A430,'Leave Management'!$B:$B,Detail!G$1)</f>
        <v>0</v>
      </c>
      <c r="H430" s="7">
        <f>SUMIFS('Leave Management'!$L:$L,'Leave Management'!$C:$C,Detail!$A430,'Leave Management'!$B:$B,Detail!H$1)</f>
        <v>0</v>
      </c>
      <c r="I430" s="7">
        <f>SUMIFS('Leave Management'!$L:$L,'Leave Management'!$C:$C,Detail!$A430,'Leave Management'!$B:$B,Detail!I$1)</f>
        <v>0</v>
      </c>
      <c r="J430" s="7">
        <f>SUMIFS('Leave Management'!$L:$L,'Leave Management'!$C:$C,Detail!$A430,'Leave Management'!$B:$B,Detail!J$1)</f>
        <v>0</v>
      </c>
      <c r="K430" s="7">
        <f>SUMIFS('Leave Management'!$L:$L,'Leave Management'!$C:$C,Detail!$A430,'Leave Management'!$B:$B,Detail!K$1)</f>
        <v>1</v>
      </c>
      <c r="L430" s="7">
        <f>SUMIFS('Leave Management'!$L:$L,'Leave Management'!$C:$C,Detail!$A430,'Leave Management'!$B:$B,Detail!L$1)</f>
        <v>0</v>
      </c>
      <c r="M430" s="7">
        <f>SUMIFS('Leave Management'!$L:$L,'Leave Management'!$C:$C,Detail!$A430,'Leave Management'!$B:$B,Detail!M$1)</f>
        <v>0</v>
      </c>
      <c r="N430" s="7">
        <f>SUMIFS('Leave Management'!$L:$L,'Leave Management'!$C:$C,Detail!$A430,'Leave Management'!$B:$B,Detail!N$1)</f>
        <v>0</v>
      </c>
      <c r="O430" s="7">
        <f t="shared" si="14"/>
        <v>11</v>
      </c>
    </row>
    <row r="431" spans="1:15" x14ac:dyDescent="0.25">
      <c r="A431" s="24">
        <v>43529</v>
      </c>
      <c r="B431" s="2" t="str">
        <f t="shared" si="15"/>
        <v>Tue</v>
      </c>
      <c r="C431" s="7">
        <f>SUMIFS('Leave Management'!$L:$L,'Leave Management'!$C:$C,Detail!$A431,'Leave Management'!$B:$B,Detail!C$1)</f>
        <v>0</v>
      </c>
      <c r="D431" s="7">
        <f>SUMIFS('Leave Management'!$L:$L,'Leave Management'!$C:$C,Detail!$A431,'Leave Management'!$B:$B,Detail!D$1)</f>
        <v>0</v>
      </c>
      <c r="E431" s="7">
        <f>SUMIFS('Leave Management'!$L:$L,'Leave Management'!$C:$C,Detail!$A431,'Leave Management'!$B:$B,Detail!E$1)</f>
        <v>0</v>
      </c>
      <c r="F431" s="7">
        <f>SUMIFS('Leave Management'!$L:$L,'Leave Management'!$C:$C,Detail!$A431,'Leave Management'!$B:$B,Detail!F$1)</f>
        <v>0</v>
      </c>
      <c r="G431" s="7">
        <f>SUMIFS('Leave Management'!$L:$L,'Leave Management'!$C:$C,Detail!$A431,'Leave Management'!$B:$B,Detail!G$1)</f>
        <v>0</v>
      </c>
      <c r="H431" s="7">
        <f>SUMIFS('Leave Management'!$L:$L,'Leave Management'!$C:$C,Detail!$A431,'Leave Management'!$B:$B,Detail!H$1)</f>
        <v>0</v>
      </c>
      <c r="I431" s="7">
        <f>SUMIFS('Leave Management'!$L:$L,'Leave Management'!$C:$C,Detail!$A431,'Leave Management'!$B:$B,Detail!I$1)</f>
        <v>0</v>
      </c>
      <c r="J431" s="7">
        <f>SUMIFS('Leave Management'!$L:$L,'Leave Management'!$C:$C,Detail!$A431,'Leave Management'!$B:$B,Detail!J$1)</f>
        <v>0</v>
      </c>
      <c r="K431" s="7">
        <f>SUMIFS('Leave Management'!$L:$L,'Leave Management'!$C:$C,Detail!$A431,'Leave Management'!$B:$B,Detail!K$1)</f>
        <v>1</v>
      </c>
      <c r="L431" s="7">
        <f>SUMIFS('Leave Management'!$L:$L,'Leave Management'!$C:$C,Detail!$A431,'Leave Management'!$B:$B,Detail!L$1)</f>
        <v>0</v>
      </c>
      <c r="M431" s="7">
        <f>SUMIFS('Leave Management'!$L:$L,'Leave Management'!$C:$C,Detail!$A431,'Leave Management'!$B:$B,Detail!M$1)</f>
        <v>0</v>
      </c>
      <c r="N431" s="7">
        <f>SUMIFS('Leave Management'!$L:$L,'Leave Management'!$C:$C,Detail!$A431,'Leave Management'!$B:$B,Detail!N$1)</f>
        <v>0</v>
      </c>
      <c r="O431" s="7">
        <f t="shared" si="14"/>
        <v>11</v>
      </c>
    </row>
    <row r="432" spans="1:15" x14ac:dyDescent="0.25">
      <c r="A432" s="24">
        <v>43530</v>
      </c>
      <c r="B432" s="2" t="str">
        <f t="shared" ref="B432:B495" si="16">CHOOSE(WEEKDAY(A432),"Sun","Mon","Tue","Wed","Thu","Fri","Sat")</f>
        <v>Wed</v>
      </c>
      <c r="C432" s="7">
        <f>SUMIFS('Leave Management'!$L:$L,'Leave Management'!$C:$C,Detail!$A432,'Leave Management'!$B:$B,Detail!C$1)</f>
        <v>0</v>
      </c>
      <c r="D432" s="7">
        <f>SUMIFS('Leave Management'!$L:$L,'Leave Management'!$C:$C,Detail!$A432,'Leave Management'!$B:$B,Detail!D$1)</f>
        <v>0</v>
      </c>
      <c r="E432" s="7">
        <f>SUMIFS('Leave Management'!$L:$L,'Leave Management'!$C:$C,Detail!$A432,'Leave Management'!$B:$B,Detail!E$1)</f>
        <v>0</v>
      </c>
      <c r="F432" s="7">
        <f>SUMIFS('Leave Management'!$L:$L,'Leave Management'!$C:$C,Detail!$A432,'Leave Management'!$B:$B,Detail!F$1)</f>
        <v>0</v>
      </c>
      <c r="G432" s="7">
        <f>SUMIFS('Leave Management'!$L:$L,'Leave Management'!$C:$C,Detail!$A432,'Leave Management'!$B:$B,Detail!G$1)</f>
        <v>0</v>
      </c>
      <c r="H432" s="7">
        <f>SUMIFS('Leave Management'!$L:$L,'Leave Management'!$C:$C,Detail!$A432,'Leave Management'!$B:$B,Detail!H$1)</f>
        <v>0</v>
      </c>
      <c r="I432" s="7">
        <f>SUMIFS('Leave Management'!$L:$L,'Leave Management'!$C:$C,Detail!$A432,'Leave Management'!$B:$B,Detail!I$1)</f>
        <v>0</v>
      </c>
      <c r="J432" s="7">
        <f>SUMIFS('Leave Management'!$L:$L,'Leave Management'!$C:$C,Detail!$A432,'Leave Management'!$B:$B,Detail!J$1)</f>
        <v>0</v>
      </c>
      <c r="K432" s="7">
        <f>SUMIFS('Leave Management'!$L:$L,'Leave Management'!$C:$C,Detail!$A432,'Leave Management'!$B:$B,Detail!K$1)</f>
        <v>0</v>
      </c>
      <c r="L432" s="7">
        <f>SUMIFS('Leave Management'!$L:$L,'Leave Management'!$C:$C,Detail!$A432,'Leave Management'!$B:$B,Detail!L$1)</f>
        <v>0</v>
      </c>
      <c r="M432" s="7">
        <f>SUMIFS('Leave Management'!$L:$L,'Leave Management'!$C:$C,Detail!$A432,'Leave Management'!$B:$B,Detail!M$1)</f>
        <v>0</v>
      </c>
      <c r="N432" s="7">
        <f>SUMIFS('Leave Management'!$L:$L,'Leave Management'!$C:$C,Detail!$A432,'Leave Management'!$B:$B,Detail!N$1)</f>
        <v>0</v>
      </c>
      <c r="O432" s="7">
        <f t="shared" si="14"/>
        <v>12</v>
      </c>
    </row>
    <row r="433" spans="1:15" x14ac:dyDescent="0.25">
      <c r="A433" s="24">
        <v>43531</v>
      </c>
      <c r="B433" s="2" t="str">
        <f t="shared" si="16"/>
        <v>Thu</v>
      </c>
      <c r="C433" s="7">
        <f>SUMIFS('Leave Management'!$L:$L,'Leave Management'!$C:$C,Detail!$A433,'Leave Management'!$B:$B,Detail!C$1)</f>
        <v>0</v>
      </c>
      <c r="D433" s="7">
        <f>SUMIFS('Leave Management'!$L:$L,'Leave Management'!$C:$C,Detail!$A433,'Leave Management'!$B:$B,Detail!D$1)</f>
        <v>0</v>
      </c>
      <c r="E433" s="7">
        <f>SUMIFS('Leave Management'!$L:$L,'Leave Management'!$C:$C,Detail!$A433,'Leave Management'!$B:$B,Detail!E$1)</f>
        <v>0</v>
      </c>
      <c r="F433" s="7">
        <f>SUMIFS('Leave Management'!$L:$L,'Leave Management'!$C:$C,Detail!$A433,'Leave Management'!$B:$B,Detail!F$1)</f>
        <v>0</v>
      </c>
      <c r="G433" s="7">
        <f>SUMIFS('Leave Management'!$L:$L,'Leave Management'!$C:$C,Detail!$A433,'Leave Management'!$B:$B,Detail!G$1)</f>
        <v>0</v>
      </c>
      <c r="H433" s="7">
        <f>SUMIFS('Leave Management'!$L:$L,'Leave Management'!$C:$C,Detail!$A433,'Leave Management'!$B:$B,Detail!H$1)</f>
        <v>0</v>
      </c>
      <c r="I433" s="7">
        <f>SUMIFS('Leave Management'!$L:$L,'Leave Management'!$C:$C,Detail!$A433,'Leave Management'!$B:$B,Detail!I$1)</f>
        <v>0</v>
      </c>
      <c r="J433" s="7">
        <f>SUMIFS('Leave Management'!$L:$L,'Leave Management'!$C:$C,Detail!$A433,'Leave Management'!$B:$B,Detail!J$1)</f>
        <v>0</v>
      </c>
      <c r="K433" s="7">
        <f>SUMIFS('Leave Management'!$L:$L,'Leave Management'!$C:$C,Detail!$A433,'Leave Management'!$B:$B,Detail!K$1)</f>
        <v>0</v>
      </c>
      <c r="L433" s="7">
        <f>SUMIFS('Leave Management'!$L:$L,'Leave Management'!$C:$C,Detail!$A433,'Leave Management'!$B:$B,Detail!L$1)</f>
        <v>0</v>
      </c>
      <c r="M433" s="7">
        <f>SUMIFS('Leave Management'!$L:$L,'Leave Management'!$C:$C,Detail!$A433,'Leave Management'!$B:$B,Detail!M$1)</f>
        <v>0</v>
      </c>
      <c r="N433" s="7">
        <f>SUMIFS('Leave Management'!$L:$L,'Leave Management'!$C:$C,Detail!$A433,'Leave Management'!$B:$B,Detail!N$1)</f>
        <v>0</v>
      </c>
      <c r="O433" s="7">
        <f t="shared" si="14"/>
        <v>12</v>
      </c>
    </row>
    <row r="434" spans="1:15" x14ac:dyDescent="0.25">
      <c r="A434" s="24">
        <v>43532</v>
      </c>
      <c r="B434" s="2" t="str">
        <f t="shared" si="16"/>
        <v>Fri</v>
      </c>
      <c r="C434" s="7">
        <f>SUMIFS('Leave Management'!$L:$L,'Leave Management'!$C:$C,Detail!$A434,'Leave Management'!$B:$B,Detail!C$1)</f>
        <v>0</v>
      </c>
      <c r="D434" s="7">
        <f>SUMIFS('Leave Management'!$L:$L,'Leave Management'!$C:$C,Detail!$A434,'Leave Management'!$B:$B,Detail!D$1)</f>
        <v>0</v>
      </c>
      <c r="E434" s="7">
        <f>SUMIFS('Leave Management'!$L:$L,'Leave Management'!$C:$C,Detail!$A434,'Leave Management'!$B:$B,Detail!E$1)</f>
        <v>0</v>
      </c>
      <c r="F434" s="7">
        <f>SUMIFS('Leave Management'!$L:$L,'Leave Management'!$C:$C,Detail!$A434,'Leave Management'!$B:$B,Detail!F$1)</f>
        <v>0</v>
      </c>
      <c r="G434" s="7">
        <f>SUMIFS('Leave Management'!$L:$L,'Leave Management'!$C:$C,Detail!$A434,'Leave Management'!$B:$B,Detail!G$1)</f>
        <v>0</v>
      </c>
      <c r="H434" s="7">
        <f>SUMIFS('Leave Management'!$L:$L,'Leave Management'!$C:$C,Detail!$A434,'Leave Management'!$B:$B,Detail!H$1)</f>
        <v>0</v>
      </c>
      <c r="I434" s="7">
        <f>SUMIFS('Leave Management'!$L:$L,'Leave Management'!$C:$C,Detail!$A434,'Leave Management'!$B:$B,Detail!I$1)</f>
        <v>0</v>
      </c>
      <c r="J434" s="7">
        <f>SUMIFS('Leave Management'!$L:$L,'Leave Management'!$C:$C,Detail!$A434,'Leave Management'!$B:$B,Detail!J$1)</f>
        <v>0</v>
      </c>
      <c r="K434" s="7">
        <f>SUMIFS('Leave Management'!$L:$L,'Leave Management'!$C:$C,Detail!$A434,'Leave Management'!$B:$B,Detail!K$1)</f>
        <v>0</v>
      </c>
      <c r="L434" s="7">
        <f>SUMIFS('Leave Management'!$L:$L,'Leave Management'!$C:$C,Detail!$A434,'Leave Management'!$B:$B,Detail!L$1)</f>
        <v>0</v>
      </c>
      <c r="M434" s="7">
        <f>SUMIFS('Leave Management'!$L:$L,'Leave Management'!$C:$C,Detail!$A434,'Leave Management'!$B:$B,Detail!M$1)</f>
        <v>0</v>
      </c>
      <c r="N434" s="7">
        <f>SUMIFS('Leave Management'!$L:$L,'Leave Management'!$C:$C,Detail!$A434,'Leave Management'!$B:$B,Detail!N$1)</f>
        <v>0</v>
      </c>
      <c r="O434" s="7">
        <f t="shared" si="14"/>
        <v>12</v>
      </c>
    </row>
    <row r="435" spans="1:15" x14ac:dyDescent="0.25">
      <c r="A435" s="24">
        <v>43533</v>
      </c>
      <c r="B435" s="2" t="str">
        <f t="shared" si="16"/>
        <v>Sat</v>
      </c>
      <c r="C435" s="7">
        <f>SUMIFS('Leave Management'!$L:$L,'Leave Management'!$C:$C,Detail!$A435,'Leave Management'!$B:$B,Detail!C$1)</f>
        <v>0</v>
      </c>
      <c r="D435" s="7">
        <f>SUMIFS('Leave Management'!$L:$L,'Leave Management'!$C:$C,Detail!$A435,'Leave Management'!$B:$B,Detail!D$1)</f>
        <v>0</v>
      </c>
      <c r="E435" s="7">
        <f>SUMIFS('Leave Management'!$L:$L,'Leave Management'!$C:$C,Detail!$A435,'Leave Management'!$B:$B,Detail!E$1)</f>
        <v>0</v>
      </c>
      <c r="F435" s="7">
        <f>SUMIFS('Leave Management'!$L:$L,'Leave Management'!$C:$C,Detail!$A435,'Leave Management'!$B:$B,Detail!F$1)</f>
        <v>0</v>
      </c>
      <c r="G435" s="7">
        <f>SUMIFS('Leave Management'!$L:$L,'Leave Management'!$C:$C,Detail!$A435,'Leave Management'!$B:$B,Detail!G$1)</f>
        <v>0</v>
      </c>
      <c r="H435" s="7">
        <f>SUMIFS('Leave Management'!$L:$L,'Leave Management'!$C:$C,Detail!$A435,'Leave Management'!$B:$B,Detail!H$1)</f>
        <v>0</v>
      </c>
      <c r="I435" s="7">
        <f>SUMIFS('Leave Management'!$L:$L,'Leave Management'!$C:$C,Detail!$A435,'Leave Management'!$B:$B,Detail!I$1)</f>
        <v>0</v>
      </c>
      <c r="J435" s="7">
        <f>SUMIFS('Leave Management'!$L:$L,'Leave Management'!$C:$C,Detail!$A435,'Leave Management'!$B:$B,Detail!J$1)</f>
        <v>0</v>
      </c>
      <c r="K435" s="7">
        <f>SUMIFS('Leave Management'!$L:$L,'Leave Management'!$C:$C,Detail!$A435,'Leave Management'!$B:$B,Detail!K$1)</f>
        <v>0</v>
      </c>
      <c r="L435" s="7">
        <f>SUMIFS('Leave Management'!$L:$L,'Leave Management'!$C:$C,Detail!$A435,'Leave Management'!$B:$B,Detail!L$1)</f>
        <v>0</v>
      </c>
      <c r="M435" s="7">
        <f>SUMIFS('Leave Management'!$L:$L,'Leave Management'!$C:$C,Detail!$A435,'Leave Management'!$B:$B,Detail!M$1)</f>
        <v>0</v>
      </c>
      <c r="N435" s="7">
        <f>SUMIFS('Leave Management'!$L:$L,'Leave Management'!$C:$C,Detail!$A435,'Leave Management'!$B:$B,Detail!N$1)</f>
        <v>0</v>
      </c>
      <c r="O435" s="7">
        <f t="shared" si="14"/>
        <v>12</v>
      </c>
    </row>
    <row r="436" spans="1:15" x14ac:dyDescent="0.25">
      <c r="A436" s="24">
        <v>43534</v>
      </c>
      <c r="B436" s="2" t="str">
        <f t="shared" si="16"/>
        <v>Sun</v>
      </c>
      <c r="C436" s="7">
        <f>SUMIFS('Leave Management'!$L:$L,'Leave Management'!$C:$C,Detail!$A436,'Leave Management'!$B:$B,Detail!C$1)</f>
        <v>0</v>
      </c>
      <c r="D436" s="7">
        <f>SUMIFS('Leave Management'!$L:$L,'Leave Management'!$C:$C,Detail!$A436,'Leave Management'!$B:$B,Detail!D$1)</f>
        <v>0</v>
      </c>
      <c r="E436" s="7">
        <f>SUMIFS('Leave Management'!$L:$L,'Leave Management'!$C:$C,Detail!$A436,'Leave Management'!$B:$B,Detail!E$1)</f>
        <v>0</v>
      </c>
      <c r="F436" s="7">
        <f>SUMIFS('Leave Management'!$L:$L,'Leave Management'!$C:$C,Detail!$A436,'Leave Management'!$B:$B,Detail!F$1)</f>
        <v>0</v>
      </c>
      <c r="G436" s="7">
        <f>SUMIFS('Leave Management'!$L:$L,'Leave Management'!$C:$C,Detail!$A436,'Leave Management'!$B:$B,Detail!G$1)</f>
        <v>0</v>
      </c>
      <c r="H436" s="7">
        <f>SUMIFS('Leave Management'!$L:$L,'Leave Management'!$C:$C,Detail!$A436,'Leave Management'!$B:$B,Detail!H$1)</f>
        <v>0</v>
      </c>
      <c r="I436" s="7">
        <f>SUMIFS('Leave Management'!$L:$L,'Leave Management'!$C:$C,Detail!$A436,'Leave Management'!$B:$B,Detail!I$1)</f>
        <v>0</v>
      </c>
      <c r="J436" s="7">
        <f>SUMIFS('Leave Management'!$L:$L,'Leave Management'!$C:$C,Detail!$A436,'Leave Management'!$B:$B,Detail!J$1)</f>
        <v>0</v>
      </c>
      <c r="K436" s="7">
        <f>SUMIFS('Leave Management'!$L:$L,'Leave Management'!$C:$C,Detail!$A436,'Leave Management'!$B:$B,Detail!K$1)</f>
        <v>0</v>
      </c>
      <c r="L436" s="7">
        <f>SUMIFS('Leave Management'!$L:$L,'Leave Management'!$C:$C,Detail!$A436,'Leave Management'!$B:$B,Detail!L$1)</f>
        <v>0</v>
      </c>
      <c r="M436" s="7">
        <f>SUMIFS('Leave Management'!$L:$L,'Leave Management'!$C:$C,Detail!$A436,'Leave Management'!$B:$B,Detail!M$1)</f>
        <v>0</v>
      </c>
      <c r="N436" s="7">
        <f>SUMIFS('Leave Management'!$L:$L,'Leave Management'!$C:$C,Detail!$A436,'Leave Management'!$B:$B,Detail!N$1)</f>
        <v>0</v>
      </c>
      <c r="O436" s="7">
        <f t="shared" si="14"/>
        <v>12</v>
      </c>
    </row>
    <row r="437" spans="1:15" x14ac:dyDescent="0.25">
      <c r="A437" s="24">
        <v>43535</v>
      </c>
      <c r="B437" s="2" t="str">
        <f t="shared" si="16"/>
        <v>Mon</v>
      </c>
      <c r="C437" s="7">
        <f>SUMIFS('Leave Management'!$L:$L,'Leave Management'!$C:$C,Detail!$A437,'Leave Management'!$B:$B,Detail!C$1)</f>
        <v>1</v>
      </c>
      <c r="D437" s="7">
        <f>SUMIFS('Leave Management'!$L:$L,'Leave Management'!$C:$C,Detail!$A437,'Leave Management'!$B:$B,Detail!D$1)</f>
        <v>0</v>
      </c>
      <c r="E437" s="7">
        <f>SUMIFS('Leave Management'!$L:$L,'Leave Management'!$C:$C,Detail!$A437,'Leave Management'!$B:$B,Detail!E$1)</f>
        <v>0</v>
      </c>
      <c r="F437" s="7">
        <f>SUMIFS('Leave Management'!$L:$L,'Leave Management'!$C:$C,Detail!$A437,'Leave Management'!$B:$B,Detail!F$1)</f>
        <v>0</v>
      </c>
      <c r="G437" s="7">
        <f>SUMIFS('Leave Management'!$L:$L,'Leave Management'!$C:$C,Detail!$A437,'Leave Management'!$B:$B,Detail!G$1)</f>
        <v>0</v>
      </c>
      <c r="H437" s="7">
        <f>SUMIFS('Leave Management'!$L:$L,'Leave Management'!$C:$C,Detail!$A437,'Leave Management'!$B:$B,Detail!H$1)</f>
        <v>0</v>
      </c>
      <c r="I437" s="7">
        <f>SUMIFS('Leave Management'!$L:$L,'Leave Management'!$C:$C,Detail!$A437,'Leave Management'!$B:$B,Detail!I$1)</f>
        <v>0</v>
      </c>
      <c r="J437" s="7">
        <f>SUMIFS('Leave Management'!$L:$L,'Leave Management'!$C:$C,Detail!$A437,'Leave Management'!$B:$B,Detail!J$1)</f>
        <v>0</v>
      </c>
      <c r="K437" s="7">
        <f>SUMIFS('Leave Management'!$L:$L,'Leave Management'!$C:$C,Detail!$A437,'Leave Management'!$B:$B,Detail!K$1)</f>
        <v>0</v>
      </c>
      <c r="L437" s="7">
        <f>SUMIFS('Leave Management'!$L:$L,'Leave Management'!$C:$C,Detail!$A437,'Leave Management'!$B:$B,Detail!L$1)</f>
        <v>0</v>
      </c>
      <c r="M437" s="7">
        <f>SUMIFS('Leave Management'!$L:$L,'Leave Management'!$C:$C,Detail!$A437,'Leave Management'!$B:$B,Detail!M$1)</f>
        <v>0</v>
      </c>
      <c r="N437" s="7">
        <f>SUMIFS('Leave Management'!$L:$L,'Leave Management'!$C:$C,Detail!$A437,'Leave Management'!$B:$B,Detail!N$1)</f>
        <v>0</v>
      </c>
      <c r="O437" s="7">
        <f t="shared" si="14"/>
        <v>11</v>
      </c>
    </row>
    <row r="438" spans="1:15" x14ac:dyDescent="0.25">
      <c r="A438" s="24">
        <v>43536</v>
      </c>
      <c r="B438" s="2" t="str">
        <f t="shared" si="16"/>
        <v>Tue</v>
      </c>
      <c r="C438" s="7">
        <f>SUMIFS('Leave Management'!$L:$L,'Leave Management'!$C:$C,Detail!$A438,'Leave Management'!$B:$B,Detail!C$1)</f>
        <v>1</v>
      </c>
      <c r="D438" s="7">
        <f>SUMIFS('Leave Management'!$L:$L,'Leave Management'!$C:$C,Detail!$A438,'Leave Management'!$B:$B,Detail!D$1)</f>
        <v>0</v>
      </c>
      <c r="E438" s="7">
        <f>SUMIFS('Leave Management'!$L:$L,'Leave Management'!$C:$C,Detail!$A438,'Leave Management'!$B:$B,Detail!E$1)</f>
        <v>0</v>
      </c>
      <c r="F438" s="7">
        <f>SUMIFS('Leave Management'!$L:$L,'Leave Management'!$C:$C,Detail!$A438,'Leave Management'!$B:$B,Detail!F$1)</f>
        <v>0</v>
      </c>
      <c r="G438" s="7">
        <f>SUMIFS('Leave Management'!$L:$L,'Leave Management'!$C:$C,Detail!$A438,'Leave Management'!$B:$B,Detail!G$1)</f>
        <v>0</v>
      </c>
      <c r="H438" s="7">
        <f>SUMIFS('Leave Management'!$L:$L,'Leave Management'!$C:$C,Detail!$A438,'Leave Management'!$B:$B,Detail!H$1)</f>
        <v>0</v>
      </c>
      <c r="I438" s="7">
        <f>SUMIFS('Leave Management'!$L:$L,'Leave Management'!$C:$C,Detail!$A438,'Leave Management'!$B:$B,Detail!I$1)</f>
        <v>0</v>
      </c>
      <c r="J438" s="7">
        <f>SUMIFS('Leave Management'!$L:$L,'Leave Management'!$C:$C,Detail!$A438,'Leave Management'!$B:$B,Detail!J$1)</f>
        <v>0</v>
      </c>
      <c r="K438" s="7">
        <f>SUMIFS('Leave Management'!$L:$L,'Leave Management'!$C:$C,Detail!$A438,'Leave Management'!$B:$B,Detail!K$1)</f>
        <v>0</v>
      </c>
      <c r="L438" s="7">
        <f>SUMIFS('Leave Management'!$L:$L,'Leave Management'!$C:$C,Detail!$A438,'Leave Management'!$B:$B,Detail!L$1)</f>
        <v>0</v>
      </c>
      <c r="M438" s="7">
        <f>SUMIFS('Leave Management'!$L:$L,'Leave Management'!$C:$C,Detail!$A438,'Leave Management'!$B:$B,Detail!M$1)</f>
        <v>0</v>
      </c>
      <c r="N438" s="7">
        <f>SUMIFS('Leave Management'!$L:$L,'Leave Management'!$C:$C,Detail!$A438,'Leave Management'!$B:$B,Detail!N$1)</f>
        <v>0</v>
      </c>
      <c r="O438" s="7">
        <f t="shared" si="14"/>
        <v>11</v>
      </c>
    </row>
    <row r="439" spans="1:15" x14ac:dyDescent="0.25">
      <c r="A439" s="24">
        <v>43537</v>
      </c>
      <c r="B439" s="2" t="str">
        <f t="shared" si="16"/>
        <v>Wed</v>
      </c>
      <c r="C439" s="7">
        <f>SUMIFS('Leave Management'!$L:$L,'Leave Management'!$C:$C,Detail!$A439,'Leave Management'!$B:$B,Detail!C$1)</f>
        <v>0</v>
      </c>
      <c r="D439" s="7">
        <f>SUMIFS('Leave Management'!$L:$L,'Leave Management'!$C:$C,Detail!$A439,'Leave Management'!$B:$B,Detail!D$1)</f>
        <v>0</v>
      </c>
      <c r="E439" s="7">
        <f>SUMIFS('Leave Management'!$L:$L,'Leave Management'!$C:$C,Detail!$A439,'Leave Management'!$B:$B,Detail!E$1)</f>
        <v>0</v>
      </c>
      <c r="F439" s="7">
        <f>SUMIFS('Leave Management'!$L:$L,'Leave Management'!$C:$C,Detail!$A439,'Leave Management'!$B:$B,Detail!F$1)</f>
        <v>0</v>
      </c>
      <c r="G439" s="7">
        <f>SUMIFS('Leave Management'!$L:$L,'Leave Management'!$C:$C,Detail!$A439,'Leave Management'!$B:$B,Detail!G$1)</f>
        <v>1</v>
      </c>
      <c r="H439" s="7">
        <f>SUMIFS('Leave Management'!$L:$L,'Leave Management'!$C:$C,Detail!$A439,'Leave Management'!$B:$B,Detail!H$1)</f>
        <v>0</v>
      </c>
      <c r="I439" s="7">
        <f>SUMIFS('Leave Management'!$L:$L,'Leave Management'!$C:$C,Detail!$A439,'Leave Management'!$B:$B,Detail!I$1)</f>
        <v>0</v>
      </c>
      <c r="J439" s="7">
        <f>SUMIFS('Leave Management'!$L:$L,'Leave Management'!$C:$C,Detail!$A439,'Leave Management'!$B:$B,Detail!J$1)</f>
        <v>0</v>
      </c>
      <c r="K439" s="7">
        <f>SUMIFS('Leave Management'!$L:$L,'Leave Management'!$C:$C,Detail!$A439,'Leave Management'!$B:$B,Detail!K$1)</f>
        <v>0</v>
      </c>
      <c r="L439" s="7">
        <f>SUMIFS('Leave Management'!$L:$L,'Leave Management'!$C:$C,Detail!$A439,'Leave Management'!$B:$B,Detail!L$1)</f>
        <v>0</v>
      </c>
      <c r="M439" s="7">
        <f>SUMIFS('Leave Management'!$L:$L,'Leave Management'!$C:$C,Detail!$A439,'Leave Management'!$B:$B,Detail!M$1)</f>
        <v>0</v>
      </c>
      <c r="N439" s="7">
        <f>SUMIFS('Leave Management'!$L:$L,'Leave Management'!$C:$C,Detail!$A439,'Leave Management'!$B:$B,Detail!N$1)</f>
        <v>0</v>
      </c>
      <c r="O439" s="7">
        <f t="shared" si="14"/>
        <v>11</v>
      </c>
    </row>
    <row r="440" spans="1:15" x14ac:dyDescent="0.25">
      <c r="A440" s="24">
        <v>43538</v>
      </c>
      <c r="B440" s="2" t="str">
        <f t="shared" si="16"/>
        <v>Thu</v>
      </c>
      <c r="C440" s="7">
        <f>SUMIFS('Leave Management'!$L:$L,'Leave Management'!$C:$C,Detail!$A440,'Leave Management'!$B:$B,Detail!C$1)</f>
        <v>0</v>
      </c>
      <c r="D440" s="7">
        <f>SUMIFS('Leave Management'!$L:$L,'Leave Management'!$C:$C,Detail!$A440,'Leave Management'!$B:$B,Detail!D$1)</f>
        <v>0</v>
      </c>
      <c r="E440" s="7">
        <f>SUMIFS('Leave Management'!$L:$L,'Leave Management'!$C:$C,Detail!$A440,'Leave Management'!$B:$B,Detail!E$1)</f>
        <v>0</v>
      </c>
      <c r="F440" s="7">
        <f>SUMIFS('Leave Management'!$L:$L,'Leave Management'!$C:$C,Detail!$A440,'Leave Management'!$B:$B,Detail!F$1)</f>
        <v>0</v>
      </c>
      <c r="G440" s="7">
        <f>SUMIFS('Leave Management'!$L:$L,'Leave Management'!$C:$C,Detail!$A440,'Leave Management'!$B:$B,Detail!G$1)</f>
        <v>0</v>
      </c>
      <c r="H440" s="7">
        <f>SUMIFS('Leave Management'!$L:$L,'Leave Management'!$C:$C,Detail!$A440,'Leave Management'!$B:$B,Detail!H$1)</f>
        <v>0</v>
      </c>
      <c r="I440" s="7">
        <f>SUMIFS('Leave Management'!$L:$L,'Leave Management'!$C:$C,Detail!$A440,'Leave Management'!$B:$B,Detail!I$1)</f>
        <v>0</v>
      </c>
      <c r="J440" s="7">
        <f>SUMIFS('Leave Management'!$L:$L,'Leave Management'!$C:$C,Detail!$A440,'Leave Management'!$B:$B,Detail!J$1)</f>
        <v>0</v>
      </c>
      <c r="K440" s="7">
        <f>SUMIFS('Leave Management'!$L:$L,'Leave Management'!$C:$C,Detail!$A440,'Leave Management'!$B:$B,Detail!K$1)</f>
        <v>0</v>
      </c>
      <c r="L440" s="7">
        <f>SUMIFS('Leave Management'!$L:$L,'Leave Management'!$C:$C,Detail!$A440,'Leave Management'!$B:$B,Detail!L$1)</f>
        <v>0</v>
      </c>
      <c r="M440" s="7">
        <f>SUMIFS('Leave Management'!$L:$L,'Leave Management'!$C:$C,Detail!$A440,'Leave Management'!$B:$B,Detail!M$1)</f>
        <v>0</v>
      </c>
      <c r="N440" s="7">
        <f>SUMIFS('Leave Management'!$L:$L,'Leave Management'!$C:$C,Detail!$A440,'Leave Management'!$B:$B,Detail!N$1)</f>
        <v>0</v>
      </c>
      <c r="O440" s="7">
        <f t="shared" si="14"/>
        <v>12</v>
      </c>
    </row>
    <row r="441" spans="1:15" x14ac:dyDescent="0.25">
      <c r="A441" s="24">
        <v>43539</v>
      </c>
      <c r="B441" s="2" t="str">
        <f t="shared" si="16"/>
        <v>Fri</v>
      </c>
      <c r="C441" s="7">
        <f>SUMIFS('Leave Management'!$L:$L,'Leave Management'!$C:$C,Detail!$A441,'Leave Management'!$B:$B,Detail!C$1)</f>
        <v>0</v>
      </c>
      <c r="D441" s="7">
        <f>SUMIFS('Leave Management'!$L:$L,'Leave Management'!$C:$C,Detail!$A441,'Leave Management'!$B:$B,Detail!D$1)</f>
        <v>0</v>
      </c>
      <c r="E441" s="7">
        <f>SUMIFS('Leave Management'!$L:$L,'Leave Management'!$C:$C,Detail!$A441,'Leave Management'!$B:$B,Detail!E$1)</f>
        <v>0</v>
      </c>
      <c r="F441" s="7">
        <f>SUMIFS('Leave Management'!$L:$L,'Leave Management'!$C:$C,Detail!$A441,'Leave Management'!$B:$B,Detail!F$1)</f>
        <v>0</v>
      </c>
      <c r="G441" s="7">
        <f>SUMIFS('Leave Management'!$L:$L,'Leave Management'!$C:$C,Detail!$A441,'Leave Management'!$B:$B,Detail!G$1)</f>
        <v>0</v>
      </c>
      <c r="H441" s="7">
        <f>SUMIFS('Leave Management'!$L:$L,'Leave Management'!$C:$C,Detail!$A441,'Leave Management'!$B:$B,Detail!H$1)</f>
        <v>0</v>
      </c>
      <c r="I441" s="7">
        <f>SUMIFS('Leave Management'!$L:$L,'Leave Management'!$C:$C,Detail!$A441,'Leave Management'!$B:$B,Detail!I$1)</f>
        <v>0</v>
      </c>
      <c r="J441" s="7">
        <f>SUMIFS('Leave Management'!$L:$L,'Leave Management'!$C:$C,Detail!$A441,'Leave Management'!$B:$B,Detail!J$1)</f>
        <v>0</v>
      </c>
      <c r="K441" s="7">
        <f>SUMIFS('Leave Management'!$L:$L,'Leave Management'!$C:$C,Detail!$A441,'Leave Management'!$B:$B,Detail!K$1)</f>
        <v>0</v>
      </c>
      <c r="L441" s="7">
        <f>SUMIFS('Leave Management'!$L:$L,'Leave Management'!$C:$C,Detail!$A441,'Leave Management'!$B:$B,Detail!L$1)</f>
        <v>0</v>
      </c>
      <c r="M441" s="7">
        <f>SUMIFS('Leave Management'!$L:$L,'Leave Management'!$C:$C,Detail!$A441,'Leave Management'!$B:$B,Detail!M$1)</f>
        <v>0</v>
      </c>
      <c r="N441" s="7">
        <f>SUMIFS('Leave Management'!$L:$L,'Leave Management'!$C:$C,Detail!$A441,'Leave Management'!$B:$B,Detail!N$1)</f>
        <v>0</v>
      </c>
      <c r="O441" s="7">
        <f t="shared" si="14"/>
        <v>12</v>
      </c>
    </row>
    <row r="442" spans="1:15" x14ac:dyDescent="0.25">
      <c r="A442" s="24">
        <v>43540</v>
      </c>
      <c r="B442" s="2" t="str">
        <f t="shared" si="16"/>
        <v>Sat</v>
      </c>
      <c r="C442" s="7">
        <f>SUMIFS('Leave Management'!$L:$L,'Leave Management'!$C:$C,Detail!$A442,'Leave Management'!$B:$B,Detail!C$1)</f>
        <v>0</v>
      </c>
      <c r="D442" s="7">
        <f>SUMIFS('Leave Management'!$L:$L,'Leave Management'!$C:$C,Detail!$A442,'Leave Management'!$B:$B,Detail!D$1)</f>
        <v>0</v>
      </c>
      <c r="E442" s="7">
        <f>SUMIFS('Leave Management'!$L:$L,'Leave Management'!$C:$C,Detail!$A442,'Leave Management'!$B:$B,Detail!E$1)</f>
        <v>0</v>
      </c>
      <c r="F442" s="7">
        <f>SUMIFS('Leave Management'!$L:$L,'Leave Management'!$C:$C,Detail!$A442,'Leave Management'!$B:$B,Detail!F$1)</f>
        <v>0</v>
      </c>
      <c r="G442" s="7">
        <f>SUMIFS('Leave Management'!$L:$L,'Leave Management'!$C:$C,Detail!$A442,'Leave Management'!$B:$B,Detail!G$1)</f>
        <v>0</v>
      </c>
      <c r="H442" s="7">
        <f>SUMIFS('Leave Management'!$L:$L,'Leave Management'!$C:$C,Detail!$A442,'Leave Management'!$B:$B,Detail!H$1)</f>
        <v>0</v>
      </c>
      <c r="I442" s="7">
        <f>SUMIFS('Leave Management'!$L:$L,'Leave Management'!$C:$C,Detail!$A442,'Leave Management'!$B:$B,Detail!I$1)</f>
        <v>0</v>
      </c>
      <c r="J442" s="7">
        <f>SUMIFS('Leave Management'!$L:$L,'Leave Management'!$C:$C,Detail!$A442,'Leave Management'!$B:$B,Detail!J$1)</f>
        <v>0</v>
      </c>
      <c r="K442" s="7">
        <f>SUMIFS('Leave Management'!$L:$L,'Leave Management'!$C:$C,Detail!$A442,'Leave Management'!$B:$B,Detail!K$1)</f>
        <v>0</v>
      </c>
      <c r="L442" s="7">
        <f>SUMIFS('Leave Management'!$L:$L,'Leave Management'!$C:$C,Detail!$A442,'Leave Management'!$B:$B,Detail!L$1)</f>
        <v>0</v>
      </c>
      <c r="M442" s="7">
        <f>SUMIFS('Leave Management'!$L:$L,'Leave Management'!$C:$C,Detail!$A442,'Leave Management'!$B:$B,Detail!M$1)</f>
        <v>0</v>
      </c>
      <c r="N442" s="7">
        <f>SUMIFS('Leave Management'!$L:$L,'Leave Management'!$C:$C,Detail!$A442,'Leave Management'!$B:$B,Detail!N$1)</f>
        <v>0</v>
      </c>
      <c r="O442" s="7">
        <f t="shared" si="14"/>
        <v>12</v>
      </c>
    </row>
    <row r="443" spans="1:15" x14ac:dyDescent="0.25">
      <c r="A443" s="24">
        <v>43541</v>
      </c>
      <c r="B443" s="2" t="str">
        <f t="shared" si="16"/>
        <v>Sun</v>
      </c>
      <c r="C443" s="7">
        <f>SUMIFS('Leave Management'!$L:$L,'Leave Management'!$C:$C,Detail!$A443,'Leave Management'!$B:$B,Detail!C$1)</f>
        <v>0</v>
      </c>
      <c r="D443" s="7">
        <f>SUMIFS('Leave Management'!$L:$L,'Leave Management'!$C:$C,Detail!$A443,'Leave Management'!$B:$B,Detail!D$1)</f>
        <v>0</v>
      </c>
      <c r="E443" s="7">
        <f>SUMIFS('Leave Management'!$L:$L,'Leave Management'!$C:$C,Detail!$A443,'Leave Management'!$B:$B,Detail!E$1)</f>
        <v>0</v>
      </c>
      <c r="F443" s="7">
        <f>SUMIFS('Leave Management'!$L:$L,'Leave Management'!$C:$C,Detail!$A443,'Leave Management'!$B:$B,Detail!F$1)</f>
        <v>0</v>
      </c>
      <c r="G443" s="7">
        <f>SUMIFS('Leave Management'!$L:$L,'Leave Management'!$C:$C,Detail!$A443,'Leave Management'!$B:$B,Detail!G$1)</f>
        <v>0</v>
      </c>
      <c r="H443" s="7">
        <f>SUMIFS('Leave Management'!$L:$L,'Leave Management'!$C:$C,Detail!$A443,'Leave Management'!$B:$B,Detail!H$1)</f>
        <v>0</v>
      </c>
      <c r="I443" s="7">
        <f>SUMIFS('Leave Management'!$L:$L,'Leave Management'!$C:$C,Detail!$A443,'Leave Management'!$B:$B,Detail!I$1)</f>
        <v>0</v>
      </c>
      <c r="J443" s="7">
        <f>SUMIFS('Leave Management'!$L:$L,'Leave Management'!$C:$C,Detail!$A443,'Leave Management'!$B:$B,Detail!J$1)</f>
        <v>0</v>
      </c>
      <c r="K443" s="7">
        <f>SUMIFS('Leave Management'!$L:$L,'Leave Management'!$C:$C,Detail!$A443,'Leave Management'!$B:$B,Detail!K$1)</f>
        <v>0</v>
      </c>
      <c r="L443" s="7">
        <f>SUMIFS('Leave Management'!$L:$L,'Leave Management'!$C:$C,Detail!$A443,'Leave Management'!$B:$B,Detail!L$1)</f>
        <v>0</v>
      </c>
      <c r="M443" s="7">
        <f>SUMIFS('Leave Management'!$L:$L,'Leave Management'!$C:$C,Detail!$A443,'Leave Management'!$B:$B,Detail!M$1)</f>
        <v>0</v>
      </c>
      <c r="N443" s="7">
        <f>SUMIFS('Leave Management'!$L:$L,'Leave Management'!$C:$C,Detail!$A443,'Leave Management'!$B:$B,Detail!N$1)</f>
        <v>0</v>
      </c>
      <c r="O443" s="7">
        <f t="shared" si="14"/>
        <v>12</v>
      </c>
    </row>
    <row r="444" spans="1:15" x14ac:dyDescent="0.25">
      <c r="A444" s="24">
        <v>43542</v>
      </c>
      <c r="B444" s="2" t="str">
        <f t="shared" si="16"/>
        <v>Mon</v>
      </c>
      <c r="C444" s="7">
        <f>SUMIFS('Leave Management'!$L:$L,'Leave Management'!$C:$C,Detail!$A444,'Leave Management'!$B:$B,Detail!C$1)</f>
        <v>0</v>
      </c>
      <c r="D444" s="7">
        <f>SUMIFS('Leave Management'!$L:$L,'Leave Management'!$C:$C,Detail!$A444,'Leave Management'!$B:$B,Detail!D$1)</f>
        <v>0</v>
      </c>
      <c r="E444" s="7">
        <f>SUMIFS('Leave Management'!$L:$L,'Leave Management'!$C:$C,Detail!$A444,'Leave Management'!$B:$B,Detail!E$1)</f>
        <v>0</v>
      </c>
      <c r="F444" s="7">
        <f>SUMIFS('Leave Management'!$L:$L,'Leave Management'!$C:$C,Detail!$A444,'Leave Management'!$B:$B,Detail!F$1)</f>
        <v>0</v>
      </c>
      <c r="G444" s="7">
        <f>SUMIFS('Leave Management'!$L:$L,'Leave Management'!$C:$C,Detail!$A444,'Leave Management'!$B:$B,Detail!G$1)</f>
        <v>1</v>
      </c>
      <c r="H444" s="7">
        <f>SUMIFS('Leave Management'!$L:$L,'Leave Management'!$C:$C,Detail!$A444,'Leave Management'!$B:$B,Detail!H$1)</f>
        <v>0</v>
      </c>
      <c r="I444" s="7">
        <f>SUMIFS('Leave Management'!$L:$L,'Leave Management'!$C:$C,Detail!$A444,'Leave Management'!$B:$B,Detail!I$1)</f>
        <v>0</v>
      </c>
      <c r="J444" s="7">
        <f>SUMIFS('Leave Management'!$L:$L,'Leave Management'!$C:$C,Detail!$A444,'Leave Management'!$B:$B,Detail!J$1)</f>
        <v>0</v>
      </c>
      <c r="K444" s="7">
        <f>SUMIFS('Leave Management'!$L:$L,'Leave Management'!$C:$C,Detail!$A444,'Leave Management'!$B:$B,Detail!K$1)</f>
        <v>0</v>
      </c>
      <c r="L444" s="7">
        <f>SUMIFS('Leave Management'!$L:$L,'Leave Management'!$C:$C,Detail!$A444,'Leave Management'!$B:$B,Detail!L$1)</f>
        <v>0</v>
      </c>
      <c r="M444" s="7">
        <f>SUMIFS('Leave Management'!$L:$L,'Leave Management'!$C:$C,Detail!$A444,'Leave Management'!$B:$B,Detail!M$1)</f>
        <v>0</v>
      </c>
      <c r="N444" s="7">
        <f>SUMIFS('Leave Management'!$L:$L,'Leave Management'!$C:$C,Detail!$A444,'Leave Management'!$B:$B,Detail!N$1)</f>
        <v>0</v>
      </c>
      <c r="O444" s="7">
        <f t="shared" si="14"/>
        <v>11</v>
      </c>
    </row>
    <row r="445" spans="1:15" x14ac:dyDescent="0.25">
      <c r="A445" s="24">
        <v>43543</v>
      </c>
      <c r="B445" s="2" t="str">
        <f t="shared" si="16"/>
        <v>Tue</v>
      </c>
      <c r="C445" s="7">
        <f>SUMIFS('Leave Management'!$L:$L,'Leave Management'!$C:$C,Detail!$A445,'Leave Management'!$B:$B,Detail!C$1)</f>
        <v>0</v>
      </c>
      <c r="D445" s="7">
        <f>SUMIFS('Leave Management'!$L:$L,'Leave Management'!$C:$C,Detail!$A445,'Leave Management'!$B:$B,Detail!D$1)</f>
        <v>0</v>
      </c>
      <c r="E445" s="7">
        <f>SUMIFS('Leave Management'!$L:$L,'Leave Management'!$C:$C,Detail!$A445,'Leave Management'!$B:$B,Detail!E$1)</f>
        <v>0</v>
      </c>
      <c r="F445" s="7">
        <f>SUMIFS('Leave Management'!$L:$L,'Leave Management'!$C:$C,Detail!$A445,'Leave Management'!$B:$B,Detail!F$1)</f>
        <v>0</v>
      </c>
      <c r="G445" s="7">
        <f>SUMIFS('Leave Management'!$L:$L,'Leave Management'!$C:$C,Detail!$A445,'Leave Management'!$B:$B,Detail!G$1)</f>
        <v>0</v>
      </c>
      <c r="H445" s="7">
        <f>SUMIFS('Leave Management'!$L:$L,'Leave Management'!$C:$C,Detail!$A445,'Leave Management'!$B:$B,Detail!H$1)</f>
        <v>0</v>
      </c>
      <c r="I445" s="7">
        <f>SUMIFS('Leave Management'!$L:$L,'Leave Management'!$C:$C,Detail!$A445,'Leave Management'!$B:$B,Detail!I$1)</f>
        <v>0</v>
      </c>
      <c r="J445" s="7">
        <f>SUMIFS('Leave Management'!$L:$L,'Leave Management'!$C:$C,Detail!$A445,'Leave Management'!$B:$B,Detail!J$1)</f>
        <v>0</v>
      </c>
      <c r="K445" s="7">
        <f>SUMIFS('Leave Management'!$L:$L,'Leave Management'!$C:$C,Detail!$A445,'Leave Management'!$B:$B,Detail!K$1)</f>
        <v>0</v>
      </c>
      <c r="L445" s="7">
        <f>SUMIFS('Leave Management'!$L:$L,'Leave Management'!$C:$C,Detail!$A445,'Leave Management'!$B:$B,Detail!L$1)</f>
        <v>0</v>
      </c>
      <c r="M445" s="7">
        <f>SUMIFS('Leave Management'!$L:$L,'Leave Management'!$C:$C,Detail!$A445,'Leave Management'!$B:$B,Detail!M$1)</f>
        <v>0</v>
      </c>
      <c r="N445" s="7">
        <f>SUMIFS('Leave Management'!$L:$L,'Leave Management'!$C:$C,Detail!$A445,'Leave Management'!$B:$B,Detail!N$1)</f>
        <v>0</v>
      </c>
      <c r="O445" s="7">
        <f t="shared" si="14"/>
        <v>12</v>
      </c>
    </row>
    <row r="446" spans="1:15" x14ac:dyDescent="0.25">
      <c r="A446" s="24">
        <v>43544</v>
      </c>
      <c r="B446" s="2" t="str">
        <f t="shared" si="16"/>
        <v>Wed</v>
      </c>
      <c r="C446" s="7">
        <f>SUMIFS('Leave Management'!$L:$L,'Leave Management'!$C:$C,Detail!$A446,'Leave Management'!$B:$B,Detail!C$1)</f>
        <v>1</v>
      </c>
      <c r="D446" s="7">
        <f>SUMIFS('Leave Management'!$L:$L,'Leave Management'!$C:$C,Detail!$A446,'Leave Management'!$B:$B,Detail!D$1)</f>
        <v>0</v>
      </c>
      <c r="E446" s="7">
        <f>SUMIFS('Leave Management'!$L:$L,'Leave Management'!$C:$C,Detail!$A446,'Leave Management'!$B:$B,Detail!E$1)</f>
        <v>0</v>
      </c>
      <c r="F446" s="7">
        <f>SUMIFS('Leave Management'!$L:$L,'Leave Management'!$C:$C,Detail!$A446,'Leave Management'!$B:$B,Detail!F$1)</f>
        <v>0</v>
      </c>
      <c r="G446" s="7">
        <f>SUMIFS('Leave Management'!$L:$L,'Leave Management'!$C:$C,Detail!$A446,'Leave Management'!$B:$B,Detail!G$1)</f>
        <v>0</v>
      </c>
      <c r="H446" s="7">
        <f>SUMIFS('Leave Management'!$L:$L,'Leave Management'!$C:$C,Detail!$A446,'Leave Management'!$B:$B,Detail!H$1)</f>
        <v>0</v>
      </c>
      <c r="I446" s="7">
        <f>SUMIFS('Leave Management'!$L:$L,'Leave Management'!$C:$C,Detail!$A446,'Leave Management'!$B:$B,Detail!I$1)</f>
        <v>0</v>
      </c>
      <c r="J446" s="7">
        <f>SUMIFS('Leave Management'!$L:$L,'Leave Management'!$C:$C,Detail!$A446,'Leave Management'!$B:$B,Detail!J$1)</f>
        <v>0</v>
      </c>
      <c r="K446" s="7">
        <f>SUMIFS('Leave Management'!$L:$L,'Leave Management'!$C:$C,Detail!$A446,'Leave Management'!$B:$B,Detail!K$1)</f>
        <v>0</v>
      </c>
      <c r="L446" s="7">
        <f>SUMIFS('Leave Management'!$L:$L,'Leave Management'!$C:$C,Detail!$A446,'Leave Management'!$B:$B,Detail!L$1)</f>
        <v>0</v>
      </c>
      <c r="M446" s="7">
        <f>SUMIFS('Leave Management'!$L:$L,'Leave Management'!$C:$C,Detail!$A446,'Leave Management'!$B:$B,Detail!M$1)</f>
        <v>0</v>
      </c>
      <c r="N446" s="7">
        <f>SUMIFS('Leave Management'!$L:$L,'Leave Management'!$C:$C,Detail!$A446,'Leave Management'!$B:$B,Detail!N$1)</f>
        <v>0</v>
      </c>
      <c r="O446" s="7">
        <f t="shared" si="14"/>
        <v>11</v>
      </c>
    </row>
    <row r="447" spans="1:15" x14ac:dyDescent="0.25">
      <c r="A447" s="24">
        <v>43545</v>
      </c>
      <c r="B447" s="2" t="str">
        <f t="shared" si="16"/>
        <v>Thu</v>
      </c>
      <c r="C447" s="7">
        <f>SUMIFS('Leave Management'!$L:$L,'Leave Management'!$C:$C,Detail!$A447,'Leave Management'!$B:$B,Detail!C$1)</f>
        <v>0</v>
      </c>
      <c r="D447" s="7">
        <f>SUMIFS('Leave Management'!$L:$L,'Leave Management'!$C:$C,Detail!$A447,'Leave Management'!$B:$B,Detail!D$1)</f>
        <v>0</v>
      </c>
      <c r="E447" s="7">
        <f>SUMIFS('Leave Management'!$L:$L,'Leave Management'!$C:$C,Detail!$A447,'Leave Management'!$B:$B,Detail!E$1)</f>
        <v>1</v>
      </c>
      <c r="F447" s="7">
        <f>SUMIFS('Leave Management'!$L:$L,'Leave Management'!$C:$C,Detail!$A447,'Leave Management'!$B:$B,Detail!F$1)</f>
        <v>0</v>
      </c>
      <c r="G447" s="7">
        <f>SUMIFS('Leave Management'!$L:$L,'Leave Management'!$C:$C,Detail!$A447,'Leave Management'!$B:$B,Detail!G$1)</f>
        <v>0</v>
      </c>
      <c r="H447" s="7">
        <f>SUMIFS('Leave Management'!$L:$L,'Leave Management'!$C:$C,Detail!$A447,'Leave Management'!$B:$B,Detail!H$1)</f>
        <v>0</v>
      </c>
      <c r="I447" s="7">
        <f>SUMIFS('Leave Management'!$L:$L,'Leave Management'!$C:$C,Detail!$A447,'Leave Management'!$B:$B,Detail!I$1)</f>
        <v>0</v>
      </c>
      <c r="J447" s="7">
        <f>SUMIFS('Leave Management'!$L:$L,'Leave Management'!$C:$C,Detail!$A447,'Leave Management'!$B:$B,Detail!J$1)</f>
        <v>0</v>
      </c>
      <c r="K447" s="7">
        <f>SUMIFS('Leave Management'!$L:$L,'Leave Management'!$C:$C,Detail!$A447,'Leave Management'!$B:$B,Detail!K$1)</f>
        <v>0</v>
      </c>
      <c r="L447" s="7">
        <f>SUMIFS('Leave Management'!$L:$L,'Leave Management'!$C:$C,Detail!$A447,'Leave Management'!$B:$B,Detail!L$1)</f>
        <v>0</v>
      </c>
      <c r="M447" s="7">
        <f>SUMIFS('Leave Management'!$L:$L,'Leave Management'!$C:$C,Detail!$A447,'Leave Management'!$B:$B,Detail!M$1)</f>
        <v>0</v>
      </c>
      <c r="N447" s="7">
        <f>SUMIFS('Leave Management'!$L:$L,'Leave Management'!$C:$C,Detail!$A447,'Leave Management'!$B:$B,Detail!N$1)</f>
        <v>0</v>
      </c>
      <c r="O447" s="7">
        <f t="shared" si="14"/>
        <v>11</v>
      </c>
    </row>
    <row r="448" spans="1:15" x14ac:dyDescent="0.25">
      <c r="A448" s="24">
        <v>43546</v>
      </c>
      <c r="B448" s="2" t="str">
        <f t="shared" si="16"/>
        <v>Fri</v>
      </c>
      <c r="C448" s="7">
        <f>SUMIFS('Leave Management'!$L:$L,'Leave Management'!$C:$C,Detail!$A448,'Leave Management'!$B:$B,Detail!C$1)</f>
        <v>0</v>
      </c>
      <c r="D448" s="7">
        <f>SUMIFS('Leave Management'!$L:$L,'Leave Management'!$C:$C,Detail!$A448,'Leave Management'!$B:$B,Detail!D$1)</f>
        <v>0</v>
      </c>
      <c r="E448" s="7">
        <f>SUMIFS('Leave Management'!$L:$L,'Leave Management'!$C:$C,Detail!$A448,'Leave Management'!$B:$B,Detail!E$1)</f>
        <v>1</v>
      </c>
      <c r="F448" s="7">
        <f>SUMIFS('Leave Management'!$L:$L,'Leave Management'!$C:$C,Detail!$A448,'Leave Management'!$B:$B,Detail!F$1)</f>
        <v>0</v>
      </c>
      <c r="G448" s="7">
        <f>SUMIFS('Leave Management'!$L:$L,'Leave Management'!$C:$C,Detail!$A448,'Leave Management'!$B:$B,Detail!G$1)</f>
        <v>0</v>
      </c>
      <c r="H448" s="7">
        <f>SUMIFS('Leave Management'!$L:$L,'Leave Management'!$C:$C,Detail!$A448,'Leave Management'!$B:$B,Detail!H$1)</f>
        <v>0</v>
      </c>
      <c r="I448" s="7">
        <f>SUMIFS('Leave Management'!$L:$L,'Leave Management'!$C:$C,Detail!$A448,'Leave Management'!$B:$B,Detail!I$1)</f>
        <v>0</v>
      </c>
      <c r="J448" s="7">
        <f>SUMIFS('Leave Management'!$L:$L,'Leave Management'!$C:$C,Detail!$A448,'Leave Management'!$B:$B,Detail!J$1)</f>
        <v>0</v>
      </c>
      <c r="K448" s="7">
        <f>SUMIFS('Leave Management'!$L:$L,'Leave Management'!$C:$C,Detail!$A448,'Leave Management'!$B:$B,Detail!K$1)</f>
        <v>0</v>
      </c>
      <c r="L448" s="7">
        <f>SUMIFS('Leave Management'!$L:$L,'Leave Management'!$C:$C,Detail!$A448,'Leave Management'!$B:$B,Detail!L$1)</f>
        <v>0</v>
      </c>
      <c r="M448" s="7">
        <f>SUMIFS('Leave Management'!$L:$L,'Leave Management'!$C:$C,Detail!$A448,'Leave Management'!$B:$B,Detail!M$1)</f>
        <v>0</v>
      </c>
      <c r="N448" s="7">
        <f>SUMIFS('Leave Management'!$L:$L,'Leave Management'!$C:$C,Detail!$A448,'Leave Management'!$B:$B,Detail!N$1)</f>
        <v>0</v>
      </c>
      <c r="O448" s="7">
        <f t="shared" si="14"/>
        <v>11</v>
      </c>
    </row>
    <row r="449" spans="1:15" x14ac:dyDescent="0.25">
      <c r="A449" s="24">
        <v>43547</v>
      </c>
      <c r="B449" s="2" t="str">
        <f t="shared" si="16"/>
        <v>Sat</v>
      </c>
      <c r="C449" s="7">
        <f>SUMIFS('Leave Management'!$L:$L,'Leave Management'!$C:$C,Detail!$A449,'Leave Management'!$B:$B,Detail!C$1)</f>
        <v>0</v>
      </c>
      <c r="D449" s="7">
        <f>SUMIFS('Leave Management'!$L:$L,'Leave Management'!$C:$C,Detail!$A449,'Leave Management'!$B:$B,Detail!D$1)</f>
        <v>0</v>
      </c>
      <c r="E449" s="7">
        <f>SUMIFS('Leave Management'!$L:$L,'Leave Management'!$C:$C,Detail!$A449,'Leave Management'!$B:$B,Detail!E$1)</f>
        <v>0</v>
      </c>
      <c r="F449" s="7">
        <f>SUMIFS('Leave Management'!$L:$L,'Leave Management'!$C:$C,Detail!$A449,'Leave Management'!$B:$B,Detail!F$1)</f>
        <v>0</v>
      </c>
      <c r="G449" s="7">
        <f>SUMIFS('Leave Management'!$L:$L,'Leave Management'!$C:$C,Detail!$A449,'Leave Management'!$B:$B,Detail!G$1)</f>
        <v>0</v>
      </c>
      <c r="H449" s="7">
        <f>SUMIFS('Leave Management'!$L:$L,'Leave Management'!$C:$C,Detail!$A449,'Leave Management'!$B:$B,Detail!H$1)</f>
        <v>0</v>
      </c>
      <c r="I449" s="7">
        <f>SUMIFS('Leave Management'!$L:$L,'Leave Management'!$C:$C,Detail!$A449,'Leave Management'!$B:$B,Detail!I$1)</f>
        <v>0</v>
      </c>
      <c r="J449" s="7">
        <f>SUMIFS('Leave Management'!$L:$L,'Leave Management'!$C:$C,Detail!$A449,'Leave Management'!$B:$B,Detail!J$1)</f>
        <v>0</v>
      </c>
      <c r="K449" s="7">
        <f>SUMIFS('Leave Management'!$L:$L,'Leave Management'!$C:$C,Detail!$A449,'Leave Management'!$B:$B,Detail!K$1)</f>
        <v>0</v>
      </c>
      <c r="L449" s="7">
        <f>SUMIFS('Leave Management'!$L:$L,'Leave Management'!$C:$C,Detail!$A449,'Leave Management'!$B:$B,Detail!L$1)</f>
        <v>0</v>
      </c>
      <c r="M449" s="7">
        <f>SUMIFS('Leave Management'!$L:$L,'Leave Management'!$C:$C,Detail!$A449,'Leave Management'!$B:$B,Detail!M$1)</f>
        <v>0</v>
      </c>
      <c r="N449" s="7">
        <f>SUMIFS('Leave Management'!$L:$L,'Leave Management'!$C:$C,Detail!$A449,'Leave Management'!$B:$B,Detail!N$1)</f>
        <v>0</v>
      </c>
      <c r="O449" s="7">
        <f t="shared" si="14"/>
        <v>12</v>
      </c>
    </row>
    <row r="450" spans="1:15" x14ac:dyDescent="0.25">
      <c r="A450" s="24">
        <v>43548</v>
      </c>
      <c r="B450" s="2" t="str">
        <f t="shared" si="16"/>
        <v>Sun</v>
      </c>
      <c r="C450" s="7">
        <f>SUMIFS('Leave Management'!$L:$L,'Leave Management'!$C:$C,Detail!$A450,'Leave Management'!$B:$B,Detail!C$1)</f>
        <v>0</v>
      </c>
      <c r="D450" s="7">
        <f>SUMIFS('Leave Management'!$L:$L,'Leave Management'!$C:$C,Detail!$A450,'Leave Management'!$B:$B,Detail!D$1)</f>
        <v>0</v>
      </c>
      <c r="E450" s="7">
        <f>SUMIFS('Leave Management'!$L:$L,'Leave Management'!$C:$C,Detail!$A450,'Leave Management'!$B:$B,Detail!E$1)</f>
        <v>0</v>
      </c>
      <c r="F450" s="7">
        <f>SUMIFS('Leave Management'!$L:$L,'Leave Management'!$C:$C,Detail!$A450,'Leave Management'!$B:$B,Detail!F$1)</f>
        <v>0</v>
      </c>
      <c r="G450" s="7">
        <f>SUMIFS('Leave Management'!$L:$L,'Leave Management'!$C:$C,Detail!$A450,'Leave Management'!$B:$B,Detail!G$1)</f>
        <v>0</v>
      </c>
      <c r="H450" s="7">
        <f>SUMIFS('Leave Management'!$L:$L,'Leave Management'!$C:$C,Detail!$A450,'Leave Management'!$B:$B,Detail!H$1)</f>
        <v>0</v>
      </c>
      <c r="I450" s="7">
        <f>SUMIFS('Leave Management'!$L:$L,'Leave Management'!$C:$C,Detail!$A450,'Leave Management'!$B:$B,Detail!I$1)</f>
        <v>0</v>
      </c>
      <c r="J450" s="7">
        <f>SUMIFS('Leave Management'!$L:$L,'Leave Management'!$C:$C,Detail!$A450,'Leave Management'!$B:$B,Detail!J$1)</f>
        <v>0</v>
      </c>
      <c r="K450" s="7">
        <f>SUMIFS('Leave Management'!$L:$L,'Leave Management'!$C:$C,Detail!$A450,'Leave Management'!$B:$B,Detail!K$1)</f>
        <v>0</v>
      </c>
      <c r="L450" s="7">
        <f>SUMIFS('Leave Management'!$L:$L,'Leave Management'!$C:$C,Detail!$A450,'Leave Management'!$B:$B,Detail!L$1)</f>
        <v>0</v>
      </c>
      <c r="M450" s="7">
        <f>SUMIFS('Leave Management'!$L:$L,'Leave Management'!$C:$C,Detail!$A450,'Leave Management'!$B:$B,Detail!M$1)</f>
        <v>0</v>
      </c>
      <c r="N450" s="7">
        <f>SUMIFS('Leave Management'!$L:$L,'Leave Management'!$C:$C,Detail!$A450,'Leave Management'!$B:$B,Detail!N$1)</f>
        <v>0</v>
      </c>
      <c r="O450" s="7">
        <f t="shared" si="14"/>
        <v>12</v>
      </c>
    </row>
    <row r="451" spans="1:15" x14ac:dyDescent="0.25">
      <c r="A451" s="24">
        <v>43549</v>
      </c>
      <c r="B451" s="2" t="str">
        <f t="shared" si="16"/>
        <v>Mon</v>
      </c>
      <c r="C451" s="7">
        <f>SUMIFS('Leave Management'!$L:$L,'Leave Management'!$C:$C,Detail!$A451,'Leave Management'!$B:$B,Detail!C$1)</f>
        <v>1</v>
      </c>
      <c r="D451" s="7">
        <f>SUMIFS('Leave Management'!$L:$L,'Leave Management'!$C:$C,Detail!$A451,'Leave Management'!$B:$B,Detail!D$1)</f>
        <v>0</v>
      </c>
      <c r="E451" s="7">
        <f>SUMIFS('Leave Management'!$L:$L,'Leave Management'!$C:$C,Detail!$A451,'Leave Management'!$B:$B,Detail!E$1)</f>
        <v>0</v>
      </c>
      <c r="F451" s="7">
        <f>SUMIFS('Leave Management'!$L:$L,'Leave Management'!$C:$C,Detail!$A451,'Leave Management'!$B:$B,Detail!F$1)</f>
        <v>0</v>
      </c>
      <c r="G451" s="7">
        <f>SUMIFS('Leave Management'!$L:$L,'Leave Management'!$C:$C,Detail!$A451,'Leave Management'!$B:$B,Detail!G$1)</f>
        <v>1</v>
      </c>
      <c r="H451" s="7">
        <f>SUMIFS('Leave Management'!$L:$L,'Leave Management'!$C:$C,Detail!$A451,'Leave Management'!$B:$B,Detail!H$1)</f>
        <v>0</v>
      </c>
      <c r="I451" s="7">
        <f>SUMIFS('Leave Management'!$L:$L,'Leave Management'!$C:$C,Detail!$A451,'Leave Management'!$B:$B,Detail!I$1)</f>
        <v>0</v>
      </c>
      <c r="J451" s="7">
        <f>SUMIFS('Leave Management'!$L:$L,'Leave Management'!$C:$C,Detail!$A451,'Leave Management'!$B:$B,Detail!J$1)</f>
        <v>0</v>
      </c>
      <c r="K451" s="7">
        <f>SUMIFS('Leave Management'!$L:$L,'Leave Management'!$C:$C,Detail!$A451,'Leave Management'!$B:$B,Detail!K$1)</f>
        <v>0</v>
      </c>
      <c r="L451" s="7">
        <f>SUMIFS('Leave Management'!$L:$L,'Leave Management'!$C:$C,Detail!$A451,'Leave Management'!$B:$B,Detail!L$1)</f>
        <v>0</v>
      </c>
      <c r="M451" s="7">
        <f>SUMIFS('Leave Management'!$L:$L,'Leave Management'!$C:$C,Detail!$A451,'Leave Management'!$B:$B,Detail!M$1)</f>
        <v>0</v>
      </c>
      <c r="N451" s="7">
        <f>SUMIFS('Leave Management'!$L:$L,'Leave Management'!$C:$C,Detail!$A451,'Leave Management'!$B:$B,Detail!N$1)</f>
        <v>0</v>
      </c>
      <c r="O451" s="7">
        <f t="shared" si="14"/>
        <v>10</v>
      </c>
    </row>
    <row r="452" spans="1:15" x14ac:dyDescent="0.25">
      <c r="A452" s="24">
        <v>43550</v>
      </c>
      <c r="B452" s="2" t="str">
        <f t="shared" si="16"/>
        <v>Tue</v>
      </c>
      <c r="C452" s="7">
        <f>SUMIFS('Leave Management'!$L:$L,'Leave Management'!$C:$C,Detail!$A452,'Leave Management'!$B:$B,Detail!C$1)</f>
        <v>1</v>
      </c>
      <c r="D452" s="7">
        <f>SUMIFS('Leave Management'!$L:$L,'Leave Management'!$C:$C,Detail!$A452,'Leave Management'!$B:$B,Detail!D$1)</f>
        <v>0</v>
      </c>
      <c r="E452" s="7">
        <f>SUMIFS('Leave Management'!$L:$L,'Leave Management'!$C:$C,Detail!$A452,'Leave Management'!$B:$B,Detail!E$1)</f>
        <v>0</v>
      </c>
      <c r="F452" s="7">
        <f>SUMIFS('Leave Management'!$L:$L,'Leave Management'!$C:$C,Detail!$A452,'Leave Management'!$B:$B,Detail!F$1)</f>
        <v>0</v>
      </c>
      <c r="G452" s="7">
        <f>SUMIFS('Leave Management'!$L:$L,'Leave Management'!$C:$C,Detail!$A452,'Leave Management'!$B:$B,Detail!G$1)</f>
        <v>1</v>
      </c>
      <c r="H452" s="7">
        <f>SUMIFS('Leave Management'!$L:$L,'Leave Management'!$C:$C,Detail!$A452,'Leave Management'!$B:$B,Detail!H$1)</f>
        <v>0</v>
      </c>
      <c r="I452" s="7">
        <f>SUMIFS('Leave Management'!$L:$L,'Leave Management'!$C:$C,Detail!$A452,'Leave Management'!$B:$B,Detail!I$1)</f>
        <v>0</v>
      </c>
      <c r="J452" s="7">
        <f>SUMIFS('Leave Management'!$L:$L,'Leave Management'!$C:$C,Detail!$A452,'Leave Management'!$B:$B,Detail!J$1)</f>
        <v>0</v>
      </c>
      <c r="K452" s="7">
        <f>SUMIFS('Leave Management'!$L:$L,'Leave Management'!$C:$C,Detail!$A452,'Leave Management'!$B:$B,Detail!K$1)</f>
        <v>0</v>
      </c>
      <c r="L452" s="7">
        <f>SUMIFS('Leave Management'!$L:$L,'Leave Management'!$C:$C,Detail!$A452,'Leave Management'!$B:$B,Detail!L$1)</f>
        <v>0</v>
      </c>
      <c r="M452" s="7">
        <f>SUMIFS('Leave Management'!$L:$L,'Leave Management'!$C:$C,Detail!$A452,'Leave Management'!$B:$B,Detail!M$1)</f>
        <v>0</v>
      </c>
      <c r="N452" s="7">
        <f>SUMIFS('Leave Management'!$L:$L,'Leave Management'!$C:$C,Detail!$A452,'Leave Management'!$B:$B,Detail!N$1)</f>
        <v>0</v>
      </c>
      <c r="O452" s="7">
        <f t="shared" ref="O452:O457" si="17">COUNTA($C$1:$N$1)-SUM($C452:$N452)</f>
        <v>10</v>
      </c>
    </row>
    <row r="453" spans="1:15" x14ac:dyDescent="0.25">
      <c r="A453" s="24">
        <v>43551</v>
      </c>
      <c r="B453" s="2" t="str">
        <f t="shared" si="16"/>
        <v>Wed</v>
      </c>
      <c r="C453" s="7">
        <f>SUMIFS('Leave Management'!$L:$L,'Leave Management'!$C:$C,Detail!$A453,'Leave Management'!$B:$B,Detail!C$1)</f>
        <v>0</v>
      </c>
      <c r="D453" s="7">
        <f>SUMIFS('Leave Management'!$L:$L,'Leave Management'!$C:$C,Detail!$A453,'Leave Management'!$B:$B,Detail!D$1)</f>
        <v>0</v>
      </c>
      <c r="E453" s="7">
        <f>SUMIFS('Leave Management'!$L:$L,'Leave Management'!$C:$C,Detail!$A453,'Leave Management'!$B:$B,Detail!E$1)</f>
        <v>0</v>
      </c>
      <c r="F453" s="7">
        <f>SUMIFS('Leave Management'!$L:$L,'Leave Management'!$C:$C,Detail!$A453,'Leave Management'!$B:$B,Detail!F$1)</f>
        <v>0</v>
      </c>
      <c r="G453" s="7">
        <f>SUMIFS('Leave Management'!$L:$L,'Leave Management'!$C:$C,Detail!$A453,'Leave Management'!$B:$B,Detail!G$1)</f>
        <v>0</v>
      </c>
      <c r="H453" s="7">
        <f>SUMIFS('Leave Management'!$L:$L,'Leave Management'!$C:$C,Detail!$A453,'Leave Management'!$B:$B,Detail!H$1)</f>
        <v>0</v>
      </c>
      <c r="I453" s="7">
        <f>SUMIFS('Leave Management'!$L:$L,'Leave Management'!$C:$C,Detail!$A453,'Leave Management'!$B:$B,Detail!I$1)</f>
        <v>0</v>
      </c>
      <c r="J453" s="7">
        <f>SUMIFS('Leave Management'!$L:$L,'Leave Management'!$C:$C,Detail!$A453,'Leave Management'!$B:$B,Detail!J$1)</f>
        <v>0</v>
      </c>
      <c r="K453" s="7">
        <f>SUMIFS('Leave Management'!$L:$L,'Leave Management'!$C:$C,Detail!$A453,'Leave Management'!$B:$B,Detail!K$1)</f>
        <v>0</v>
      </c>
      <c r="L453" s="7">
        <f>SUMIFS('Leave Management'!$L:$L,'Leave Management'!$C:$C,Detail!$A453,'Leave Management'!$B:$B,Detail!L$1)</f>
        <v>0</v>
      </c>
      <c r="M453" s="7">
        <f>SUMIFS('Leave Management'!$L:$L,'Leave Management'!$C:$C,Detail!$A453,'Leave Management'!$B:$B,Detail!M$1)</f>
        <v>0</v>
      </c>
      <c r="N453" s="7">
        <f>SUMIFS('Leave Management'!$L:$L,'Leave Management'!$C:$C,Detail!$A453,'Leave Management'!$B:$B,Detail!N$1)</f>
        <v>0</v>
      </c>
      <c r="O453" s="7">
        <f t="shared" si="17"/>
        <v>12</v>
      </c>
    </row>
    <row r="454" spans="1:15" x14ac:dyDescent="0.25">
      <c r="A454" s="24">
        <v>43552</v>
      </c>
      <c r="B454" s="2" t="str">
        <f t="shared" si="16"/>
        <v>Thu</v>
      </c>
      <c r="C454" s="7">
        <f>SUMIFS('Leave Management'!$L:$L,'Leave Management'!$C:$C,Detail!$A454,'Leave Management'!$B:$B,Detail!C$1)</f>
        <v>0</v>
      </c>
      <c r="D454" s="7">
        <f>SUMIFS('Leave Management'!$L:$L,'Leave Management'!$C:$C,Detail!$A454,'Leave Management'!$B:$B,Detail!D$1)</f>
        <v>0</v>
      </c>
      <c r="E454" s="7">
        <f>SUMIFS('Leave Management'!$L:$L,'Leave Management'!$C:$C,Detail!$A454,'Leave Management'!$B:$B,Detail!E$1)</f>
        <v>0</v>
      </c>
      <c r="F454" s="7">
        <f>SUMIFS('Leave Management'!$L:$L,'Leave Management'!$C:$C,Detail!$A454,'Leave Management'!$B:$B,Detail!F$1)</f>
        <v>0</v>
      </c>
      <c r="G454" s="7">
        <f>SUMIFS('Leave Management'!$L:$L,'Leave Management'!$C:$C,Detail!$A454,'Leave Management'!$B:$B,Detail!G$1)</f>
        <v>0</v>
      </c>
      <c r="H454" s="7">
        <f>SUMIFS('Leave Management'!$L:$L,'Leave Management'!$C:$C,Detail!$A454,'Leave Management'!$B:$B,Detail!H$1)</f>
        <v>0</v>
      </c>
      <c r="I454" s="7">
        <f>SUMIFS('Leave Management'!$L:$L,'Leave Management'!$C:$C,Detail!$A454,'Leave Management'!$B:$B,Detail!I$1)</f>
        <v>0</v>
      </c>
      <c r="J454" s="7">
        <f>SUMIFS('Leave Management'!$L:$L,'Leave Management'!$C:$C,Detail!$A454,'Leave Management'!$B:$B,Detail!J$1)</f>
        <v>0</v>
      </c>
      <c r="K454" s="7">
        <f>SUMIFS('Leave Management'!$L:$L,'Leave Management'!$C:$C,Detail!$A454,'Leave Management'!$B:$B,Detail!K$1)</f>
        <v>0</v>
      </c>
      <c r="L454" s="7">
        <f>SUMIFS('Leave Management'!$L:$L,'Leave Management'!$C:$C,Detail!$A454,'Leave Management'!$B:$B,Detail!L$1)</f>
        <v>0</v>
      </c>
      <c r="M454" s="7">
        <f>SUMIFS('Leave Management'!$L:$L,'Leave Management'!$C:$C,Detail!$A454,'Leave Management'!$B:$B,Detail!M$1)</f>
        <v>0</v>
      </c>
      <c r="N454" s="7">
        <f>SUMIFS('Leave Management'!$L:$L,'Leave Management'!$C:$C,Detail!$A454,'Leave Management'!$B:$B,Detail!N$1)</f>
        <v>0</v>
      </c>
      <c r="O454" s="7">
        <f t="shared" si="17"/>
        <v>12</v>
      </c>
    </row>
    <row r="455" spans="1:15" x14ac:dyDescent="0.25">
      <c r="A455" s="24">
        <v>43553</v>
      </c>
      <c r="B455" s="2" t="str">
        <f t="shared" si="16"/>
        <v>Fri</v>
      </c>
      <c r="C455" s="7">
        <f>SUMIFS('Leave Management'!$L:$L,'Leave Management'!$C:$C,Detail!$A455,'Leave Management'!$B:$B,Detail!C$1)</f>
        <v>0</v>
      </c>
      <c r="D455" s="7">
        <f>SUMIFS('Leave Management'!$L:$L,'Leave Management'!$C:$C,Detail!$A455,'Leave Management'!$B:$B,Detail!D$1)</f>
        <v>0</v>
      </c>
      <c r="E455" s="7">
        <f>SUMIFS('Leave Management'!$L:$L,'Leave Management'!$C:$C,Detail!$A455,'Leave Management'!$B:$B,Detail!E$1)</f>
        <v>0</v>
      </c>
      <c r="F455" s="7">
        <f>SUMIFS('Leave Management'!$L:$L,'Leave Management'!$C:$C,Detail!$A455,'Leave Management'!$B:$B,Detail!F$1)</f>
        <v>0</v>
      </c>
      <c r="G455" s="7">
        <f>SUMIFS('Leave Management'!$L:$L,'Leave Management'!$C:$C,Detail!$A455,'Leave Management'!$B:$B,Detail!G$1)</f>
        <v>0</v>
      </c>
      <c r="H455" s="7">
        <f>SUMIFS('Leave Management'!$L:$L,'Leave Management'!$C:$C,Detail!$A455,'Leave Management'!$B:$B,Detail!H$1)</f>
        <v>0</v>
      </c>
      <c r="I455" s="7">
        <f>SUMIFS('Leave Management'!$L:$L,'Leave Management'!$C:$C,Detail!$A455,'Leave Management'!$B:$B,Detail!I$1)</f>
        <v>0</v>
      </c>
      <c r="J455" s="7">
        <f>SUMIFS('Leave Management'!$L:$L,'Leave Management'!$C:$C,Detail!$A455,'Leave Management'!$B:$B,Detail!J$1)</f>
        <v>0</v>
      </c>
      <c r="K455" s="7">
        <f>SUMIFS('Leave Management'!$L:$L,'Leave Management'!$C:$C,Detail!$A455,'Leave Management'!$B:$B,Detail!K$1)</f>
        <v>0</v>
      </c>
      <c r="L455" s="7">
        <f>SUMIFS('Leave Management'!$L:$L,'Leave Management'!$C:$C,Detail!$A455,'Leave Management'!$B:$B,Detail!L$1)</f>
        <v>0</v>
      </c>
      <c r="M455" s="7">
        <f>SUMIFS('Leave Management'!$L:$L,'Leave Management'!$C:$C,Detail!$A455,'Leave Management'!$B:$B,Detail!M$1)</f>
        <v>0</v>
      </c>
      <c r="N455" s="7">
        <f>SUMIFS('Leave Management'!$L:$L,'Leave Management'!$C:$C,Detail!$A455,'Leave Management'!$B:$B,Detail!N$1)</f>
        <v>0</v>
      </c>
      <c r="O455" s="7">
        <f t="shared" si="17"/>
        <v>12</v>
      </c>
    </row>
    <row r="456" spans="1:15" x14ac:dyDescent="0.25">
      <c r="A456" s="24">
        <v>43554</v>
      </c>
      <c r="B456" s="2" t="str">
        <f t="shared" si="16"/>
        <v>Sat</v>
      </c>
      <c r="C456" s="7">
        <f>SUMIFS('Leave Management'!$L:$L,'Leave Management'!$C:$C,Detail!$A456,'Leave Management'!$B:$B,Detail!C$1)</f>
        <v>0</v>
      </c>
      <c r="D456" s="7">
        <f>SUMIFS('Leave Management'!$L:$L,'Leave Management'!$C:$C,Detail!$A456,'Leave Management'!$B:$B,Detail!D$1)</f>
        <v>0</v>
      </c>
      <c r="E456" s="7">
        <f>SUMIFS('Leave Management'!$L:$L,'Leave Management'!$C:$C,Detail!$A456,'Leave Management'!$B:$B,Detail!E$1)</f>
        <v>0</v>
      </c>
      <c r="F456" s="7">
        <f>SUMIFS('Leave Management'!$L:$L,'Leave Management'!$C:$C,Detail!$A456,'Leave Management'!$B:$B,Detail!F$1)</f>
        <v>0</v>
      </c>
      <c r="G456" s="7">
        <f>SUMIFS('Leave Management'!$L:$L,'Leave Management'!$C:$C,Detail!$A456,'Leave Management'!$B:$B,Detail!G$1)</f>
        <v>0</v>
      </c>
      <c r="H456" s="7">
        <f>SUMIFS('Leave Management'!$L:$L,'Leave Management'!$C:$C,Detail!$A456,'Leave Management'!$B:$B,Detail!H$1)</f>
        <v>0</v>
      </c>
      <c r="I456" s="7">
        <f>SUMIFS('Leave Management'!$L:$L,'Leave Management'!$C:$C,Detail!$A456,'Leave Management'!$B:$B,Detail!I$1)</f>
        <v>0</v>
      </c>
      <c r="J456" s="7">
        <f>SUMIFS('Leave Management'!$L:$L,'Leave Management'!$C:$C,Detail!$A456,'Leave Management'!$B:$B,Detail!J$1)</f>
        <v>0</v>
      </c>
      <c r="K456" s="7">
        <f>SUMIFS('Leave Management'!$L:$L,'Leave Management'!$C:$C,Detail!$A456,'Leave Management'!$B:$B,Detail!K$1)</f>
        <v>0</v>
      </c>
      <c r="L456" s="7">
        <f>SUMIFS('Leave Management'!$L:$L,'Leave Management'!$C:$C,Detail!$A456,'Leave Management'!$B:$B,Detail!L$1)</f>
        <v>0</v>
      </c>
      <c r="M456" s="7">
        <f>SUMIFS('Leave Management'!$L:$L,'Leave Management'!$C:$C,Detail!$A456,'Leave Management'!$B:$B,Detail!M$1)</f>
        <v>0</v>
      </c>
      <c r="N456" s="7">
        <f>SUMIFS('Leave Management'!$L:$L,'Leave Management'!$C:$C,Detail!$A456,'Leave Management'!$B:$B,Detail!N$1)</f>
        <v>0</v>
      </c>
      <c r="O456" s="7">
        <f t="shared" si="17"/>
        <v>12</v>
      </c>
    </row>
    <row r="457" spans="1:15" x14ac:dyDescent="0.25">
      <c r="A457" s="24">
        <v>43555</v>
      </c>
      <c r="B457" s="2" t="str">
        <f t="shared" si="16"/>
        <v>Sun</v>
      </c>
      <c r="C457" s="7">
        <f>SUMIFS('Leave Management'!$L:$L,'Leave Management'!$C:$C,Detail!$A457,'Leave Management'!$B:$B,Detail!C$1)</f>
        <v>0</v>
      </c>
      <c r="D457" s="7">
        <f>SUMIFS('Leave Management'!$L:$L,'Leave Management'!$C:$C,Detail!$A457,'Leave Management'!$B:$B,Detail!D$1)</f>
        <v>0</v>
      </c>
      <c r="E457" s="7">
        <f>SUMIFS('Leave Management'!$L:$L,'Leave Management'!$C:$C,Detail!$A457,'Leave Management'!$B:$B,Detail!E$1)</f>
        <v>0</v>
      </c>
      <c r="F457" s="7">
        <f>SUMIFS('Leave Management'!$L:$L,'Leave Management'!$C:$C,Detail!$A457,'Leave Management'!$B:$B,Detail!F$1)</f>
        <v>0</v>
      </c>
      <c r="G457" s="7">
        <f>SUMIFS('Leave Management'!$L:$L,'Leave Management'!$C:$C,Detail!$A457,'Leave Management'!$B:$B,Detail!G$1)</f>
        <v>0</v>
      </c>
      <c r="H457" s="7">
        <f>SUMIFS('Leave Management'!$L:$L,'Leave Management'!$C:$C,Detail!$A457,'Leave Management'!$B:$B,Detail!H$1)</f>
        <v>0</v>
      </c>
      <c r="I457" s="7">
        <f>SUMIFS('Leave Management'!$L:$L,'Leave Management'!$C:$C,Detail!$A457,'Leave Management'!$B:$B,Detail!I$1)</f>
        <v>0</v>
      </c>
      <c r="J457" s="7">
        <f>SUMIFS('Leave Management'!$L:$L,'Leave Management'!$C:$C,Detail!$A457,'Leave Management'!$B:$B,Detail!J$1)</f>
        <v>0</v>
      </c>
      <c r="K457" s="7">
        <f>SUMIFS('Leave Management'!$L:$L,'Leave Management'!$C:$C,Detail!$A457,'Leave Management'!$B:$B,Detail!K$1)</f>
        <v>0</v>
      </c>
      <c r="L457" s="7">
        <f>SUMIFS('Leave Management'!$L:$L,'Leave Management'!$C:$C,Detail!$A457,'Leave Management'!$B:$B,Detail!L$1)</f>
        <v>0</v>
      </c>
      <c r="M457" s="7">
        <f>SUMIFS('Leave Management'!$L:$L,'Leave Management'!$C:$C,Detail!$A457,'Leave Management'!$B:$B,Detail!M$1)</f>
        <v>0</v>
      </c>
      <c r="N457" s="7">
        <f>SUMIFS('Leave Management'!$L:$L,'Leave Management'!$C:$C,Detail!$A457,'Leave Management'!$B:$B,Detail!N$1)</f>
        <v>0</v>
      </c>
      <c r="O457" s="7">
        <f t="shared" si="17"/>
        <v>12</v>
      </c>
    </row>
    <row r="458" spans="1:15" x14ac:dyDescent="0.25">
      <c r="A458" s="24">
        <v>43556</v>
      </c>
      <c r="B458" s="2" t="str">
        <f t="shared" si="16"/>
        <v>Mon</v>
      </c>
      <c r="C458" s="7">
        <f>SUMIFS('Leave Management'!$L:$L,'Leave Management'!$C:$C,Detail!$A458,'Leave Management'!$B:$B,Detail!C$1)</f>
        <v>0</v>
      </c>
      <c r="D458" s="7">
        <f>SUMIFS('Leave Management'!$L:$L,'Leave Management'!$C:$C,Detail!$A458,'Leave Management'!$B:$B,Detail!D$1)</f>
        <v>0</v>
      </c>
      <c r="E458" s="7">
        <f>SUMIFS('Leave Management'!$L:$L,'Leave Management'!$C:$C,Detail!$A458,'Leave Management'!$B:$B,Detail!E$1)</f>
        <v>0</v>
      </c>
      <c r="F458" s="7">
        <f>SUMIFS('Leave Management'!$L:$L,'Leave Management'!$C:$C,Detail!$A458,'Leave Management'!$B:$B,Detail!F$1)</f>
        <v>0</v>
      </c>
      <c r="G458" s="7">
        <f>SUMIFS('Leave Management'!$L:$L,'Leave Management'!$C:$C,Detail!$A458,'Leave Management'!$B:$B,Detail!G$1)</f>
        <v>0</v>
      </c>
      <c r="H458" s="7">
        <f>SUMIFS('Leave Management'!$L:$L,'Leave Management'!$C:$C,Detail!$A458,'Leave Management'!$B:$B,Detail!H$1)</f>
        <v>0</v>
      </c>
      <c r="I458" s="7">
        <f>SUMIFS('Leave Management'!$L:$L,'Leave Management'!$C:$C,Detail!$A458,'Leave Management'!$B:$B,Detail!I$1)</f>
        <v>0</v>
      </c>
      <c r="J458" s="7">
        <f>SUMIFS('Leave Management'!$L:$L,'Leave Management'!$C:$C,Detail!$A458,'Leave Management'!$B:$B,Detail!J$1)</f>
        <v>0</v>
      </c>
      <c r="K458" s="7">
        <f>SUMIFS('Leave Management'!$L:$L,'Leave Management'!$C:$C,Detail!$A458,'Leave Management'!$B:$B,Detail!K$1)</f>
        <v>0</v>
      </c>
      <c r="L458" s="7">
        <f>SUMIFS('Leave Management'!$L:$L,'Leave Management'!$C:$C,Detail!$A458,'Leave Management'!$B:$B,Detail!L$1)</f>
        <v>0</v>
      </c>
      <c r="M458" s="7">
        <f>SUMIFS('Leave Management'!$L:$L,'Leave Management'!$C:$C,Detail!$A458,'Leave Management'!$B:$B,Detail!M$1)</f>
        <v>0</v>
      </c>
      <c r="N458" s="7">
        <f>SUMIFS('Leave Management'!$L:$L,'Leave Management'!$C:$C,Detail!$A458,'Leave Management'!$B:$B,Detail!N$1)</f>
        <v>0</v>
      </c>
      <c r="O458" s="7">
        <f>COUNTA($D$1:$N$1)-SUM($C458:$N458)</f>
        <v>11</v>
      </c>
    </row>
    <row r="459" spans="1:15" x14ac:dyDescent="0.25">
      <c r="A459" s="24">
        <v>43557</v>
      </c>
      <c r="B459" s="2" t="str">
        <f t="shared" si="16"/>
        <v>Tue</v>
      </c>
      <c r="C459" s="7">
        <f>SUMIFS('Leave Management'!$L:$L,'Leave Management'!$C:$C,Detail!$A459,'Leave Management'!$B:$B,Detail!C$1)</f>
        <v>0</v>
      </c>
      <c r="D459" s="7">
        <f>SUMIFS('Leave Management'!$L:$L,'Leave Management'!$C:$C,Detail!$A459,'Leave Management'!$B:$B,Detail!D$1)</f>
        <v>0</v>
      </c>
      <c r="E459" s="7">
        <f>SUMIFS('Leave Management'!$L:$L,'Leave Management'!$C:$C,Detail!$A459,'Leave Management'!$B:$B,Detail!E$1)</f>
        <v>0</v>
      </c>
      <c r="F459" s="7">
        <f>SUMIFS('Leave Management'!$L:$L,'Leave Management'!$C:$C,Detail!$A459,'Leave Management'!$B:$B,Detail!F$1)</f>
        <v>0</v>
      </c>
      <c r="G459" s="7">
        <f>SUMIFS('Leave Management'!$L:$L,'Leave Management'!$C:$C,Detail!$A459,'Leave Management'!$B:$B,Detail!G$1)</f>
        <v>0</v>
      </c>
      <c r="H459" s="7">
        <f>SUMIFS('Leave Management'!$L:$L,'Leave Management'!$C:$C,Detail!$A459,'Leave Management'!$B:$B,Detail!H$1)</f>
        <v>0</v>
      </c>
      <c r="I459" s="7">
        <f>SUMIFS('Leave Management'!$L:$L,'Leave Management'!$C:$C,Detail!$A459,'Leave Management'!$B:$B,Detail!I$1)</f>
        <v>0</v>
      </c>
      <c r="J459" s="7">
        <f>SUMIFS('Leave Management'!$L:$L,'Leave Management'!$C:$C,Detail!$A459,'Leave Management'!$B:$B,Detail!J$1)</f>
        <v>0</v>
      </c>
      <c r="K459" s="7">
        <f>SUMIFS('Leave Management'!$L:$L,'Leave Management'!$C:$C,Detail!$A459,'Leave Management'!$B:$B,Detail!K$1)</f>
        <v>0</v>
      </c>
      <c r="L459" s="7">
        <f>SUMIFS('Leave Management'!$L:$L,'Leave Management'!$C:$C,Detail!$A459,'Leave Management'!$B:$B,Detail!L$1)</f>
        <v>0</v>
      </c>
      <c r="M459" s="7">
        <f>SUMIFS('Leave Management'!$L:$L,'Leave Management'!$C:$C,Detail!$A459,'Leave Management'!$B:$B,Detail!M$1)</f>
        <v>0</v>
      </c>
      <c r="N459" s="7">
        <f>SUMIFS('Leave Management'!$L:$L,'Leave Management'!$C:$C,Detail!$A459,'Leave Management'!$B:$B,Detail!N$1)</f>
        <v>0</v>
      </c>
      <c r="O459" s="7">
        <f t="shared" ref="O459:O522" si="18">COUNTA($D$1:$N$1)-SUM($C459:$N459)</f>
        <v>11</v>
      </c>
    </row>
    <row r="460" spans="1:15" x14ac:dyDescent="0.25">
      <c r="A460" s="24">
        <v>43558</v>
      </c>
      <c r="B460" s="2" t="str">
        <f t="shared" si="16"/>
        <v>Wed</v>
      </c>
      <c r="C460" s="7">
        <f>SUMIFS('Leave Management'!$L:$L,'Leave Management'!$C:$C,Detail!$A460,'Leave Management'!$B:$B,Detail!C$1)</f>
        <v>0</v>
      </c>
      <c r="D460" s="7">
        <f>SUMIFS('Leave Management'!$L:$L,'Leave Management'!$C:$C,Detail!$A460,'Leave Management'!$B:$B,Detail!D$1)</f>
        <v>1</v>
      </c>
      <c r="E460" s="7">
        <f>SUMIFS('Leave Management'!$L:$L,'Leave Management'!$C:$C,Detail!$A460,'Leave Management'!$B:$B,Detail!E$1)</f>
        <v>0</v>
      </c>
      <c r="F460" s="7">
        <f>SUMIFS('Leave Management'!$L:$L,'Leave Management'!$C:$C,Detail!$A460,'Leave Management'!$B:$B,Detail!F$1)</f>
        <v>0</v>
      </c>
      <c r="G460" s="7">
        <f>SUMIFS('Leave Management'!$L:$L,'Leave Management'!$C:$C,Detail!$A460,'Leave Management'!$B:$B,Detail!G$1)</f>
        <v>0</v>
      </c>
      <c r="H460" s="7">
        <f>SUMIFS('Leave Management'!$L:$L,'Leave Management'!$C:$C,Detail!$A460,'Leave Management'!$B:$B,Detail!H$1)</f>
        <v>0</v>
      </c>
      <c r="I460" s="7">
        <f>SUMIFS('Leave Management'!$L:$L,'Leave Management'!$C:$C,Detail!$A460,'Leave Management'!$B:$B,Detail!I$1)</f>
        <v>0</v>
      </c>
      <c r="J460" s="7">
        <f>SUMIFS('Leave Management'!$L:$L,'Leave Management'!$C:$C,Detail!$A460,'Leave Management'!$B:$B,Detail!J$1)</f>
        <v>0</v>
      </c>
      <c r="K460" s="7">
        <f>SUMIFS('Leave Management'!$L:$L,'Leave Management'!$C:$C,Detail!$A460,'Leave Management'!$B:$B,Detail!K$1)</f>
        <v>0</v>
      </c>
      <c r="L460" s="7">
        <f>SUMIFS('Leave Management'!$L:$L,'Leave Management'!$C:$C,Detail!$A460,'Leave Management'!$B:$B,Detail!L$1)</f>
        <v>0</v>
      </c>
      <c r="M460" s="7">
        <f>SUMIFS('Leave Management'!$L:$L,'Leave Management'!$C:$C,Detail!$A460,'Leave Management'!$B:$B,Detail!M$1)</f>
        <v>0</v>
      </c>
      <c r="N460" s="7">
        <f>SUMIFS('Leave Management'!$L:$L,'Leave Management'!$C:$C,Detail!$A460,'Leave Management'!$B:$B,Detail!N$1)</f>
        <v>0</v>
      </c>
      <c r="O460" s="7">
        <f t="shared" si="18"/>
        <v>10</v>
      </c>
    </row>
    <row r="461" spans="1:15" x14ac:dyDescent="0.25">
      <c r="A461" s="24">
        <v>43559</v>
      </c>
      <c r="B461" s="2" t="str">
        <f t="shared" si="16"/>
        <v>Thu</v>
      </c>
      <c r="C461" s="7">
        <f>SUMIFS('Leave Management'!$L:$L,'Leave Management'!$C:$C,Detail!$A461,'Leave Management'!$B:$B,Detail!C$1)</f>
        <v>0</v>
      </c>
      <c r="D461" s="7">
        <f>SUMIFS('Leave Management'!$L:$L,'Leave Management'!$C:$C,Detail!$A461,'Leave Management'!$B:$B,Detail!D$1)</f>
        <v>1</v>
      </c>
      <c r="E461" s="7">
        <f>SUMIFS('Leave Management'!$L:$L,'Leave Management'!$C:$C,Detail!$A461,'Leave Management'!$B:$B,Detail!E$1)</f>
        <v>0</v>
      </c>
      <c r="F461" s="7">
        <f>SUMIFS('Leave Management'!$L:$L,'Leave Management'!$C:$C,Detail!$A461,'Leave Management'!$B:$B,Detail!F$1)</f>
        <v>0</v>
      </c>
      <c r="G461" s="7">
        <f>SUMIFS('Leave Management'!$L:$L,'Leave Management'!$C:$C,Detail!$A461,'Leave Management'!$B:$B,Detail!G$1)</f>
        <v>0</v>
      </c>
      <c r="H461" s="7">
        <f>SUMIFS('Leave Management'!$L:$L,'Leave Management'!$C:$C,Detail!$A461,'Leave Management'!$B:$B,Detail!H$1)</f>
        <v>0</v>
      </c>
      <c r="I461" s="7">
        <f>SUMIFS('Leave Management'!$L:$L,'Leave Management'!$C:$C,Detail!$A461,'Leave Management'!$B:$B,Detail!I$1)</f>
        <v>1</v>
      </c>
      <c r="J461" s="7">
        <f>SUMIFS('Leave Management'!$L:$L,'Leave Management'!$C:$C,Detail!$A461,'Leave Management'!$B:$B,Detail!J$1)</f>
        <v>0</v>
      </c>
      <c r="K461" s="7">
        <f>SUMIFS('Leave Management'!$L:$L,'Leave Management'!$C:$C,Detail!$A461,'Leave Management'!$B:$B,Detail!K$1)</f>
        <v>1</v>
      </c>
      <c r="L461" s="7">
        <f>SUMIFS('Leave Management'!$L:$L,'Leave Management'!$C:$C,Detail!$A461,'Leave Management'!$B:$B,Detail!L$1)</f>
        <v>0</v>
      </c>
      <c r="M461" s="7">
        <f>SUMIFS('Leave Management'!$L:$L,'Leave Management'!$C:$C,Detail!$A461,'Leave Management'!$B:$B,Detail!M$1)</f>
        <v>0</v>
      </c>
      <c r="N461" s="7">
        <f>SUMIFS('Leave Management'!$L:$L,'Leave Management'!$C:$C,Detail!$A461,'Leave Management'!$B:$B,Detail!N$1)</f>
        <v>0</v>
      </c>
      <c r="O461" s="7">
        <f t="shared" si="18"/>
        <v>8</v>
      </c>
    </row>
    <row r="462" spans="1:15" x14ac:dyDescent="0.25">
      <c r="A462" s="24">
        <v>43560</v>
      </c>
      <c r="B462" s="2" t="str">
        <f t="shared" si="16"/>
        <v>Fri</v>
      </c>
      <c r="C462" s="7">
        <f>SUMIFS('Leave Management'!$L:$L,'Leave Management'!$C:$C,Detail!$A462,'Leave Management'!$B:$B,Detail!C$1)</f>
        <v>0</v>
      </c>
      <c r="D462" s="7">
        <f>SUMIFS('Leave Management'!$L:$L,'Leave Management'!$C:$C,Detail!$A462,'Leave Management'!$B:$B,Detail!D$1)</f>
        <v>1</v>
      </c>
      <c r="E462" s="7">
        <f>SUMIFS('Leave Management'!$L:$L,'Leave Management'!$C:$C,Detail!$A462,'Leave Management'!$B:$B,Detail!E$1)</f>
        <v>0</v>
      </c>
      <c r="F462" s="7">
        <f>SUMIFS('Leave Management'!$L:$L,'Leave Management'!$C:$C,Detail!$A462,'Leave Management'!$B:$B,Detail!F$1)</f>
        <v>0</v>
      </c>
      <c r="G462" s="7">
        <f>SUMIFS('Leave Management'!$L:$L,'Leave Management'!$C:$C,Detail!$A462,'Leave Management'!$B:$B,Detail!G$1)</f>
        <v>0</v>
      </c>
      <c r="H462" s="7">
        <f>SUMIFS('Leave Management'!$L:$L,'Leave Management'!$C:$C,Detail!$A462,'Leave Management'!$B:$B,Detail!H$1)</f>
        <v>1</v>
      </c>
      <c r="I462" s="7">
        <f>SUMIFS('Leave Management'!$L:$L,'Leave Management'!$C:$C,Detail!$A462,'Leave Management'!$B:$B,Detail!I$1)</f>
        <v>1</v>
      </c>
      <c r="J462" s="7">
        <f>SUMIFS('Leave Management'!$L:$L,'Leave Management'!$C:$C,Detail!$A462,'Leave Management'!$B:$B,Detail!J$1)</f>
        <v>0</v>
      </c>
      <c r="K462" s="7">
        <f>SUMIFS('Leave Management'!$L:$L,'Leave Management'!$C:$C,Detail!$A462,'Leave Management'!$B:$B,Detail!K$1)</f>
        <v>1</v>
      </c>
      <c r="L462" s="7">
        <f>SUMIFS('Leave Management'!$L:$L,'Leave Management'!$C:$C,Detail!$A462,'Leave Management'!$B:$B,Detail!L$1)</f>
        <v>0</v>
      </c>
      <c r="M462" s="7">
        <f>SUMIFS('Leave Management'!$L:$L,'Leave Management'!$C:$C,Detail!$A462,'Leave Management'!$B:$B,Detail!M$1)</f>
        <v>0</v>
      </c>
      <c r="N462" s="7">
        <f>SUMIFS('Leave Management'!$L:$L,'Leave Management'!$C:$C,Detail!$A462,'Leave Management'!$B:$B,Detail!N$1)</f>
        <v>0</v>
      </c>
      <c r="O462" s="7">
        <f t="shared" si="18"/>
        <v>7</v>
      </c>
    </row>
    <row r="463" spans="1:15" x14ac:dyDescent="0.25">
      <c r="A463" s="24">
        <v>43561</v>
      </c>
      <c r="B463" s="2" t="str">
        <f t="shared" si="16"/>
        <v>Sat</v>
      </c>
      <c r="C463" s="7">
        <f>SUMIFS('Leave Management'!$L:$L,'Leave Management'!$C:$C,Detail!$A463,'Leave Management'!$B:$B,Detail!C$1)</f>
        <v>0</v>
      </c>
      <c r="D463" s="7">
        <f>SUMIFS('Leave Management'!$L:$L,'Leave Management'!$C:$C,Detail!$A463,'Leave Management'!$B:$B,Detail!D$1)</f>
        <v>0</v>
      </c>
      <c r="E463" s="7">
        <f>SUMIFS('Leave Management'!$L:$L,'Leave Management'!$C:$C,Detail!$A463,'Leave Management'!$B:$B,Detail!E$1)</f>
        <v>0</v>
      </c>
      <c r="F463" s="7">
        <f>SUMIFS('Leave Management'!$L:$L,'Leave Management'!$C:$C,Detail!$A463,'Leave Management'!$B:$B,Detail!F$1)</f>
        <v>0</v>
      </c>
      <c r="G463" s="7">
        <f>SUMIFS('Leave Management'!$L:$L,'Leave Management'!$C:$C,Detail!$A463,'Leave Management'!$B:$B,Detail!G$1)</f>
        <v>0</v>
      </c>
      <c r="H463" s="7">
        <f>SUMIFS('Leave Management'!$L:$L,'Leave Management'!$C:$C,Detail!$A463,'Leave Management'!$B:$B,Detail!H$1)</f>
        <v>0</v>
      </c>
      <c r="I463" s="7">
        <f>SUMIFS('Leave Management'!$L:$L,'Leave Management'!$C:$C,Detail!$A463,'Leave Management'!$B:$B,Detail!I$1)</f>
        <v>0</v>
      </c>
      <c r="J463" s="7">
        <f>SUMIFS('Leave Management'!$L:$L,'Leave Management'!$C:$C,Detail!$A463,'Leave Management'!$B:$B,Detail!J$1)</f>
        <v>0</v>
      </c>
      <c r="K463" s="7">
        <f>SUMIFS('Leave Management'!$L:$L,'Leave Management'!$C:$C,Detail!$A463,'Leave Management'!$B:$B,Detail!K$1)</f>
        <v>0</v>
      </c>
      <c r="L463" s="7">
        <f>SUMIFS('Leave Management'!$L:$L,'Leave Management'!$C:$C,Detail!$A463,'Leave Management'!$B:$B,Detail!L$1)</f>
        <v>0</v>
      </c>
      <c r="M463" s="7">
        <f>SUMIFS('Leave Management'!$L:$L,'Leave Management'!$C:$C,Detail!$A463,'Leave Management'!$B:$B,Detail!M$1)</f>
        <v>0</v>
      </c>
      <c r="N463" s="7">
        <f>SUMIFS('Leave Management'!$L:$L,'Leave Management'!$C:$C,Detail!$A463,'Leave Management'!$B:$B,Detail!N$1)</f>
        <v>0</v>
      </c>
      <c r="O463" s="7">
        <f t="shared" si="18"/>
        <v>11</v>
      </c>
    </row>
    <row r="464" spans="1:15" x14ac:dyDescent="0.25">
      <c r="A464" s="24">
        <v>43562</v>
      </c>
      <c r="B464" s="2" t="str">
        <f t="shared" si="16"/>
        <v>Sun</v>
      </c>
      <c r="C464" s="7">
        <f>SUMIFS('Leave Management'!$L:$L,'Leave Management'!$C:$C,Detail!$A464,'Leave Management'!$B:$B,Detail!C$1)</f>
        <v>0</v>
      </c>
      <c r="D464" s="7">
        <f>SUMIFS('Leave Management'!$L:$L,'Leave Management'!$C:$C,Detail!$A464,'Leave Management'!$B:$B,Detail!D$1)</f>
        <v>0</v>
      </c>
      <c r="E464" s="7">
        <f>SUMIFS('Leave Management'!$L:$L,'Leave Management'!$C:$C,Detail!$A464,'Leave Management'!$B:$B,Detail!E$1)</f>
        <v>0</v>
      </c>
      <c r="F464" s="7">
        <f>SUMIFS('Leave Management'!$L:$L,'Leave Management'!$C:$C,Detail!$A464,'Leave Management'!$B:$B,Detail!F$1)</f>
        <v>0</v>
      </c>
      <c r="G464" s="7">
        <f>SUMIFS('Leave Management'!$L:$L,'Leave Management'!$C:$C,Detail!$A464,'Leave Management'!$B:$B,Detail!G$1)</f>
        <v>0</v>
      </c>
      <c r="H464" s="7">
        <f>SUMIFS('Leave Management'!$L:$L,'Leave Management'!$C:$C,Detail!$A464,'Leave Management'!$B:$B,Detail!H$1)</f>
        <v>0</v>
      </c>
      <c r="I464" s="7">
        <f>SUMIFS('Leave Management'!$L:$L,'Leave Management'!$C:$C,Detail!$A464,'Leave Management'!$B:$B,Detail!I$1)</f>
        <v>0</v>
      </c>
      <c r="J464" s="7">
        <f>SUMIFS('Leave Management'!$L:$L,'Leave Management'!$C:$C,Detail!$A464,'Leave Management'!$B:$B,Detail!J$1)</f>
        <v>0</v>
      </c>
      <c r="K464" s="7">
        <f>SUMIFS('Leave Management'!$L:$L,'Leave Management'!$C:$C,Detail!$A464,'Leave Management'!$B:$B,Detail!K$1)</f>
        <v>0</v>
      </c>
      <c r="L464" s="7">
        <f>SUMIFS('Leave Management'!$L:$L,'Leave Management'!$C:$C,Detail!$A464,'Leave Management'!$B:$B,Detail!L$1)</f>
        <v>0</v>
      </c>
      <c r="M464" s="7">
        <f>SUMIFS('Leave Management'!$L:$L,'Leave Management'!$C:$C,Detail!$A464,'Leave Management'!$B:$B,Detail!M$1)</f>
        <v>0</v>
      </c>
      <c r="N464" s="7">
        <f>SUMIFS('Leave Management'!$L:$L,'Leave Management'!$C:$C,Detail!$A464,'Leave Management'!$B:$B,Detail!N$1)</f>
        <v>0</v>
      </c>
      <c r="O464" s="7">
        <f t="shared" si="18"/>
        <v>11</v>
      </c>
    </row>
    <row r="465" spans="1:15" x14ac:dyDescent="0.25">
      <c r="A465" s="24">
        <v>43563</v>
      </c>
      <c r="B465" s="2" t="str">
        <f t="shared" si="16"/>
        <v>Mon</v>
      </c>
      <c r="C465" s="7">
        <f>SUMIFS('Leave Management'!$L:$L,'Leave Management'!$C:$C,Detail!$A465,'Leave Management'!$B:$B,Detail!C$1)</f>
        <v>0</v>
      </c>
      <c r="D465" s="7">
        <f>SUMIFS('Leave Management'!$L:$L,'Leave Management'!$C:$C,Detail!$A465,'Leave Management'!$B:$B,Detail!D$1)</f>
        <v>0</v>
      </c>
      <c r="E465" s="7">
        <f>SUMIFS('Leave Management'!$L:$L,'Leave Management'!$C:$C,Detail!$A465,'Leave Management'!$B:$B,Detail!E$1)</f>
        <v>0</v>
      </c>
      <c r="F465" s="7">
        <f>SUMIFS('Leave Management'!$L:$L,'Leave Management'!$C:$C,Detail!$A465,'Leave Management'!$B:$B,Detail!F$1)</f>
        <v>0</v>
      </c>
      <c r="G465" s="7">
        <f>SUMIFS('Leave Management'!$L:$L,'Leave Management'!$C:$C,Detail!$A465,'Leave Management'!$B:$B,Detail!G$1)</f>
        <v>0</v>
      </c>
      <c r="H465" s="7">
        <f>SUMIFS('Leave Management'!$L:$L,'Leave Management'!$C:$C,Detail!$A465,'Leave Management'!$B:$B,Detail!H$1)</f>
        <v>0</v>
      </c>
      <c r="I465" s="7">
        <f>SUMIFS('Leave Management'!$L:$L,'Leave Management'!$C:$C,Detail!$A465,'Leave Management'!$B:$B,Detail!I$1)</f>
        <v>0</v>
      </c>
      <c r="J465" s="7">
        <f>SUMIFS('Leave Management'!$L:$L,'Leave Management'!$C:$C,Detail!$A465,'Leave Management'!$B:$B,Detail!J$1)</f>
        <v>0</v>
      </c>
      <c r="K465" s="7">
        <f>SUMIFS('Leave Management'!$L:$L,'Leave Management'!$C:$C,Detail!$A465,'Leave Management'!$B:$B,Detail!K$1)</f>
        <v>0</v>
      </c>
      <c r="L465" s="7">
        <f>SUMIFS('Leave Management'!$L:$L,'Leave Management'!$C:$C,Detail!$A465,'Leave Management'!$B:$B,Detail!L$1)</f>
        <v>0</v>
      </c>
      <c r="M465" s="7">
        <f>SUMIFS('Leave Management'!$L:$L,'Leave Management'!$C:$C,Detail!$A465,'Leave Management'!$B:$B,Detail!M$1)</f>
        <v>0</v>
      </c>
      <c r="N465" s="7">
        <f>SUMIFS('Leave Management'!$L:$L,'Leave Management'!$C:$C,Detail!$A465,'Leave Management'!$B:$B,Detail!N$1)</f>
        <v>0</v>
      </c>
      <c r="O465" s="7">
        <f t="shared" si="18"/>
        <v>11</v>
      </c>
    </row>
    <row r="466" spans="1:15" x14ac:dyDescent="0.25">
      <c r="A466" s="24">
        <v>43564</v>
      </c>
      <c r="B466" s="2" t="str">
        <f t="shared" si="16"/>
        <v>Tue</v>
      </c>
      <c r="C466" s="7">
        <f>SUMIFS('Leave Management'!$L:$L,'Leave Management'!$C:$C,Detail!$A466,'Leave Management'!$B:$B,Detail!C$1)</f>
        <v>0</v>
      </c>
      <c r="D466" s="7">
        <f>SUMIFS('Leave Management'!$L:$L,'Leave Management'!$C:$C,Detail!$A466,'Leave Management'!$B:$B,Detail!D$1)</f>
        <v>0</v>
      </c>
      <c r="E466" s="7">
        <f>SUMIFS('Leave Management'!$L:$L,'Leave Management'!$C:$C,Detail!$A466,'Leave Management'!$B:$B,Detail!E$1)</f>
        <v>1</v>
      </c>
      <c r="F466" s="7">
        <f>SUMIFS('Leave Management'!$L:$L,'Leave Management'!$C:$C,Detail!$A466,'Leave Management'!$B:$B,Detail!F$1)</f>
        <v>0</v>
      </c>
      <c r="G466" s="7">
        <f>SUMIFS('Leave Management'!$L:$L,'Leave Management'!$C:$C,Detail!$A466,'Leave Management'!$B:$B,Detail!G$1)</f>
        <v>0</v>
      </c>
      <c r="H466" s="7">
        <f>SUMIFS('Leave Management'!$L:$L,'Leave Management'!$C:$C,Detail!$A466,'Leave Management'!$B:$B,Detail!H$1)</f>
        <v>0</v>
      </c>
      <c r="I466" s="7">
        <f>SUMIFS('Leave Management'!$L:$L,'Leave Management'!$C:$C,Detail!$A466,'Leave Management'!$B:$B,Detail!I$1)</f>
        <v>0</v>
      </c>
      <c r="J466" s="7">
        <f>SUMIFS('Leave Management'!$L:$L,'Leave Management'!$C:$C,Detail!$A466,'Leave Management'!$B:$B,Detail!J$1)</f>
        <v>0</v>
      </c>
      <c r="K466" s="7">
        <f>SUMIFS('Leave Management'!$L:$L,'Leave Management'!$C:$C,Detail!$A466,'Leave Management'!$B:$B,Detail!K$1)</f>
        <v>0</v>
      </c>
      <c r="L466" s="7">
        <f>SUMIFS('Leave Management'!$L:$L,'Leave Management'!$C:$C,Detail!$A466,'Leave Management'!$B:$B,Detail!L$1)</f>
        <v>0</v>
      </c>
      <c r="M466" s="7">
        <f>SUMIFS('Leave Management'!$L:$L,'Leave Management'!$C:$C,Detail!$A466,'Leave Management'!$B:$B,Detail!M$1)</f>
        <v>0</v>
      </c>
      <c r="N466" s="7">
        <f>SUMIFS('Leave Management'!$L:$L,'Leave Management'!$C:$C,Detail!$A466,'Leave Management'!$B:$B,Detail!N$1)</f>
        <v>0</v>
      </c>
      <c r="O466" s="7">
        <f t="shared" si="18"/>
        <v>10</v>
      </c>
    </row>
    <row r="467" spans="1:15" x14ac:dyDescent="0.25">
      <c r="A467" s="24">
        <v>43565</v>
      </c>
      <c r="B467" s="2" t="str">
        <f t="shared" si="16"/>
        <v>Wed</v>
      </c>
      <c r="C467" s="7">
        <f>SUMIFS('Leave Management'!$L:$L,'Leave Management'!$C:$C,Detail!$A467,'Leave Management'!$B:$B,Detail!C$1)</f>
        <v>0</v>
      </c>
      <c r="D467" s="7">
        <f>SUMIFS('Leave Management'!$L:$L,'Leave Management'!$C:$C,Detail!$A467,'Leave Management'!$B:$B,Detail!D$1)</f>
        <v>0</v>
      </c>
      <c r="E467" s="7">
        <f>SUMIFS('Leave Management'!$L:$L,'Leave Management'!$C:$C,Detail!$A467,'Leave Management'!$B:$B,Detail!E$1)</f>
        <v>0</v>
      </c>
      <c r="F467" s="7">
        <f>SUMIFS('Leave Management'!$L:$L,'Leave Management'!$C:$C,Detail!$A467,'Leave Management'!$B:$B,Detail!F$1)</f>
        <v>1</v>
      </c>
      <c r="G467" s="7">
        <f>SUMIFS('Leave Management'!$L:$L,'Leave Management'!$C:$C,Detail!$A467,'Leave Management'!$B:$B,Detail!G$1)</f>
        <v>0</v>
      </c>
      <c r="H467" s="7">
        <f>SUMIFS('Leave Management'!$L:$L,'Leave Management'!$C:$C,Detail!$A467,'Leave Management'!$B:$B,Detail!H$1)</f>
        <v>0</v>
      </c>
      <c r="I467" s="7">
        <f>SUMIFS('Leave Management'!$L:$L,'Leave Management'!$C:$C,Detail!$A467,'Leave Management'!$B:$B,Detail!I$1)</f>
        <v>0</v>
      </c>
      <c r="J467" s="7">
        <f>SUMIFS('Leave Management'!$L:$L,'Leave Management'!$C:$C,Detail!$A467,'Leave Management'!$B:$B,Detail!J$1)</f>
        <v>0</v>
      </c>
      <c r="K467" s="7">
        <f>SUMIFS('Leave Management'!$L:$L,'Leave Management'!$C:$C,Detail!$A467,'Leave Management'!$B:$B,Detail!K$1)</f>
        <v>0</v>
      </c>
      <c r="L467" s="7">
        <f>SUMIFS('Leave Management'!$L:$L,'Leave Management'!$C:$C,Detail!$A467,'Leave Management'!$B:$B,Detail!L$1)</f>
        <v>0</v>
      </c>
      <c r="M467" s="7">
        <f>SUMIFS('Leave Management'!$L:$L,'Leave Management'!$C:$C,Detail!$A467,'Leave Management'!$B:$B,Detail!M$1)</f>
        <v>0</v>
      </c>
      <c r="N467" s="7">
        <f>SUMIFS('Leave Management'!$L:$L,'Leave Management'!$C:$C,Detail!$A467,'Leave Management'!$B:$B,Detail!N$1)</f>
        <v>0</v>
      </c>
      <c r="O467" s="7">
        <f t="shared" si="18"/>
        <v>10</v>
      </c>
    </row>
    <row r="468" spans="1:15" x14ac:dyDescent="0.25">
      <c r="A468" s="24">
        <v>43566</v>
      </c>
      <c r="B468" s="2" t="str">
        <f t="shared" si="16"/>
        <v>Thu</v>
      </c>
      <c r="C468" s="7">
        <f>SUMIFS('Leave Management'!$L:$L,'Leave Management'!$C:$C,Detail!$A468,'Leave Management'!$B:$B,Detail!C$1)</f>
        <v>0</v>
      </c>
      <c r="D468" s="7">
        <f>SUMIFS('Leave Management'!$L:$L,'Leave Management'!$C:$C,Detail!$A468,'Leave Management'!$B:$B,Detail!D$1)</f>
        <v>0</v>
      </c>
      <c r="E468" s="7">
        <f>SUMIFS('Leave Management'!$L:$L,'Leave Management'!$C:$C,Detail!$A468,'Leave Management'!$B:$B,Detail!E$1)</f>
        <v>0</v>
      </c>
      <c r="F468" s="7">
        <f>SUMIFS('Leave Management'!$L:$L,'Leave Management'!$C:$C,Detail!$A468,'Leave Management'!$B:$B,Detail!F$1)</f>
        <v>1</v>
      </c>
      <c r="G468" s="7">
        <f>SUMIFS('Leave Management'!$L:$L,'Leave Management'!$C:$C,Detail!$A468,'Leave Management'!$B:$B,Detail!G$1)</f>
        <v>0</v>
      </c>
      <c r="H468" s="7">
        <f>SUMIFS('Leave Management'!$L:$L,'Leave Management'!$C:$C,Detail!$A468,'Leave Management'!$B:$B,Detail!H$1)</f>
        <v>0</v>
      </c>
      <c r="I468" s="7">
        <f>SUMIFS('Leave Management'!$L:$L,'Leave Management'!$C:$C,Detail!$A468,'Leave Management'!$B:$B,Detail!I$1)</f>
        <v>0</v>
      </c>
      <c r="J468" s="7">
        <f>SUMIFS('Leave Management'!$L:$L,'Leave Management'!$C:$C,Detail!$A468,'Leave Management'!$B:$B,Detail!J$1)</f>
        <v>0</v>
      </c>
      <c r="K468" s="7">
        <f>SUMIFS('Leave Management'!$L:$L,'Leave Management'!$C:$C,Detail!$A468,'Leave Management'!$B:$B,Detail!K$1)</f>
        <v>0</v>
      </c>
      <c r="L468" s="7">
        <f>SUMIFS('Leave Management'!$L:$L,'Leave Management'!$C:$C,Detail!$A468,'Leave Management'!$B:$B,Detail!L$1)</f>
        <v>0</v>
      </c>
      <c r="M468" s="7">
        <f>SUMIFS('Leave Management'!$L:$L,'Leave Management'!$C:$C,Detail!$A468,'Leave Management'!$B:$B,Detail!M$1)</f>
        <v>0</v>
      </c>
      <c r="N468" s="7">
        <f>SUMIFS('Leave Management'!$L:$L,'Leave Management'!$C:$C,Detail!$A468,'Leave Management'!$B:$B,Detail!N$1)</f>
        <v>0</v>
      </c>
      <c r="O468" s="7">
        <f t="shared" si="18"/>
        <v>10</v>
      </c>
    </row>
    <row r="469" spans="1:15" x14ac:dyDescent="0.25">
      <c r="A469" s="24">
        <v>43567</v>
      </c>
      <c r="B469" s="2" t="str">
        <f t="shared" si="16"/>
        <v>Fri</v>
      </c>
      <c r="C469" s="7">
        <f>SUMIFS('Leave Management'!$L:$L,'Leave Management'!$C:$C,Detail!$A469,'Leave Management'!$B:$B,Detail!C$1)</f>
        <v>0</v>
      </c>
      <c r="D469" s="7">
        <f>SUMIFS('Leave Management'!$L:$L,'Leave Management'!$C:$C,Detail!$A469,'Leave Management'!$B:$B,Detail!D$1)</f>
        <v>0</v>
      </c>
      <c r="E469" s="7">
        <f>SUMIFS('Leave Management'!$L:$L,'Leave Management'!$C:$C,Detail!$A469,'Leave Management'!$B:$B,Detail!E$1)</f>
        <v>0</v>
      </c>
      <c r="F469" s="7">
        <f>SUMIFS('Leave Management'!$L:$L,'Leave Management'!$C:$C,Detail!$A469,'Leave Management'!$B:$B,Detail!F$1)</f>
        <v>0</v>
      </c>
      <c r="G469" s="7">
        <f>SUMIFS('Leave Management'!$L:$L,'Leave Management'!$C:$C,Detail!$A469,'Leave Management'!$B:$B,Detail!G$1)</f>
        <v>1</v>
      </c>
      <c r="H469" s="7">
        <f>SUMIFS('Leave Management'!$L:$L,'Leave Management'!$C:$C,Detail!$A469,'Leave Management'!$B:$B,Detail!H$1)</f>
        <v>0</v>
      </c>
      <c r="I469" s="7">
        <f>SUMIFS('Leave Management'!$L:$L,'Leave Management'!$C:$C,Detail!$A469,'Leave Management'!$B:$B,Detail!I$1)</f>
        <v>0</v>
      </c>
      <c r="J469" s="7">
        <f>SUMIFS('Leave Management'!$L:$L,'Leave Management'!$C:$C,Detail!$A469,'Leave Management'!$B:$B,Detail!J$1)</f>
        <v>0</v>
      </c>
      <c r="K469" s="7">
        <f>SUMIFS('Leave Management'!$L:$L,'Leave Management'!$C:$C,Detail!$A469,'Leave Management'!$B:$B,Detail!K$1)</f>
        <v>0</v>
      </c>
      <c r="L469" s="7">
        <f>SUMIFS('Leave Management'!$L:$L,'Leave Management'!$C:$C,Detail!$A469,'Leave Management'!$B:$B,Detail!L$1)</f>
        <v>0</v>
      </c>
      <c r="M469" s="7">
        <f>SUMIFS('Leave Management'!$L:$L,'Leave Management'!$C:$C,Detail!$A469,'Leave Management'!$B:$B,Detail!M$1)</f>
        <v>0</v>
      </c>
      <c r="N469" s="7">
        <f>SUMIFS('Leave Management'!$L:$L,'Leave Management'!$C:$C,Detail!$A469,'Leave Management'!$B:$B,Detail!N$1)</f>
        <v>0</v>
      </c>
      <c r="O469" s="7">
        <f t="shared" si="18"/>
        <v>10</v>
      </c>
    </row>
    <row r="470" spans="1:15" x14ac:dyDescent="0.25">
      <c r="A470" s="24">
        <v>43568</v>
      </c>
      <c r="B470" s="2" t="str">
        <f t="shared" si="16"/>
        <v>Sat</v>
      </c>
      <c r="C470" s="7">
        <f>SUMIFS('Leave Management'!$L:$L,'Leave Management'!$C:$C,Detail!$A470,'Leave Management'!$B:$B,Detail!C$1)</f>
        <v>0</v>
      </c>
      <c r="D470" s="7">
        <f>SUMIFS('Leave Management'!$L:$L,'Leave Management'!$C:$C,Detail!$A470,'Leave Management'!$B:$B,Detail!D$1)</f>
        <v>0</v>
      </c>
      <c r="E470" s="7">
        <f>SUMIFS('Leave Management'!$L:$L,'Leave Management'!$C:$C,Detail!$A470,'Leave Management'!$B:$B,Detail!E$1)</f>
        <v>0</v>
      </c>
      <c r="F470" s="7">
        <f>SUMIFS('Leave Management'!$L:$L,'Leave Management'!$C:$C,Detail!$A470,'Leave Management'!$B:$B,Detail!F$1)</f>
        <v>0</v>
      </c>
      <c r="G470" s="7">
        <f>SUMIFS('Leave Management'!$L:$L,'Leave Management'!$C:$C,Detail!$A470,'Leave Management'!$B:$B,Detail!G$1)</f>
        <v>0</v>
      </c>
      <c r="H470" s="7">
        <f>SUMIFS('Leave Management'!$L:$L,'Leave Management'!$C:$C,Detail!$A470,'Leave Management'!$B:$B,Detail!H$1)</f>
        <v>0</v>
      </c>
      <c r="I470" s="7">
        <f>SUMIFS('Leave Management'!$L:$L,'Leave Management'!$C:$C,Detail!$A470,'Leave Management'!$B:$B,Detail!I$1)</f>
        <v>0</v>
      </c>
      <c r="J470" s="7">
        <f>SUMIFS('Leave Management'!$L:$L,'Leave Management'!$C:$C,Detail!$A470,'Leave Management'!$B:$B,Detail!J$1)</f>
        <v>0</v>
      </c>
      <c r="K470" s="7">
        <f>SUMIFS('Leave Management'!$L:$L,'Leave Management'!$C:$C,Detail!$A470,'Leave Management'!$B:$B,Detail!K$1)</f>
        <v>0</v>
      </c>
      <c r="L470" s="7">
        <f>SUMIFS('Leave Management'!$L:$L,'Leave Management'!$C:$C,Detail!$A470,'Leave Management'!$B:$B,Detail!L$1)</f>
        <v>0</v>
      </c>
      <c r="M470" s="7">
        <f>SUMIFS('Leave Management'!$L:$L,'Leave Management'!$C:$C,Detail!$A470,'Leave Management'!$B:$B,Detail!M$1)</f>
        <v>0</v>
      </c>
      <c r="N470" s="7">
        <f>SUMIFS('Leave Management'!$L:$L,'Leave Management'!$C:$C,Detail!$A470,'Leave Management'!$B:$B,Detail!N$1)</f>
        <v>0</v>
      </c>
      <c r="O470" s="7">
        <f t="shared" si="18"/>
        <v>11</v>
      </c>
    </row>
    <row r="471" spans="1:15" x14ac:dyDescent="0.25">
      <c r="A471" s="24">
        <v>43569</v>
      </c>
      <c r="B471" s="2" t="str">
        <f t="shared" si="16"/>
        <v>Sun</v>
      </c>
      <c r="C471" s="7">
        <f>SUMIFS('Leave Management'!$L:$L,'Leave Management'!$C:$C,Detail!$A471,'Leave Management'!$B:$B,Detail!C$1)</f>
        <v>0</v>
      </c>
      <c r="D471" s="7">
        <f>SUMIFS('Leave Management'!$L:$L,'Leave Management'!$C:$C,Detail!$A471,'Leave Management'!$B:$B,Detail!D$1)</f>
        <v>0</v>
      </c>
      <c r="E471" s="7">
        <f>SUMIFS('Leave Management'!$L:$L,'Leave Management'!$C:$C,Detail!$A471,'Leave Management'!$B:$B,Detail!E$1)</f>
        <v>0</v>
      </c>
      <c r="F471" s="7">
        <f>SUMIFS('Leave Management'!$L:$L,'Leave Management'!$C:$C,Detail!$A471,'Leave Management'!$B:$B,Detail!F$1)</f>
        <v>0</v>
      </c>
      <c r="G471" s="7">
        <f>SUMIFS('Leave Management'!$L:$L,'Leave Management'!$C:$C,Detail!$A471,'Leave Management'!$B:$B,Detail!G$1)</f>
        <v>0</v>
      </c>
      <c r="H471" s="7">
        <f>SUMIFS('Leave Management'!$L:$L,'Leave Management'!$C:$C,Detail!$A471,'Leave Management'!$B:$B,Detail!H$1)</f>
        <v>0</v>
      </c>
      <c r="I471" s="7">
        <f>SUMIFS('Leave Management'!$L:$L,'Leave Management'!$C:$C,Detail!$A471,'Leave Management'!$B:$B,Detail!I$1)</f>
        <v>0</v>
      </c>
      <c r="J471" s="7">
        <f>SUMIFS('Leave Management'!$L:$L,'Leave Management'!$C:$C,Detail!$A471,'Leave Management'!$B:$B,Detail!J$1)</f>
        <v>0</v>
      </c>
      <c r="K471" s="7">
        <f>SUMIFS('Leave Management'!$L:$L,'Leave Management'!$C:$C,Detail!$A471,'Leave Management'!$B:$B,Detail!K$1)</f>
        <v>0</v>
      </c>
      <c r="L471" s="7">
        <f>SUMIFS('Leave Management'!$L:$L,'Leave Management'!$C:$C,Detail!$A471,'Leave Management'!$B:$B,Detail!L$1)</f>
        <v>0</v>
      </c>
      <c r="M471" s="7">
        <f>SUMIFS('Leave Management'!$L:$L,'Leave Management'!$C:$C,Detail!$A471,'Leave Management'!$B:$B,Detail!M$1)</f>
        <v>0</v>
      </c>
      <c r="N471" s="7">
        <f>SUMIFS('Leave Management'!$L:$L,'Leave Management'!$C:$C,Detail!$A471,'Leave Management'!$B:$B,Detail!N$1)</f>
        <v>0</v>
      </c>
      <c r="O471" s="7">
        <f t="shared" si="18"/>
        <v>11</v>
      </c>
    </row>
    <row r="472" spans="1:15" x14ac:dyDescent="0.25">
      <c r="A472" s="24">
        <v>43570</v>
      </c>
      <c r="B472" s="2" t="str">
        <f t="shared" si="16"/>
        <v>Mon</v>
      </c>
      <c r="C472" s="7">
        <f>SUMIFS('Leave Management'!$L:$L,'Leave Management'!$C:$C,Detail!$A472,'Leave Management'!$B:$B,Detail!C$1)</f>
        <v>0</v>
      </c>
      <c r="D472" s="7">
        <f>SUMIFS('Leave Management'!$L:$L,'Leave Management'!$C:$C,Detail!$A472,'Leave Management'!$B:$B,Detail!D$1)</f>
        <v>0</v>
      </c>
      <c r="E472" s="7">
        <f>SUMIFS('Leave Management'!$L:$L,'Leave Management'!$C:$C,Detail!$A472,'Leave Management'!$B:$B,Detail!E$1)</f>
        <v>0</v>
      </c>
      <c r="F472" s="7">
        <f>SUMIFS('Leave Management'!$L:$L,'Leave Management'!$C:$C,Detail!$A472,'Leave Management'!$B:$B,Detail!F$1)</f>
        <v>0</v>
      </c>
      <c r="G472" s="7">
        <f>SUMIFS('Leave Management'!$L:$L,'Leave Management'!$C:$C,Detail!$A472,'Leave Management'!$B:$B,Detail!G$1)</f>
        <v>0</v>
      </c>
      <c r="H472" s="7">
        <f>SUMIFS('Leave Management'!$L:$L,'Leave Management'!$C:$C,Detail!$A472,'Leave Management'!$B:$B,Detail!H$1)</f>
        <v>0</v>
      </c>
      <c r="I472" s="7">
        <f>SUMIFS('Leave Management'!$L:$L,'Leave Management'!$C:$C,Detail!$A472,'Leave Management'!$B:$B,Detail!I$1)</f>
        <v>0</v>
      </c>
      <c r="J472" s="7">
        <f>SUMIFS('Leave Management'!$L:$L,'Leave Management'!$C:$C,Detail!$A472,'Leave Management'!$B:$B,Detail!J$1)</f>
        <v>0</v>
      </c>
      <c r="K472" s="7">
        <f>SUMIFS('Leave Management'!$L:$L,'Leave Management'!$C:$C,Detail!$A472,'Leave Management'!$B:$B,Detail!K$1)</f>
        <v>0</v>
      </c>
      <c r="L472" s="7">
        <f>SUMIFS('Leave Management'!$L:$L,'Leave Management'!$C:$C,Detail!$A472,'Leave Management'!$B:$B,Detail!L$1)</f>
        <v>0</v>
      </c>
      <c r="M472" s="7">
        <f>SUMIFS('Leave Management'!$L:$L,'Leave Management'!$C:$C,Detail!$A472,'Leave Management'!$B:$B,Detail!M$1)</f>
        <v>0</v>
      </c>
      <c r="N472" s="7">
        <f>SUMIFS('Leave Management'!$L:$L,'Leave Management'!$C:$C,Detail!$A472,'Leave Management'!$B:$B,Detail!N$1)</f>
        <v>0</v>
      </c>
      <c r="O472" s="7">
        <f t="shared" si="18"/>
        <v>11</v>
      </c>
    </row>
    <row r="473" spans="1:15" x14ac:dyDescent="0.25">
      <c r="A473" s="24">
        <v>43571</v>
      </c>
      <c r="B473" s="2" t="str">
        <f t="shared" si="16"/>
        <v>Tue</v>
      </c>
      <c r="C473" s="7">
        <f>SUMIFS('Leave Management'!$L:$L,'Leave Management'!$C:$C,Detail!$A473,'Leave Management'!$B:$B,Detail!C$1)</f>
        <v>0</v>
      </c>
      <c r="D473" s="7">
        <f>SUMIFS('Leave Management'!$L:$L,'Leave Management'!$C:$C,Detail!$A473,'Leave Management'!$B:$B,Detail!D$1)</f>
        <v>0</v>
      </c>
      <c r="E473" s="7">
        <f>SUMIFS('Leave Management'!$L:$L,'Leave Management'!$C:$C,Detail!$A473,'Leave Management'!$B:$B,Detail!E$1)</f>
        <v>0</v>
      </c>
      <c r="F473" s="7">
        <f>SUMIFS('Leave Management'!$L:$L,'Leave Management'!$C:$C,Detail!$A473,'Leave Management'!$B:$B,Detail!F$1)</f>
        <v>0</v>
      </c>
      <c r="G473" s="7">
        <f>SUMIFS('Leave Management'!$L:$L,'Leave Management'!$C:$C,Detail!$A473,'Leave Management'!$B:$B,Detail!G$1)</f>
        <v>0</v>
      </c>
      <c r="H473" s="7">
        <f>SUMIFS('Leave Management'!$L:$L,'Leave Management'!$C:$C,Detail!$A473,'Leave Management'!$B:$B,Detail!H$1)</f>
        <v>0</v>
      </c>
      <c r="I473" s="7">
        <f>SUMIFS('Leave Management'!$L:$L,'Leave Management'!$C:$C,Detail!$A473,'Leave Management'!$B:$B,Detail!I$1)</f>
        <v>0</v>
      </c>
      <c r="J473" s="7">
        <f>SUMIFS('Leave Management'!$L:$L,'Leave Management'!$C:$C,Detail!$A473,'Leave Management'!$B:$B,Detail!J$1)</f>
        <v>0</v>
      </c>
      <c r="K473" s="7">
        <f>SUMIFS('Leave Management'!$L:$L,'Leave Management'!$C:$C,Detail!$A473,'Leave Management'!$B:$B,Detail!K$1)</f>
        <v>0</v>
      </c>
      <c r="L473" s="7">
        <f>SUMIFS('Leave Management'!$L:$L,'Leave Management'!$C:$C,Detail!$A473,'Leave Management'!$B:$B,Detail!L$1)</f>
        <v>0</v>
      </c>
      <c r="M473" s="7">
        <f>SUMIFS('Leave Management'!$L:$L,'Leave Management'!$C:$C,Detail!$A473,'Leave Management'!$B:$B,Detail!M$1)</f>
        <v>0</v>
      </c>
      <c r="N473" s="7">
        <f>SUMIFS('Leave Management'!$L:$L,'Leave Management'!$C:$C,Detail!$A473,'Leave Management'!$B:$B,Detail!N$1)</f>
        <v>0</v>
      </c>
      <c r="O473" s="7">
        <f t="shared" si="18"/>
        <v>11</v>
      </c>
    </row>
    <row r="474" spans="1:15" x14ac:dyDescent="0.25">
      <c r="A474" s="24">
        <v>43572</v>
      </c>
      <c r="B474" s="2" t="str">
        <f t="shared" si="16"/>
        <v>Wed</v>
      </c>
      <c r="C474" s="7">
        <f>SUMIFS('Leave Management'!$L:$L,'Leave Management'!$C:$C,Detail!$A474,'Leave Management'!$B:$B,Detail!C$1)</f>
        <v>0</v>
      </c>
      <c r="D474" s="7">
        <f>SUMIFS('Leave Management'!$L:$L,'Leave Management'!$C:$C,Detail!$A474,'Leave Management'!$B:$B,Detail!D$1)</f>
        <v>0</v>
      </c>
      <c r="E474" s="7">
        <f>SUMIFS('Leave Management'!$L:$L,'Leave Management'!$C:$C,Detail!$A474,'Leave Management'!$B:$B,Detail!E$1)</f>
        <v>0</v>
      </c>
      <c r="F474" s="7">
        <f>SUMIFS('Leave Management'!$L:$L,'Leave Management'!$C:$C,Detail!$A474,'Leave Management'!$B:$B,Detail!F$1)</f>
        <v>0</v>
      </c>
      <c r="G474" s="7">
        <f>SUMIFS('Leave Management'!$L:$L,'Leave Management'!$C:$C,Detail!$A474,'Leave Management'!$B:$B,Detail!G$1)</f>
        <v>0</v>
      </c>
      <c r="H474" s="7">
        <f>SUMIFS('Leave Management'!$L:$L,'Leave Management'!$C:$C,Detail!$A474,'Leave Management'!$B:$B,Detail!H$1)</f>
        <v>0</v>
      </c>
      <c r="I474" s="7">
        <f>SUMIFS('Leave Management'!$L:$L,'Leave Management'!$C:$C,Detail!$A474,'Leave Management'!$B:$B,Detail!I$1)</f>
        <v>0</v>
      </c>
      <c r="J474" s="7">
        <f>SUMIFS('Leave Management'!$L:$L,'Leave Management'!$C:$C,Detail!$A474,'Leave Management'!$B:$B,Detail!J$1)</f>
        <v>0</v>
      </c>
      <c r="K474" s="7">
        <f>SUMIFS('Leave Management'!$L:$L,'Leave Management'!$C:$C,Detail!$A474,'Leave Management'!$B:$B,Detail!K$1)</f>
        <v>0</v>
      </c>
      <c r="L474" s="7">
        <f>SUMIFS('Leave Management'!$L:$L,'Leave Management'!$C:$C,Detail!$A474,'Leave Management'!$B:$B,Detail!L$1)</f>
        <v>0</v>
      </c>
      <c r="M474" s="7">
        <f>SUMIFS('Leave Management'!$L:$L,'Leave Management'!$C:$C,Detail!$A474,'Leave Management'!$B:$B,Detail!M$1)</f>
        <v>0</v>
      </c>
      <c r="N474" s="7">
        <f>SUMIFS('Leave Management'!$L:$L,'Leave Management'!$C:$C,Detail!$A474,'Leave Management'!$B:$B,Detail!N$1)</f>
        <v>0</v>
      </c>
      <c r="O474" s="7">
        <f t="shared" si="18"/>
        <v>11</v>
      </c>
    </row>
    <row r="475" spans="1:15" x14ac:dyDescent="0.25">
      <c r="A475" s="24">
        <v>43573</v>
      </c>
      <c r="B475" s="2" t="str">
        <f t="shared" si="16"/>
        <v>Thu</v>
      </c>
      <c r="C475" s="7">
        <f>SUMIFS('Leave Management'!$L:$L,'Leave Management'!$C:$C,Detail!$A475,'Leave Management'!$B:$B,Detail!C$1)</f>
        <v>0</v>
      </c>
      <c r="D475" s="7">
        <f>SUMIFS('Leave Management'!$L:$L,'Leave Management'!$C:$C,Detail!$A475,'Leave Management'!$B:$B,Detail!D$1)</f>
        <v>0</v>
      </c>
      <c r="E475" s="7">
        <f>SUMIFS('Leave Management'!$L:$L,'Leave Management'!$C:$C,Detail!$A475,'Leave Management'!$B:$B,Detail!E$1)</f>
        <v>0</v>
      </c>
      <c r="F475" s="7">
        <f>SUMIFS('Leave Management'!$L:$L,'Leave Management'!$C:$C,Detail!$A475,'Leave Management'!$B:$B,Detail!F$1)</f>
        <v>0</v>
      </c>
      <c r="G475" s="7">
        <f>SUMIFS('Leave Management'!$L:$L,'Leave Management'!$C:$C,Detail!$A475,'Leave Management'!$B:$B,Detail!G$1)</f>
        <v>0</v>
      </c>
      <c r="H475" s="7">
        <f>SUMIFS('Leave Management'!$L:$L,'Leave Management'!$C:$C,Detail!$A475,'Leave Management'!$B:$B,Detail!H$1)</f>
        <v>0</v>
      </c>
      <c r="I475" s="7">
        <f>SUMIFS('Leave Management'!$L:$L,'Leave Management'!$C:$C,Detail!$A475,'Leave Management'!$B:$B,Detail!I$1)</f>
        <v>0</v>
      </c>
      <c r="J475" s="7">
        <f>SUMIFS('Leave Management'!$L:$L,'Leave Management'!$C:$C,Detail!$A475,'Leave Management'!$B:$B,Detail!J$1)</f>
        <v>0</v>
      </c>
      <c r="K475" s="7">
        <f>SUMIFS('Leave Management'!$L:$L,'Leave Management'!$C:$C,Detail!$A475,'Leave Management'!$B:$B,Detail!K$1)</f>
        <v>0</v>
      </c>
      <c r="L475" s="7">
        <f>SUMIFS('Leave Management'!$L:$L,'Leave Management'!$C:$C,Detail!$A475,'Leave Management'!$B:$B,Detail!L$1)</f>
        <v>0</v>
      </c>
      <c r="M475" s="7">
        <f>SUMIFS('Leave Management'!$L:$L,'Leave Management'!$C:$C,Detail!$A475,'Leave Management'!$B:$B,Detail!M$1)</f>
        <v>0</v>
      </c>
      <c r="N475" s="7">
        <f>SUMIFS('Leave Management'!$L:$L,'Leave Management'!$C:$C,Detail!$A475,'Leave Management'!$B:$B,Detail!N$1)</f>
        <v>0</v>
      </c>
      <c r="O475" s="7">
        <f t="shared" si="18"/>
        <v>11</v>
      </c>
    </row>
    <row r="476" spans="1:15" x14ac:dyDescent="0.25">
      <c r="A476" s="24">
        <v>43574</v>
      </c>
      <c r="B476" s="2" t="str">
        <f t="shared" si="16"/>
        <v>Fri</v>
      </c>
      <c r="C476" s="7">
        <f>SUMIFS('Leave Management'!$L:$L,'Leave Management'!$C:$C,Detail!$A476,'Leave Management'!$B:$B,Detail!C$1)</f>
        <v>0</v>
      </c>
      <c r="D476" s="7">
        <f>SUMIFS('Leave Management'!$L:$L,'Leave Management'!$C:$C,Detail!$A476,'Leave Management'!$B:$B,Detail!D$1)</f>
        <v>0</v>
      </c>
      <c r="E476" s="7">
        <f>SUMIFS('Leave Management'!$L:$L,'Leave Management'!$C:$C,Detail!$A476,'Leave Management'!$B:$B,Detail!E$1)</f>
        <v>0</v>
      </c>
      <c r="F476" s="7">
        <f>SUMIFS('Leave Management'!$L:$L,'Leave Management'!$C:$C,Detail!$A476,'Leave Management'!$B:$B,Detail!F$1)</f>
        <v>0</v>
      </c>
      <c r="G476" s="7">
        <f>SUMIFS('Leave Management'!$L:$L,'Leave Management'!$C:$C,Detail!$A476,'Leave Management'!$B:$B,Detail!G$1)</f>
        <v>0</v>
      </c>
      <c r="H476" s="7">
        <f>SUMIFS('Leave Management'!$L:$L,'Leave Management'!$C:$C,Detail!$A476,'Leave Management'!$B:$B,Detail!H$1)</f>
        <v>0</v>
      </c>
      <c r="I476" s="7">
        <f>SUMIFS('Leave Management'!$L:$L,'Leave Management'!$C:$C,Detail!$A476,'Leave Management'!$B:$B,Detail!I$1)</f>
        <v>0</v>
      </c>
      <c r="J476" s="7">
        <f>SUMIFS('Leave Management'!$L:$L,'Leave Management'!$C:$C,Detail!$A476,'Leave Management'!$B:$B,Detail!J$1)</f>
        <v>0</v>
      </c>
      <c r="K476" s="7">
        <f>SUMIFS('Leave Management'!$L:$L,'Leave Management'!$C:$C,Detail!$A476,'Leave Management'!$B:$B,Detail!K$1)</f>
        <v>0</v>
      </c>
      <c r="L476" s="7">
        <f>SUMIFS('Leave Management'!$L:$L,'Leave Management'!$C:$C,Detail!$A476,'Leave Management'!$B:$B,Detail!L$1)</f>
        <v>0</v>
      </c>
      <c r="M476" s="7">
        <f>SUMIFS('Leave Management'!$L:$L,'Leave Management'!$C:$C,Detail!$A476,'Leave Management'!$B:$B,Detail!M$1)</f>
        <v>0</v>
      </c>
      <c r="N476" s="7">
        <f>SUMIFS('Leave Management'!$L:$L,'Leave Management'!$C:$C,Detail!$A476,'Leave Management'!$B:$B,Detail!N$1)</f>
        <v>0</v>
      </c>
      <c r="O476" s="7">
        <f t="shared" si="18"/>
        <v>11</v>
      </c>
    </row>
    <row r="477" spans="1:15" x14ac:dyDescent="0.25">
      <c r="A477" s="24">
        <v>43575</v>
      </c>
      <c r="B477" s="2" t="str">
        <f t="shared" si="16"/>
        <v>Sat</v>
      </c>
      <c r="C477" s="7">
        <f>SUMIFS('Leave Management'!$L:$L,'Leave Management'!$C:$C,Detail!$A477,'Leave Management'!$B:$B,Detail!C$1)</f>
        <v>0</v>
      </c>
      <c r="D477" s="7">
        <f>SUMIFS('Leave Management'!$L:$L,'Leave Management'!$C:$C,Detail!$A477,'Leave Management'!$B:$B,Detail!D$1)</f>
        <v>0</v>
      </c>
      <c r="E477" s="7">
        <f>SUMIFS('Leave Management'!$L:$L,'Leave Management'!$C:$C,Detail!$A477,'Leave Management'!$B:$B,Detail!E$1)</f>
        <v>0</v>
      </c>
      <c r="F477" s="7">
        <f>SUMIFS('Leave Management'!$L:$L,'Leave Management'!$C:$C,Detail!$A477,'Leave Management'!$B:$B,Detail!F$1)</f>
        <v>0</v>
      </c>
      <c r="G477" s="7">
        <f>SUMIFS('Leave Management'!$L:$L,'Leave Management'!$C:$C,Detail!$A477,'Leave Management'!$B:$B,Detail!G$1)</f>
        <v>0</v>
      </c>
      <c r="H477" s="7">
        <f>SUMIFS('Leave Management'!$L:$L,'Leave Management'!$C:$C,Detail!$A477,'Leave Management'!$B:$B,Detail!H$1)</f>
        <v>0</v>
      </c>
      <c r="I477" s="7">
        <f>SUMIFS('Leave Management'!$L:$L,'Leave Management'!$C:$C,Detail!$A477,'Leave Management'!$B:$B,Detail!I$1)</f>
        <v>0</v>
      </c>
      <c r="J477" s="7">
        <f>SUMIFS('Leave Management'!$L:$L,'Leave Management'!$C:$C,Detail!$A477,'Leave Management'!$B:$B,Detail!J$1)</f>
        <v>0</v>
      </c>
      <c r="K477" s="7">
        <f>SUMIFS('Leave Management'!$L:$L,'Leave Management'!$C:$C,Detail!$A477,'Leave Management'!$B:$B,Detail!K$1)</f>
        <v>0</v>
      </c>
      <c r="L477" s="7">
        <f>SUMIFS('Leave Management'!$L:$L,'Leave Management'!$C:$C,Detail!$A477,'Leave Management'!$B:$B,Detail!L$1)</f>
        <v>0</v>
      </c>
      <c r="M477" s="7">
        <f>SUMIFS('Leave Management'!$L:$L,'Leave Management'!$C:$C,Detail!$A477,'Leave Management'!$B:$B,Detail!M$1)</f>
        <v>0</v>
      </c>
      <c r="N477" s="7">
        <f>SUMIFS('Leave Management'!$L:$L,'Leave Management'!$C:$C,Detail!$A477,'Leave Management'!$B:$B,Detail!N$1)</f>
        <v>0</v>
      </c>
      <c r="O477" s="7">
        <f t="shared" si="18"/>
        <v>11</v>
      </c>
    </row>
    <row r="478" spans="1:15" x14ac:dyDescent="0.25">
      <c r="A478" s="24">
        <v>43576</v>
      </c>
      <c r="B478" s="2" t="str">
        <f t="shared" si="16"/>
        <v>Sun</v>
      </c>
      <c r="C478" s="7">
        <f>SUMIFS('Leave Management'!$L:$L,'Leave Management'!$C:$C,Detail!$A478,'Leave Management'!$B:$B,Detail!C$1)</f>
        <v>0</v>
      </c>
      <c r="D478" s="7">
        <f>SUMIFS('Leave Management'!$L:$L,'Leave Management'!$C:$C,Detail!$A478,'Leave Management'!$B:$B,Detail!D$1)</f>
        <v>0</v>
      </c>
      <c r="E478" s="7">
        <f>SUMIFS('Leave Management'!$L:$L,'Leave Management'!$C:$C,Detail!$A478,'Leave Management'!$B:$B,Detail!E$1)</f>
        <v>0</v>
      </c>
      <c r="F478" s="7">
        <f>SUMIFS('Leave Management'!$L:$L,'Leave Management'!$C:$C,Detail!$A478,'Leave Management'!$B:$B,Detail!F$1)</f>
        <v>0</v>
      </c>
      <c r="G478" s="7">
        <f>SUMIFS('Leave Management'!$L:$L,'Leave Management'!$C:$C,Detail!$A478,'Leave Management'!$B:$B,Detail!G$1)</f>
        <v>0</v>
      </c>
      <c r="H478" s="7">
        <f>SUMIFS('Leave Management'!$L:$L,'Leave Management'!$C:$C,Detail!$A478,'Leave Management'!$B:$B,Detail!H$1)</f>
        <v>0</v>
      </c>
      <c r="I478" s="7">
        <f>SUMIFS('Leave Management'!$L:$L,'Leave Management'!$C:$C,Detail!$A478,'Leave Management'!$B:$B,Detail!I$1)</f>
        <v>0</v>
      </c>
      <c r="J478" s="7">
        <f>SUMIFS('Leave Management'!$L:$L,'Leave Management'!$C:$C,Detail!$A478,'Leave Management'!$B:$B,Detail!J$1)</f>
        <v>0</v>
      </c>
      <c r="K478" s="7">
        <f>SUMIFS('Leave Management'!$L:$L,'Leave Management'!$C:$C,Detail!$A478,'Leave Management'!$B:$B,Detail!K$1)</f>
        <v>0</v>
      </c>
      <c r="L478" s="7">
        <f>SUMIFS('Leave Management'!$L:$L,'Leave Management'!$C:$C,Detail!$A478,'Leave Management'!$B:$B,Detail!L$1)</f>
        <v>0</v>
      </c>
      <c r="M478" s="7">
        <f>SUMIFS('Leave Management'!$L:$L,'Leave Management'!$C:$C,Detail!$A478,'Leave Management'!$B:$B,Detail!M$1)</f>
        <v>0</v>
      </c>
      <c r="N478" s="7">
        <f>SUMIFS('Leave Management'!$L:$L,'Leave Management'!$C:$C,Detail!$A478,'Leave Management'!$B:$B,Detail!N$1)</f>
        <v>0</v>
      </c>
      <c r="O478" s="7">
        <f t="shared" si="18"/>
        <v>11</v>
      </c>
    </row>
    <row r="479" spans="1:15" x14ac:dyDescent="0.25">
      <c r="A479" s="24">
        <v>43577</v>
      </c>
      <c r="B479" s="2" t="str">
        <f t="shared" si="16"/>
        <v>Mon</v>
      </c>
      <c r="C479" s="7">
        <f>SUMIFS('Leave Management'!$L:$L,'Leave Management'!$C:$C,Detail!$A479,'Leave Management'!$B:$B,Detail!C$1)</f>
        <v>0</v>
      </c>
      <c r="D479" s="7">
        <f>SUMIFS('Leave Management'!$L:$L,'Leave Management'!$C:$C,Detail!$A479,'Leave Management'!$B:$B,Detail!D$1)</f>
        <v>0</v>
      </c>
      <c r="E479" s="7">
        <f>SUMIFS('Leave Management'!$L:$L,'Leave Management'!$C:$C,Detail!$A479,'Leave Management'!$B:$B,Detail!E$1)</f>
        <v>0</v>
      </c>
      <c r="F479" s="7">
        <f>SUMIFS('Leave Management'!$L:$L,'Leave Management'!$C:$C,Detail!$A479,'Leave Management'!$B:$B,Detail!F$1)</f>
        <v>0</v>
      </c>
      <c r="G479" s="7">
        <f>SUMIFS('Leave Management'!$L:$L,'Leave Management'!$C:$C,Detail!$A479,'Leave Management'!$B:$B,Detail!G$1)</f>
        <v>0</v>
      </c>
      <c r="H479" s="7">
        <f>SUMIFS('Leave Management'!$L:$L,'Leave Management'!$C:$C,Detail!$A479,'Leave Management'!$B:$B,Detail!H$1)</f>
        <v>1</v>
      </c>
      <c r="I479" s="7">
        <f>SUMIFS('Leave Management'!$L:$L,'Leave Management'!$C:$C,Detail!$A479,'Leave Management'!$B:$B,Detail!I$1)</f>
        <v>0</v>
      </c>
      <c r="J479" s="7">
        <f>SUMIFS('Leave Management'!$L:$L,'Leave Management'!$C:$C,Detail!$A479,'Leave Management'!$B:$B,Detail!J$1)</f>
        <v>0</v>
      </c>
      <c r="K479" s="7">
        <f>SUMIFS('Leave Management'!$L:$L,'Leave Management'!$C:$C,Detail!$A479,'Leave Management'!$B:$B,Detail!K$1)</f>
        <v>0</v>
      </c>
      <c r="L479" s="7">
        <f>SUMIFS('Leave Management'!$L:$L,'Leave Management'!$C:$C,Detail!$A479,'Leave Management'!$B:$B,Detail!L$1)</f>
        <v>0</v>
      </c>
      <c r="M479" s="7">
        <f>SUMIFS('Leave Management'!$L:$L,'Leave Management'!$C:$C,Detail!$A479,'Leave Management'!$B:$B,Detail!M$1)</f>
        <v>0</v>
      </c>
      <c r="N479" s="7">
        <f>SUMIFS('Leave Management'!$L:$L,'Leave Management'!$C:$C,Detail!$A479,'Leave Management'!$B:$B,Detail!N$1)</f>
        <v>0</v>
      </c>
      <c r="O479" s="7">
        <f t="shared" si="18"/>
        <v>10</v>
      </c>
    </row>
    <row r="480" spans="1:15" x14ac:dyDescent="0.25">
      <c r="A480" s="24">
        <v>43578</v>
      </c>
      <c r="B480" s="2" t="str">
        <f t="shared" si="16"/>
        <v>Tue</v>
      </c>
      <c r="C480" s="7">
        <f>SUMIFS('Leave Management'!$L:$L,'Leave Management'!$C:$C,Detail!$A480,'Leave Management'!$B:$B,Detail!C$1)</f>
        <v>0</v>
      </c>
      <c r="D480" s="7">
        <f>SUMIFS('Leave Management'!$L:$L,'Leave Management'!$C:$C,Detail!$A480,'Leave Management'!$B:$B,Detail!D$1)</f>
        <v>0</v>
      </c>
      <c r="E480" s="7">
        <f>SUMIFS('Leave Management'!$L:$L,'Leave Management'!$C:$C,Detail!$A480,'Leave Management'!$B:$B,Detail!E$1)</f>
        <v>0</v>
      </c>
      <c r="F480" s="7">
        <f>SUMIFS('Leave Management'!$L:$L,'Leave Management'!$C:$C,Detail!$A480,'Leave Management'!$B:$B,Detail!F$1)</f>
        <v>0</v>
      </c>
      <c r="G480" s="7">
        <f>SUMIFS('Leave Management'!$L:$L,'Leave Management'!$C:$C,Detail!$A480,'Leave Management'!$B:$B,Detail!G$1)</f>
        <v>0</v>
      </c>
      <c r="H480" s="7">
        <f>SUMIFS('Leave Management'!$L:$L,'Leave Management'!$C:$C,Detail!$A480,'Leave Management'!$B:$B,Detail!H$1)</f>
        <v>0</v>
      </c>
      <c r="I480" s="7">
        <f>SUMIFS('Leave Management'!$L:$L,'Leave Management'!$C:$C,Detail!$A480,'Leave Management'!$B:$B,Detail!I$1)</f>
        <v>0</v>
      </c>
      <c r="J480" s="7">
        <f>SUMIFS('Leave Management'!$L:$L,'Leave Management'!$C:$C,Detail!$A480,'Leave Management'!$B:$B,Detail!J$1)</f>
        <v>0</v>
      </c>
      <c r="K480" s="7">
        <f>SUMIFS('Leave Management'!$L:$L,'Leave Management'!$C:$C,Detail!$A480,'Leave Management'!$B:$B,Detail!K$1)</f>
        <v>0</v>
      </c>
      <c r="L480" s="7">
        <f>SUMIFS('Leave Management'!$L:$L,'Leave Management'!$C:$C,Detail!$A480,'Leave Management'!$B:$B,Detail!L$1)</f>
        <v>0</v>
      </c>
      <c r="M480" s="7">
        <f>SUMIFS('Leave Management'!$L:$L,'Leave Management'!$C:$C,Detail!$A480,'Leave Management'!$B:$B,Detail!M$1)</f>
        <v>0</v>
      </c>
      <c r="N480" s="7">
        <f>SUMIFS('Leave Management'!$L:$L,'Leave Management'!$C:$C,Detail!$A480,'Leave Management'!$B:$B,Detail!N$1)</f>
        <v>0</v>
      </c>
      <c r="O480" s="7">
        <f t="shared" si="18"/>
        <v>11</v>
      </c>
    </row>
    <row r="481" spans="1:15" x14ac:dyDescent="0.25">
      <c r="A481" s="24">
        <v>43579</v>
      </c>
      <c r="B481" s="2" t="str">
        <f t="shared" si="16"/>
        <v>Wed</v>
      </c>
      <c r="C481" s="7">
        <f>SUMIFS('Leave Management'!$L:$L,'Leave Management'!$C:$C,Detail!$A481,'Leave Management'!$B:$B,Detail!C$1)</f>
        <v>0</v>
      </c>
      <c r="D481" s="7">
        <f>SUMIFS('Leave Management'!$L:$L,'Leave Management'!$C:$C,Detail!$A481,'Leave Management'!$B:$B,Detail!D$1)</f>
        <v>0</v>
      </c>
      <c r="E481" s="7">
        <f>SUMIFS('Leave Management'!$L:$L,'Leave Management'!$C:$C,Detail!$A481,'Leave Management'!$B:$B,Detail!E$1)</f>
        <v>0</v>
      </c>
      <c r="F481" s="7">
        <f>SUMIFS('Leave Management'!$L:$L,'Leave Management'!$C:$C,Detail!$A481,'Leave Management'!$B:$B,Detail!F$1)</f>
        <v>0</v>
      </c>
      <c r="G481" s="7">
        <f>SUMIFS('Leave Management'!$L:$L,'Leave Management'!$C:$C,Detail!$A481,'Leave Management'!$B:$B,Detail!G$1)</f>
        <v>0</v>
      </c>
      <c r="H481" s="7">
        <f>SUMIFS('Leave Management'!$L:$L,'Leave Management'!$C:$C,Detail!$A481,'Leave Management'!$B:$B,Detail!H$1)</f>
        <v>0</v>
      </c>
      <c r="I481" s="7">
        <f>SUMIFS('Leave Management'!$L:$L,'Leave Management'!$C:$C,Detail!$A481,'Leave Management'!$B:$B,Detail!I$1)</f>
        <v>0</v>
      </c>
      <c r="J481" s="7">
        <f>SUMIFS('Leave Management'!$L:$L,'Leave Management'!$C:$C,Detail!$A481,'Leave Management'!$B:$B,Detail!J$1)</f>
        <v>0</v>
      </c>
      <c r="K481" s="7">
        <f>SUMIFS('Leave Management'!$L:$L,'Leave Management'!$C:$C,Detail!$A481,'Leave Management'!$B:$B,Detail!K$1)</f>
        <v>0</v>
      </c>
      <c r="L481" s="7">
        <f>SUMIFS('Leave Management'!$L:$L,'Leave Management'!$C:$C,Detail!$A481,'Leave Management'!$B:$B,Detail!L$1)</f>
        <v>0</v>
      </c>
      <c r="M481" s="7">
        <f>SUMIFS('Leave Management'!$L:$L,'Leave Management'!$C:$C,Detail!$A481,'Leave Management'!$B:$B,Detail!M$1)</f>
        <v>0</v>
      </c>
      <c r="N481" s="7">
        <f>SUMIFS('Leave Management'!$L:$L,'Leave Management'!$C:$C,Detail!$A481,'Leave Management'!$B:$B,Detail!N$1)</f>
        <v>0</v>
      </c>
      <c r="O481" s="7">
        <f t="shared" si="18"/>
        <v>11</v>
      </c>
    </row>
    <row r="482" spans="1:15" x14ac:dyDescent="0.25">
      <c r="A482" s="24">
        <v>43580</v>
      </c>
      <c r="B482" s="2" t="str">
        <f t="shared" si="16"/>
        <v>Thu</v>
      </c>
      <c r="C482" s="7">
        <f>SUMIFS('Leave Management'!$L:$L,'Leave Management'!$C:$C,Detail!$A482,'Leave Management'!$B:$B,Detail!C$1)</f>
        <v>0</v>
      </c>
      <c r="D482" s="7">
        <f>SUMIFS('Leave Management'!$L:$L,'Leave Management'!$C:$C,Detail!$A482,'Leave Management'!$B:$B,Detail!D$1)</f>
        <v>0</v>
      </c>
      <c r="E482" s="7">
        <f>SUMIFS('Leave Management'!$L:$L,'Leave Management'!$C:$C,Detail!$A482,'Leave Management'!$B:$B,Detail!E$1)</f>
        <v>1</v>
      </c>
      <c r="F482" s="7">
        <f>SUMIFS('Leave Management'!$L:$L,'Leave Management'!$C:$C,Detail!$A482,'Leave Management'!$B:$B,Detail!F$1)</f>
        <v>0</v>
      </c>
      <c r="G482" s="7">
        <f>SUMIFS('Leave Management'!$L:$L,'Leave Management'!$C:$C,Detail!$A482,'Leave Management'!$B:$B,Detail!G$1)</f>
        <v>0</v>
      </c>
      <c r="H482" s="7">
        <f>SUMIFS('Leave Management'!$L:$L,'Leave Management'!$C:$C,Detail!$A482,'Leave Management'!$B:$B,Detail!H$1)</f>
        <v>0</v>
      </c>
      <c r="I482" s="7">
        <f>SUMIFS('Leave Management'!$L:$L,'Leave Management'!$C:$C,Detail!$A482,'Leave Management'!$B:$B,Detail!I$1)</f>
        <v>1</v>
      </c>
      <c r="J482" s="7">
        <f>SUMIFS('Leave Management'!$L:$L,'Leave Management'!$C:$C,Detail!$A482,'Leave Management'!$B:$B,Detail!J$1)</f>
        <v>0</v>
      </c>
      <c r="K482" s="7">
        <f>SUMIFS('Leave Management'!$L:$L,'Leave Management'!$C:$C,Detail!$A482,'Leave Management'!$B:$B,Detail!K$1)</f>
        <v>0</v>
      </c>
      <c r="L482" s="7">
        <f>SUMIFS('Leave Management'!$L:$L,'Leave Management'!$C:$C,Detail!$A482,'Leave Management'!$B:$B,Detail!L$1)</f>
        <v>0</v>
      </c>
      <c r="M482" s="7">
        <f>SUMIFS('Leave Management'!$L:$L,'Leave Management'!$C:$C,Detail!$A482,'Leave Management'!$B:$B,Detail!M$1)</f>
        <v>0</v>
      </c>
      <c r="N482" s="7">
        <f>SUMIFS('Leave Management'!$L:$L,'Leave Management'!$C:$C,Detail!$A482,'Leave Management'!$B:$B,Detail!N$1)</f>
        <v>0</v>
      </c>
      <c r="O482" s="7">
        <f t="shared" si="18"/>
        <v>9</v>
      </c>
    </row>
    <row r="483" spans="1:15" x14ac:dyDescent="0.25">
      <c r="A483" s="24">
        <v>43581</v>
      </c>
      <c r="B483" s="2" t="str">
        <f t="shared" si="16"/>
        <v>Fri</v>
      </c>
      <c r="C483" s="7">
        <f>SUMIFS('Leave Management'!$L:$L,'Leave Management'!$C:$C,Detail!$A483,'Leave Management'!$B:$B,Detail!C$1)</f>
        <v>0</v>
      </c>
      <c r="D483" s="7">
        <f>SUMIFS('Leave Management'!$L:$L,'Leave Management'!$C:$C,Detail!$A483,'Leave Management'!$B:$B,Detail!D$1)</f>
        <v>0</v>
      </c>
      <c r="E483" s="7">
        <f>SUMIFS('Leave Management'!$L:$L,'Leave Management'!$C:$C,Detail!$A483,'Leave Management'!$B:$B,Detail!E$1)</f>
        <v>0</v>
      </c>
      <c r="F483" s="7">
        <f>SUMIFS('Leave Management'!$L:$L,'Leave Management'!$C:$C,Detail!$A483,'Leave Management'!$B:$B,Detail!F$1)</f>
        <v>0</v>
      </c>
      <c r="G483" s="7">
        <f>SUMIFS('Leave Management'!$L:$L,'Leave Management'!$C:$C,Detail!$A483,'Leave Management'!$B:$B,Detail!G$1)</f>
        <v>0</v>
      </c>
      <c r="H483" s="7">
        <f>SUMIFS('Leave Management'!$L:$L,'Leave Management'!$C:$C,Detail!$A483,'Leave Management'!$B:$B,Detail!H$1)</f>
        <v>0</v>
      </c>
      <c r="I483" s="7">
        <f>SUMIFS('Leave Management'!$L:$L,'Leave Management'!$C:$C,Detail!$A483,'Leave Management'!$B:$B,Detail!I$1)</f>
        <v>1</v>
      </c>
      <c r="J483" s="7">
        <f>SUMIFS('Leave Management'!$L:$L,'Leave Management'!$C:$C,Detail!$A483,'Leave Management'!$B:$B,Detail!J$1)</f>
        <v>0</v>
      </c>
      <c r="K483" s="7">
        <f>SUMIFS('Leave Management'!$L:$L,'Leave Management'!$C:$C,Detail!$A483,'Leave Management'!$B:$B,Detail!K$1)</f>
        <v>0</v>
      </c>
      <c r="L483" s="7">
        <f>SUMIFS('Leave Management'!$L:$L,'Leave Management'!$C:$C,Detail!$A483,'Leave Management'!$B:$B,Detail!L$1)</f>
        <v>0</v>
      </c>
      <c r="M483" s="7">
        <f>SUMIFS('Leave Management'!$L:$L,'Leave Management'!$C:$C,Detail!$A483,'Leave Management'!$B:$B,Detail!M$1)</f>
        <v>0</v>
      </c>
      <c r="N483" s="7">
        <f>SUMIFS('Leave Management'!$L:$L,'Leave Management'!$C:$C,Detail!$A483,'Leave Management'!$B:$B,Detail!N$1)</f>
        <v>0</v>
      </c>
      <c r="O483" s="7">
        <f t="shared" si="18"/>
        <v>10</v>
      </c>
    </row>
    <row r="484" spans="1:15" x14ac:dyDescent="0.25">
      <c r="A484" s="24">
        <v>43582</v>
      </c>
      <c r="B484" s="2" t="str">
        <f t="shared" si="16"/>
        <v>Sat</v>
      </c>
      <c r="C484" s="7">
        <f>SUMIFS('Leave Management'!$L:$L,'Leave Management'!$C:$C,Detail!$A484,'Leave Management'!$B:$B,Detail!C$1)</f>
        <v>0</v>
      </c>
      <c r="D484" s="7">
        <f>SUMIFS('Leave Management'!$L:$L,'Leave Management'!$C:$C,Detail!$A484,'Leave Management'!$B:$B,Detail!D$1)</f>
        <v>0</v>
      </c>
      <c r="E484" s="7">
        <f>SUMIFS('Leave Management'!$L:$L,'Leave Management'!$C:$C,Detail!$A484,'Leave Management'!$B:$B,Detail!E$1)</f>
        <v>0</v>
      </c>
      <c r="F484" s="7">
        <f>SUMIFS('Leave Management'!$L:$L,'Leave Management'!$C:$C,Detail!$A484,'Leave Management'!$B:$B,Detail!F$1)</f>
        <v>0</v>
      </c>
      <c r="G484" s="7">
        <f>SUMIFS('Leave Management'!$L:$L,'Leave Management'!$C:$C,Detail!$A484,'Leave Management'!$B:$B,Detail!G$1)</f>
        <v>0</v>
      </c>
      <c r="H484" s="7">
        <f>SUMIFS('Leave Management'!$L:$L,'Leave Management'!$C:$C,Detail!$A484,'Leave Management'!$B:$B,Detail!H$1)</f>
        <v>0</v>
      </c>
      <c r="I484" s="7">
        <f>SUMIFS('Leave Management'!$L:$L,'Leave Management'!$C:$C,Detail!$A484,'Leave Management'!$B:$B,Detail!I$1)</f>
        <v>0</v>
      </c>
      <c r="J484" s="7">
        <f>SUMIFS('Leave Management'!$L:$L,'Leave Management'!$C:$C,Detail!$A484,'Leave Management'!$B:$B,Detail!J$1)</f>
        <v>0</v>
      </c>
      <c r="K484" s="7">
        <f>SUMIFS('Leave Management'!$L:$L,'Leave Management'!$C:$C,Detail!$A484,'Leave Management'!$B:$B,Detail!K$1)</f>
        <v>0</v>
      </c>
      <c r="L484" s="7">
        <f>SUMIFS('Leave Management'!$L:$L,'Leave Management'!$C:$C,Detail!$A484,'Leave Management'!$B:$B,Detail!L$1)</f>
        <v>0</v>
      </c>
      <c r="M484" s="7">
        <f>SUMIFS('Leave Management'!$L:$L,'Leave Management'!$C:$C,Detail!$A484,'Leave Management'!$B:$B,Detail!M$1)</f>
        <v>0</v>
      </c>
      <c r="N484" s="7">
        <f>SUMIFS('Leave Management'!$L:$L,'Leave Management'!$C:$C,Detail!$A484,'Leave Management'!$B:$B,Detail!N$1)</f>
        <v>0</v>
      </c>
      <c r="O484" s="7">
        <f t="shared" si="18"/>
        <v>11</v>
      </c>
    </row>
    <row r="485" spans="1:15" x14ac:dyDescent="0.25">
      <c r="A485" s="24">
        <v>43583</v>
      </c>
      <c r="B485" s="2" t="str">
        <f t="shared" si="16"/>
        <v>Sun</v>
      </c>
      <c r="C485" s="7">
        <f>SUMIFS('Leave Management'!$L:$L,'Leave Management'!$C:$C,Detail!$A485,'Leave Management'!$B:$B,Detail!C$1)</f>
        <v>0</v>
      </c>
      <c r="D485" s="7">
        <f>SUMIFS('Leave Management'!$L:$L,'Leave Management'!$C:$C,Detail!$A485,'Leave Management'!$B:$B,Detail!D$1)</f>
        <v>0</v>
      </c>
      <c r="E485" s="7">
        <f>SUMIFS('Leave Management'!$L:$L,'Leave Management'!$C:$C,Detail!$A485,'Leave Management'!$B:$B,Detail!E$1)</f>
        <v>0</v>
      </c>
      <c r="F485" s="7">
        <f>SUMIFS('Leave Management'!$L:$L,'Leave Management'!$C:$C,Detail!$A485,'Leave Management'!$B:$B,Detail!F$1)</f>
        <v>0</v>
      </c>
      <c r="G485" s="7">
        <f>SUMIFS('Leave Management'!$L:$L,'Leave Management'!$C:$C,Detail!$A485,'Leave Management'!$B:$B,Detail!G$1)</f>
        <v>0</v>
      </c>
      <c r="H485" s="7">
        <f>SUMIFS('Leave Management'!$L:$L,'Leave Management'!$C:$C,Detail!$A485,'Leave Management'!$B:$B,Detail!H$1)</f>
        <v>0</v>
      </c>
      <c r="I485" s="7">
        <f>SUMIFS('Leave Management'!$L:$L,'Leave Management'!$C:$C,Detail!$A485,'Leave Management'!$B:$B,Detail!I$1)</f>
        <v>0</v>
      </c>
      <c r="J485" s="7">
        <f>SUMIFS('Leave Management'!$L:$L,'Leave Management'!$C:$C,Detail!$A485,'Leave Management'!$B:$B,Detail!J$1)</f>
        <v>0</v>
      </c>
      <c r="K485" s="7">
        <f>SUMIFS('Leave Management'!$L:$L,'Leave Management'!$C:$C,Detail!$A485,'Leave Management'!$B:$B,Detail!K$1)</f>
        <v>0</v>
      </c>
      <c r="L485" s="7">
        <f>SUMIFS('Leave Management'!$L:$L,'Leave Management'!$C:$C,Detail!$A485,'Leave Management'!$B:$B,Detail!L$1)</f>
        <v>0</v>
      </c>
      <c r="M485" s="7">
        <f>SUMIFS('Leave Management'!$L:$L,'Leave Management'!$C:$C,Detail!$A485,'Leave Management'!$B:$B,Detail!M$1)</f>
        <v>0</v>
      </c>
      <c r="N485" s="7">
        <f>SUMIFS('Leave Management'!$L:$L,'Leave Management'!$C:$C,Detail!$A485,'Leave Management'!$B:$B,Detail!N$1)</f>
        <v>0</v>
      </c>
      <c r="O485" s="7">
        <f t="shared" si="18"/>
        <v>11</v>
      </c>
    </row>
    <row r="486" spans="1:15" x14ac:dyDescent="0.25">
      <c r="A486" s="24">
        <v>43584</v>
      </c>
      <c r="B486" s="2" t="str">
        <f t="shared" si="16"/>
        <v>Mon</v>
      </c>
      <c r="C486" s="7">
        <f>SUMIFS('Leave Management'!$L:$L,'Leave Management'!$C:$C,Detail!$A486,'Leave Management'!$B:$B,Detail!C$1)</f>
        <v>0</v>
      </c>
      <c r="D486" s="7">
        <f>SUMIFS('Leave Management'!$L:$L,'Leave Management'!$C:$C,Detail!$A486,'Leave Management'!$B:$B,Detail!D$1)</f>
        <v>0</v>
      </c>
      <c r="E486" s="7">
        <f>SUMIFS('Leave Management'!$L:$L,'Leave Management'!$C:$C,Detail!$A486,'Leave Management'!$B:$B,Detail!E$1)</f>
        <v>0</v>
      </c>
      <c r="F486" s="7">
        <f>SUMIFS('Leave Management'!$L:$L,'Leave Management'!$C:$C,Detail!$A486,'Leave Management'!$B:$B,Detail!F$1)</f>
        <v>0</v>
      </c>
      <c r="G486" s="7">
        <f>SUMIFS('Leave Management'!$L:$L,'Leave Management'!$C:$C,Detail!$A486,'Leave Management'!$B:$B,Detail!G$1)</f>
        <v>0</v>
      </c>
      <c r="H486" s="7">
        <f>SUMIFS('Leave Management'!$L:$L,'Leave Management'!$C:$C,Detail!$A486,'Leave Management'!$B:$B,Detail!H$1)</f>
        <v>0</v>
      </c>
      <c r="I486" s="7">
        <f>SUMIFS('Leave Management'!$L:$L,'Leave Management'!$C:$C,Detail!$A486,'Leave Management'!$B:$B,Detail!I$1)</f>
        <v>0</v>
      </c>
      <c r="J486" s="7">
        <f>SUMIFS('Leave Management'!$L:$L,'Leave Management'!$C:$C,Detail!$A486,'Leave Management'!$B:$B,Detail!J$1)</f>
        <v>0</v>
      </c>
      <c r="K486" s="7">
        <f>SUMIFS('Leave Management'!$L:$L,'Leave Management'!$C:$C,Detail!$A486,'Leave Management'!$B:$B,Detail!K$1)</f>
        <v>0</v>
      </c>
      <c r="L486" s="7">
        <f>SUMIFS('Leave Management'!$L:$L,'Leave Management'!$C:$C,Detail!$A486,'Leave Management'!$B:$B,Detail!L$1)</f>
        <v>0</v>
      </c>
      <c r="M486" s="7">
        <f>SUMIFS('Leave Management'!$L:$L,'Leave Management'!$C:$C,Detail!$A486,'Leave Management'!$B:$B,Detail!M$1)</f>
        <v>0</v>
      </c>
      <c r="N486" s="7">
        <f>SUMIFS('Leave Management'!$L:$L,'Leave Management'!$C:$C,Detail!$A486,'Leave Management'!$B:$B,Detail!N$1)</f>
        <v>0</v>
      </c>
      <c r="O486" s="7">
        <f t="shared" si="18"/>
        <v>11</v>
      </c>
    </row>
    <row r="487" spans="1:15" x14ac:dyDescent="0.25">
      <c r="A487" s="24">
        <v>43585</v>
      </c>
      <c r="B487" s="2" t="str">
        <f t="shared" si="16"/>
        <v>Tue</v>
      </c>
      <c r="C487" s="7">
        <f>SUMIFS('Leave Management'!$L:$L,'Leave Management'!$C:$C,Detail!$A487,'Leave Management'!$B:$B,Detail!C$1)</f>
        <v>0</v>
      </c>
      <c r="D487" s="7">
        <f>SUMIFS('Leave Management'!$L:$L,'Leave Management'!$C:$C,Detail!$A487,'Leave Management'!$B:$B,Detail!D$1)</f>
        <v>0</v>
      </c>
      <c r="E487" s="7">
        <f>SUMIFS('Leave Management'!$L:$L,'Leave Management'!$C:$C,Detail!$A487,'Leave Management'!$B:$B,Detail!E$1)</f>
        <v>0</v>
      </c>
      <c r="F487" s="7">
        <f>SUMIFS('Leave Management'!$L:$L,'Leave Management'!$C:$C,Detail!$A487,'Leave Management'!$B:$B,Detail!F$1)</f>
        <v>0</v>
      </c>
      <c r="G487" s="7">
        <f>SUMIFS('Leave Management'!$L:$L,'Leave Management'!$C:$C,Detail!$A487,'Leave Management'!$B:$B,Detail!G$1)</f>
        <v>0</v>
      </c>
      <c r="H487" s="7">
        <f>SUMIFS('Leave Management'!$L:$L,'Leave Management'!$C:$C,Detail!$A487,'Leave Management'!$B:$B,Detail!H$1)</f>
        <v>0</v>
      </c>
      <c r="I487" s="7">
        <f>SUMIFS('Leave Management'!$L:$L,'Leave Management'!$C:$C,Detail!$A487,'Leave Management'!$B:$B,Detail!I$1)</f>
        <v>0</v>
      </c>
      <c r="J487" s="7">
        <f>SUMIFS('Leave Management'!$L:$L,'Leave Management'!$C:$C,Detail!$A487,'Leave Management'!$B:$B,Detail!J$1)</f>
        <v>0</v>
      </c>
      <c r="K487" s="7">
        <f>SUMIFS('Leave Management'!$L:$L,'Leave Management'!$C:$C,Detail!$A487,'Leave Management'!$B:$B,Detail!K$1)</f>
        <v>0</v>
      </c>
      <c r="L487" s="7">
        <f>SUMIFS('Leave Management'!$L:$L,'Leave Management'!$C:$C,Detail!$A487,'Leave Management'!$B:$B,Detail!L$1)</f>
        <v>0</v>
      </c>
      <c r="M487" s="7">
        <f>SUMIFS('Leave Management'!$L:$L,'Leave Management'!$C:$C,Detail!$A487,'Leave Management'!$B:$B,Detail!M$1)</f>
        <v>0</v>
      </c>
      <c r="N487" s="7">
        <f>SUMIFS('Leave Management'!$L:$L,'Leave Management'!$C:$C,Detail!$A487,'Leave Management'!$B:$B,Detail!N$1)</f>
        <v>0</v>
      </c>
      <c r="O487" s="7">
        <f t="shared" si="18"/>
        <v>11</v>
      </c>
    </row>
    <row r="488" spans="1:15" x14ac:dyDescent="0.25">
      <c r="A488" s="24">
        <v>43586</v>
      </c>
      <c r="B488" s="2" t="str">
        <f t="shared" si="16"/>
        <v>Wed</v>
      </c>
      <c r="C488" s="7">
        <f>SUMIFS('Leave Management'!$L:$L,'Leave Management'!$C:$C,Detail!$A488,'Leave Management'!$B:$B,Detail!C$1)</f>
        <v>0</v>
      </c>
      <c r="D488" s="7">
        <f>SUMIFS('Leave Management'!$L:$L,'Leave Management'!$C:$C,Detail!$A488,'Leave Management'!$B:$B,Detail!D$1)</f>
        <v>0</v>
      </c>
      <c r="E488" s="7">
        <f>SUMIFS('Leave Management'!$L:$L,'Leave Management'!$C:$C,Detail!$A488,'Leave Management'!$B:$B,Detail!E$1)</f>
        <v>0</v>
      </c>
      <c r="F488" s="7">
        <f>SUMIFS('Leave Management'!$L:$L,'Leave Management'!$C:$C,Detail!$A488,'Leave Management'!$B:$B,Detail!F$1)</f>
        <v>0</v>
      </c>
      <c r="G488" s="7">
        <f>SUMIFS('Leave Management'!$L:$L,'Leave Management'!$C:$C,Detail!$A488,'Leave Management'!$B:$B,Detail!G$1)</f>
        <v>0</v>
      </c>
      <c r="H488" s="7">
        <f>SUMIFS('Leave Management'!$L:$L,'Leave Management'!$C:$C,Detail!$A488,'Leave Management'!$B:$B,Detail!H$1)</f>
        <v>0</v>
      </c>
      <c r="I488" s="7">
        <f>SUMIFS('Leave Management'!$L:$L,'Leave Management'!$C:$C,Detail!$A488,'Leave Management'!$B:$B,Detail!I$1)</f>
        <v>0</v>
      </c>
      <c r="J488" s="7">
        <f>SUMIFS('Leave Management'!$L:$L,'Leave Management'!$C:$C,Detail!$A488,'Leave Management'!$B:$B,Detail!J$1)</f>
        <v>0</v>
      </c>
      <c r="K488" s="7">
        <f>SUMIFS('Leave Management'!$L:$L,'Leave Management'!$C:$C,Detail!$A488,'Leave Management'!$B:$B,Detail!K$1)</f>
        <v>0</v>
      </c>
      <c r="L488" s="7">
        <f>SUMIFS('Leave Management'!$L:$L,'Leave Management'!$C:$C,Detail!$A488,'Leave Management'!$B:$B,Detail!L$1)</f>
        <v>0</v>
      </c>
      <c r="M488" s="7">
        <f>SUMIFS('Leave Management'!$L:$L,'Leave Management'!$C:$C,Detail!$A488,'Leave Management'!$B:$B,Detail!M$1)</f>
        <v>0</v>
      </c>
      <c r="N488" s="7">
        <f>SUMIFS('Leave Management'!$L:$L,'Leave Management'!$C:$C,Detail!$A488,'Leave Management'!$B:$B,Detail!N$1)</f>
        <v>0</v>
      </c>
      <c r="O488" s="7">
        <f t="shared" si="18"/>
        <v>11</v>
      </c>
    </row>
    <row r="489" spans="1:15" x14ac:dyDescent="0.25">
      <c r="A489" s="24">
        <v>43587</v>
      </c>
      <c r="B489" s="2" t="str">
        <f t="shared" si="16"/>
        <v>Thu</v>
      </c>
      <c r="C489" s="7">
        <f>SUMIFS('Leave Management'!$L:$L,'Leave Management'!$C:$C,Detail!$A489,'Leave Management'!$B:$B,Detail!C$1)</f>
        <v>0</v>
      </c>
      <c r="D489" s="7">
        <f>SUMIFS('Leave Management'!$L:$L,'Leave Management'!$C:$C,Detail!$A489,'Leave Management'!$B:$B,Detail!D$1)</f>
        <v>0</v>
      </c>
      <c r="E489" s="7">
        <f>SUMIFS('Leave Management'!$L:$L,'Leave Management'!$C:$C,Detail!$A489,'Leave Management'!$B:$B,Detail!E$1)</f>
        <v>0</v>
      </c>
      <c r="F489" s="7">
        <f>SUMIFS('Leave Management'!$L:$L,'Leave Management'!$C:$C,Detail!$A489,'Leave Management'!$B:$B,Detail!F$1)</f>
        <v>0</v>
      </c>
      <c r="G489" s="7">
        <f>SUMIFS('Leave Management'!$L:$L,'Leave Management'!$C:$C,Detail!$A489,'Leave Management'!$B:$B,Detail!G$1)</f>
        <v>0</v>
      </c>
      <c r="H489" s="7">
        <f>SUMIFS('Leave Management'!$L:$L,'Leave Management'!$C:$C,Detail!$A489,'Leave Management'!$B:$B,Detail!H$1)</f>
        <v>0</v>
      </c>
      <c r="I489" s="7">
        <f>SUMIFS('Leave Management'!$L:$L,'Leave Management'!$C:$C,Detail!$A489,'Leave Management'!$B:$B,Detail!I$1)</f>
        <v>0</v>
      </c>
      <c r="J489" s="7">
        <f>SUMIFS('Leave Management'!$L:$L,'Leave Management'!$C:$C,Detail!$A489,'Leave Management'!$B:$B,Detail!J$1)</f>
        <v>0</v>
      </c>
      <c r="K489" s="7">
        <f>SUMIFS('Leave Management'!$L:$L,'Leave Management'!$C:$C,Detail!$A489,'Leave Management'!$B:$B,Detail!K$1)</f>
        <v>0</v>
      </c>
      <c r="L489" s="7">
        <f>SUMIFS('Leave Management'!$L:$L,'Leave Management'!$C:$C,Detail!$A489,'Leave Management'!$B:$B,Detail!L$1)</f>
        <v>0</v>
      </c>
      <c r="M489" s="7">
        <f>SUMIFS('Leave Management'!$L:$L,'Leave Management'!$C:$C,Detail!$A489,'Leave Management'!$B:$B,Detail!M$1)</f>
        <v>0</v>
      </c>
      <c r="N489" s="7">
        <f>SUMIFS('Leave Management'!$L:$L,'Leave Management'!$C:$C,Detail!$A489,'Leave Management'!$B:$B,Detail!N$1)</f>
        <v>0</v>
      </c>
      <c r="O489" s="7">
        <f t="shared" si="18"/>
        <v>11</v>
      </c>
    </row>
    <row r="490" spans="1:15" x14ac:dyDescent="0.25">
      <c r="A490" s="24">
        <v>43588</v>
      </c>
      <c r="B490" s="2" t="str">
        <f t="shared" si="16"/>
        <v>Fri</v>
      </c>
      <c r="C490" s="7">
        <f>SUMIFS('Leave Management'!$L:$L,'Leave Management'!$C:$C,Detail!$A490,'Leave Management'!$B:$B,Detail!C$1)</f>
        <v>0</v>
      </c>
      <c r="D490" s="7">
        <f>SUMIFS('Leave Management'!$L:$L,'Leave Management'!$C:$C,Detail!$A490,'Leave Management'!$B:$B,Detail!D$1)</f>
        <v>0</v>
      </c>
      <c r="E490" s="7">
        <f>SUMIFS('Leave Management'!$L:$L,'Leave Management'!$C:$C,Detail!$A490,'Leave Management'!$B:$B,Detail!E$1)</f>
        <v>0</v>
      </c>
      <c r="F490" s="7">
        <f>SUMIFS('Leave Management'!$L:$L,'Leave Management'!$C:$C,Detail!$A490,'Leave Management'!$B:$B,Detail!F$1)</f>
        <v>0</v>
      </c>
      <c r="G490" s="7">
        <f>SUMIFS('Leave Management'!$L:$L,'Leave Management'!$C:$C,Detail!$A490,'Leave Management'!$B:$B,Detail!G$1)</f>
        <v>0</v>
      </c>
      <c r="H490" s="7">
        <f>SUMIFS('Leave Management'!$L:$L,'Leave Management'!$C:$C,Detail!$A490,'Leave Management'!$B:$B,Detail!H$1)</f>
        <v>0</v>
      </c>
      <c r="I490" s="7">
        <f>SUMIFS('Leave Management'!$L:$L,'Leave Management'!$C:$C,Detail!$A490,'Leave Management'!$B:$B,Detail!I$1)</f>
        <v>0</v>
      </c>
      <c r="J490" s="7">
        <f>SUMIFS('Leave Management'!$L:$L,'Leave Management'!$C:$C,Detail!$A490,'Leave Management'!$B:$B,Detail!J$1)</f>
        <v>0</v>
      </c>
      <c r="K490" s="7">
        <f>SUMIFS('Leave Management'!$L:$L,'Leave Management'!$C:$C,Detail!$A490,'Leave Management'!$B:$B,Detail!K$1)</f>
        <v>0</v>
      </c>
      <c r="L490" s="7">
        <f>SUMIFS('Leave Management'!$L:$L,'Leave Management'!$C:$C,Detail!$A490,'Leave Management'!$B:$B,Detail!L$1)</f>
        <v>0</v>
      </c>
      <c r="M490" s="7">
        <f>SUMIFS('Leave Management'!$L:$L,'Leave Management'!$C:$C,Detail!$A490,'Leave Management'!$B:$B,Detail!M$1)</f>
        <v>0</v>
      </c>
      <c r="N490" s="7">
        <f>SUMIFS('Leave Management'!$L:$L,'Leave Management'!$C:$C,Detail!$A490,'Leave Management'!$B:$B,Detail!N$1)</f>
        <v>0</v>
      </c>
      <c r="O490" s="7">
        <f t="shared" si="18"/>
        <v>11</v>
      </c>
    </row>
    <row r="491" spans="1:15" x14ac:dyDescent="0.25">
      <c r="A491" s="24">
        <v>43589</v>
      </c>
      <c r="B491" s="2" t="str">
        <f t="shared" si="16"/>
        <v>Sat</v>
      </c>
      <c r="C491" s="7">
        <f>SUMIFS('Leave Management'!$L:$L,'Leave Management'!$C:$C,Detail!$A491,'Leave Management'!$B:$B,Detail!C$1)</f>
        <v>0</v>
      </c>
      <c r="D491" s="7">
        <f>SUMIFS('Leave Management'!$L:$L,'Leave Management'!$C:$C,Detail!$A491,'Leave Management'!$B:$B,Detail!D$1)</f>
        <v>0</v>
      </c>
      <c r="E491" s="7">
        <f>SUMIFS('Leave Management'!$L:$L,'Leave Management'!$C:$C,Detail!$A491,'Leave Management'!$B:$B,Detail!E$1)</f>
        <v>0</v>
      </c>
      <c r="F491" s="7">
        <f>SUMIFS('Leave Management'!$L:$L,'Leave Management'!$C:$C,Detail!$A491,'Leave Management'!$B:$B,Detail!F$1)</f>
        <v>0</v>
      </c>
      <c r="G491" s="7">
        <f>SUMIFS('Leave Management'!$L:$L,'Leave Management'!$C:$C,Detail!$A491,'Leave Management'!$B:$B,Detail!G$1)</f>
        <v>0</v>
      </c>
      <c r="H491" s="7">
        <f>SUMIFS('Leave Management'!$L:$L,'Leave Management'!$C:$C,Detail!$A491,'Leave Management'!$B:$B,Detail!H$1)</f>
        <v>0</v>
      </c>
      <c r="I491" s="7">
        <f>SUMIFS('Leave Management'!$L:$L,'Leave Management'!$C:$C,Detail!$A491,'Leave Management'!$B:$B,Detail!I$1)</f>
        <v>0</v>
      </c>
      <c r="J491" s="7">
        <f>SUMIFS('Leave Management'!$L:$L,'Leave Management'!$C:$C,Detail!$A491,'Leave Management'!$B:$B,Detail!J$1)</f>
        <v>0</v>
      </c>
      <c r="K491" s="7">
        <f>SUMIFS('Leave Management'!$L:$L,'Leave Management'!$C:$C,Detail!$A491,'Leave Management'!$B:$B,Detail!K$1)</f>
        <v>0</v>
      </c>
      <c r="L491" s="7">
        <f>SUMIFS('Leave Management'!$L:$L,'Leave Management'!$C:$C,Detail!$A491,'Leave Management'!$B:$B,Detail!L$1)</f>
        <v>0</v>
      </c>
      <c r="M491" s="7">
        <f>SUMIFS('Leave Management'!$L:$L,'Leave Management'!$C:$C,Detail!$A491,'Leave Management'!$B:$B,Detail!M$1)</f>
        <v>0</v>
      </c>
      <c r="N491" s="7">
        <f>SUMIFS('Leave Management'!$L:$L,'Leave Management'!$C:$C,Detail!$A491,'Leave Management'!$B:$B,Detail!N$1)</f>
        <v>0</v>
      </c>
      <c r="O491" s="7">
        <f t="shared" si="18"/>
        <v>11</v>
      </c>
    </row>
    <row r="492" spans="1:15" x14ac:dyDescent="0.25">
      <c r="A492" s="24">
        <v>43590</v>
      </c>
      <c r="B492" s="2" t="str">
        <f t="shared" si="16"/>
        <v>Sun</v>
      </c>
      <c r="C492" s="7">
        <f>SUMIFS('Leave Management'!$L:$L,'Leave Management'!$C:$C,Detail!$A492,'Leave Management'!$B:$B,Detail!C$1)</f>
        <v>0</v>
      </c>
      <c r="D492" s="7">
        <f>SUMIFS('Leave Management'!$L:$L,'Leave Management'!$C:$C,Detail!$A492,'Leave Management'!$B:$B,Detail!D$1)</f>
        <v>0</v>
      </c>
      <c r="E492" s="7">
        <f>SUMIFS('Leave Management'!$L:$L,'Leave Management'!$C:$C,Detail!$A492,'Leave Management'!$B:$B,Detail!E$1)</f>
        <v>0</v>
      </c>
      <c r="F492" s="7">
        <f>SUMIFS('Leave Management'!$L:$L,'Leave Management'!$C:$C,Detail!$A492,'Leave Management'!$B:$B,Detail!F$1)</f>
        <v>0</v>
      </c>
      <c r="G492" s="7">
        <f>SUMIFS('Leave Management'!$L:$L,'Leave Management'!$C:$C,Detail!$A492,'Leave Management'!$B:$B,Detail!G$1)</f>
        <v>0</v>
      </c>
      <c r="H492" s="7">
        <f>SUMIFS('Leave Management'!$L:$L,'Leave Management'!$C:$C,Detail!$A492,'Leave Management'!$B:$B,Detail!H$1)</f>
        <v>0</v>
      </c>
      <c r="I492" s="7">
        <f>SUMIFS('Leave Management'!$L:$L,'Leave Management'!$C:$C,Detail!$A492,'Leave Management'!$B:$B,Detail!I$1)</f>
        <v>0</v>
      </c>
      <c r="J492" s="7">
        <f>SUMIFS('Leave Management'!$L:$L,'Leave Management'!$C:$C,Detail!$A492,'Leave Management'!$B:$B,Detail!J$1)</f>
        <v>0</v>
      </c>
      <c r="K492" s="7">
        <f>SUMIFS('Leave Management'!$L:$L,'Leave Management'!$C:$C,Detail!$A492,'Leave Management'!$B:$B,Detail!K$1)</f>
        <v>0</v>
      </c>
      <c r="L492" s="7">
        <f>SUMIFS('Leave Management'!$L:$L,'Leave Management'!$C:$C,Detail!$A492,'Leave Management'!$B:$B,Detail!L$1)</f>
        <v>0</v>
      </c>
      <c r="M492" s="7">
        <f>SUMIFS('Leave Management'!$L:$L,'Leave Management'!$C:$C,Detail!$A492,'Leave Management'!$B:$B,Detail!M$1)</f>
        <v>0</v>
      </c>
      <c r="N492" s="7">
        <f>SUMIFS('Leave Management'!$L:$L,'Leave Management'!$C:$C,Detail!$A492,'Leave Management'!$B:$B,Detail!N$1)</f>
        <v>0</v>
      </c>
      <c r="O492" s="7">
        <f t="shared" si="18"/>
        <v>11</v>
      </c>
    </row>
    <row r="493" spans="1:15" x14ac:dyDescent="0.25">
      <c r="A493" s="24">
        <v>43591</v>
      </c>
      <c r="B493" s="2" t="str">
        <f t="shared" si="16"/>
        <v>Mon</v>
      </c>
      <c r="C493" s="7">
        <f>SUMIFS('Leave Management'!$L:$L,'Leave Management'!$C:$C,Detail!$A493,'Leave Management'!$B:$B,Detail!C$1)</f>
        <v>0</v>
      </c>
      <c r="D493" s="7">
        <f>SUMIFS('Leave Management'!$L:$L,'Leave Management'!$C:$C,Detail!$A493,'Leave Management'!$B:$B,Detail!D$1)</f>
        <v>0</v>
      </c>
      <c r="E493" s="7">
        <f>SUMIFS('Leave Management'!$L:$L,'Leave Management'!$C:$C,Detail!$A493,'Leave Management'!$B:$B,Detail!E$1)</f>
        <v>0</v>
      </c>
      <c r="F493" s="7">
        <f>SUMIFS('Leave Management'!$L:$L,'Leave Management'!$C:$C,Detail!$A493,'Leave Management'!$B:$B,Detail!F$1)</f>
        <v>0</v>
      </c>
      <c r="G493" s="7">
        <f>SUMIFS('Leave Management'!$L:$L,'Leave Management'!$C:$C,Detail!$A493,'Leave Management'!$B:$B,Detail!G$1)</f>
        <v>0</v>
      </c>
      <c r="H493" s="7">
        <f>SUMIFS('Leave Management'!$L:$L,'Leave Management'!$C:$C,Detail!$A493,'Leave Management'!$B:$B,Detail!H$1)</f>
        <v>0</v>
      </c>
      <c r="I493" s="7">
        <f>SUMIFS('Leave Management'!$L:$L,'Leave Management'!$C:$C,Detail!$A493,'Leave Management'!$B:$B,Detail!I$1)</f>
        <v>0</v>
      </c>
      <c r="J493" s="7">
        <f>SUMIFS('Leave Management'!$L:$L,'Leave Management'!$C:$C,Detail!$A493,'Leave Management'!$B:$B,Detail!J$1)</f>
        <v>0</v>
      </c>
      <c r="K493" s="7">
        <f>SUMIFS('Leave Management'!$L:$L,'Leave Management'!$C:$C,Detail!$A493,'Leave Management'!$B:$B,Detail!K$1)</f>
        <v>0</v>
      </c>
      <c r="L493" s="7">
        <f>SUMIFS('Leave Management'!$L:$L,'Leave Management'!$C:$C,Detail!$A493,'Leave Management'!$B:$B,Detail!L$1)</f>
        <v>0</v>
      </c>
      <c r="M493" s="7">
        <f>SUMIFS('Leave Management'!$L:$L,'Leave Management'!$C:$C,Detail!$A493,'Leave Management'!$B:$B,Detail!M$1)</f>
        <v>0</v>
      </c>
      <c r="N493" s="7">
        <f>SUMIFS('Leave Management'!$L:$L,'Leave Management'!$C:$C,Detail!$A493,'Leave Management'!$B:$B,Detail!N$1)</f>
        <v>0</v>
      </c>
      <c r="O493" s="7">
        <f t="shared" si="18"/>
        <v>11</v>
      </c>
    </row>
    <row r="494" spans="1:15" x14ac:dyDescent="0.25">
      <c r="A494" s="24">
        <v>43592</v>
      </c>
      <c r="B494" s="2" t="str">
        <f t="shared" si="16"/>
        <v>Tue</v>
      </c>
      <c r="C494" s="7">
        <f>SUMIFS('Leave Management'!$L:$L,'Leave Management'!$C:$C,Detail!$A494,'Leave Management'!$B:$B,Detail!C$1)</f>
        <v>0</v>
      </c>
      <c r="D494" s="7">
        <f>SUMIFS('Leave Management'!$L:$L,'Leave Management'!$C:$C,Detail!$A494,'Leave Management'!$B:$B,Detail!D$1)</f>
        <v>0</v>
      </c>
      <c r="E494" s="7">
        <f>SUMIFS('Leave Management'!$L:$L,'Leave Management'!$C:$C,Detail!$A494,'Leave Management'!$B:$B,Detail!E$1)</f>
        <v>0</v>
      </c>
      <c r="F494" s="7">
        <f>SUMIFS('Leave Management'!$L:$L,'Leave Management'!$C:$C,Detail!$A494,'Leave Management'!$B:$B,Detail!F$1)</f>
        <v>0</v>
      </c>
      <c r="G494" s="7">
        <f>SUMIFS('Leave Management'!$L:$L,'Leave Management'!$C:$C,Detail!$A494,'Leave Management'!$B:$B,Detail!G$1)</f>
        <v>0</v>
      </c>
      <c r="H494" s="7">
        <f>SUMIFS('Leave Management'!$L:$L,'Leave Management'!$C:$C,Detail!$A494,'Leave Management'!$B:$B,Detail!H$1)</f>
        <v>0</v>
      </c>
      <c r="I494" s="7">
        <f>SUMIFS('Leave Management'!$L:$L,'Leave Management'!$C:$C,Detail!$A494,'Leave Management'!$B:$B,Detail!I$1)</f>
        <v>0</v>
      </c>
      <c r="J494" s="7">
        <f>SUMIFS('Leave Management'!$L:$L,'Leave Management'!$C:$C,Detail!$A494,'Leave Management'!$B:$B,Detail!J$1)</f>
        <v>0</v>
      </c>
      <c r="K494" s="7">
        <f>SUMIFS('Leave Management'!$L:$L,'Leave Management'!$C:$C,Detail!$A494,'Leave Management'!$B:$B,Detail!K$1)</f>
        <v>0</v>
      </c>
      <c r="L494" s="7">
        <f>SUMIFS('Leave Management'!$L:$L,'Leave Management'!$C:$C,Detail!$A494,'Leave Management'!$B:$B,Detail!L$1)</f>
        <v>0</v>
      </c>
      <c r="M494" s="7">
        <f>SUMIFS('Leave Management'!$L:$L,'Leave Management'!$C:$C,Detail!$A494,'Leave Management'!$B:$B,Detail!M$1)</f>
        <v>0</v>
      </c>
      <c r="N494" s="7">
        <f>SUMIFS('Leave Management'!$L:$L,'Leave Management'!$C:$C,Detail!$A494,'Leave Management'!$B:$B,Detail!N$1)</f>
        <v>0</v>
      </c>
      <c r="O494" s="7">
        <f t="shared" si="18"/>
        <v>11</v>
      </c>
    </row>
    <row r="495" spans="1:15" x14ac:dyDescent="0.25">
      <c r="A495" s="24">
        <v>43593</v>
      </c>
      <c r="B495" s="2" t="str">
        <f t="shared" si="16"/>
        <v>Wed</v>
      </c>
      <c r="C495" s="7">
        <f>SUMIFS('Leave Management'!$L:$L,'Leave Management'!$C:$C,Detail!$A495,'Leave Management'!$B:$B,Detail!C$1)</f>
        <v>0</v>
      </c>
      <c r="D495" s="7">
        <f>SUMIFS('Leave Management'!$L:$L,'Leave Management'!$C:$C,Detail!$A495,'Leave Management'!$B:$B,Detail!D$1)</f>
        <v>0</v>
      </c>
      <c r="E495" s="7">
        <f>SUMIFS('Leave Management'!$L:$L,'Leave Management'!$C:$C,Detail!$A495,'Leave Management'!$B:$B,Detail!E$1)</f>
        <v>0</v>
      </c>
      <c r="F495" s="7">
        <f>SUMIFS('Leave Management'!$L:$L,'Leave Management'!$C:$C,Detail!$A495,'Leave Management'!$B:$B,Detail!F$1)</f>
        <v>0</v>
      </c>
      <c r="G495" s="7">
        <f>SUMIFS('Leave Management'!$L:$L,'Leave Management'!$C:$C,Detail!$A495,'Leave Management'!$B:$B,Detail!G$1)</f>
        <v>0</v>
      </c>
      <c r="H495" s="7">
        <f>SUMIFS('Leave Management'!$L:$L,'Leave Management'!$C:$C,Detail!$A495,'Leave Management'!$B:$B,Detail!H$1)</f>
        <v>0</v>
      </c>
      <c r="I495" s="7">
        <f>SUMIFS('Leave Management'!$L:$L,'Leave Management'!$C:$C,Detail!$A495,'Leave Management'!$B:$B,Detail!I$1)</f>
        <v>0</v>
      </c>
      <c r="J495" s="7">
        <f>SUMIFS('Leave Management'!$L:$L,'Leave Management'!$C:$C,Detail!$A495,'Leave Management'!$B:$B,Detail!J$1)</f>
        <v>0</v>
      </c>
      <c r="K495" s="7">
        <f>SUMIFS('Leave Management'!$L:$L,'Leave Management'!$C:$C,Detail!$A495,'Leave Management'!$B:$B,Detail!K$1)</f>
        <v>0</v>
      </c>
      <c r="L495" s="7">
        <f>SUMIFS('Leave Management'!$L:$L,'Leave Management'!$C:$C,Detail!$A495,'Leave Management'!$B:$B,Detail!L$1)</f>
        <v>0</v>
      </c>
      <c r="M495" s="7">
        <f>SUMIFS('Leave Management'!$L:$L,'Leave Management'!$C:$C,Detail!$A495,'Leave Management'!$B:$B,Detail!M$1)</f>
        <v>0</v>
      </c>
      <c r="N495" s="7">
        <f>SUMIFS('Leave Management'!$L:$L,'Leave Management'!$C:$C,Detail!$A495,'Leave Management'!$B:$B,Detail!N$1)</f>
        <v>0</v>
      </c>
      <c r="O495" s="7">
        <f t="shared" si="18"/>
        <v>11</v>
      </c>
    </row>
    <row r="496" spans="1:15" x14ac:dyDescent="0.25">
      <c r="A496" s="24">
        <v>43594</v>
      </c>
      <c r="B496" s="2" t="str">
        <f t="shared" ref="B496:B559" si="19">CHOOSE(WEEKDAY(A496),"Sun","Mon","Tue","Wed","Thu","Fri","Sat")</f>
        <v>Thu</v>
      </c>
      <c r="C496" s="7">
        <f>SUMIFS('Leave Management'!$L:$L,'Leave Management'!$C:$C,Detail!$A496,'Leave Management'!$B:$B,Detail!C$1)</f>
        <v>0</v>
      </c>
      <c r="D496" s="7">
        <f>SUMIFS('Leave Management'!$L:$L,'Leave Management'!$C:$C,Detail!$A496,'Leave Management'!$B:$B,Detail!D$1)</f>
        <v>0</v>
      </c>
      <c r="E496" s="7">
        <f>SUMIFS('Leave Management'!$L:$L,'Leave Management'!$C:$C,Detail!$A496,'Leave Management'!$B:$B,Detail!E$1)</f>
        <v>0</v>
      </c>
      <c r="F496" s="7">
        <f>SUMIFS('Leave Management'!$L:$L,'Leave Management'!$C:$C,Detail!$A496,'Leave Management'!$B:$B,Detail!F$1)</f>
        <v>0</v>
      </c>
      <c r="G496" s="7">
        <f>SUMIFS('Leave Management'!$L:$L,'Leave Management'!$C:$C,Detail!$A496,'Leave Management'!$B:$B,Detail!G$1)</f>
        <v>0</v>
      </c>
      <c r="H496" s="7">
        <f>SUMIFS('Leave Management'!$L:$L,'Leave Management'!$C:$C,Detail!$A496,'Leave Management'!$B:$B,Detail!H$1)</f>
        <v>0</v>
      </c>
      <c r="I496" s="7">
        <f>SUMIFS('Leave Management'!$L:$L,'Leave Management'!$C:$C,Detail!$A496,'Leave Management'!$B:$B,Detail!I$1)</f>
        <v>1</v>
      </c>
      <c r="J496" s="7">
        <f>SUMIFS('Leave Management'!$L:$L,'Leave Management'!$C:$C,Detail!$A496,'Leave Management'!$B:$B,Detail!J$1)</f>
        <v>0</v>
      </c>
      <c r="K496" s="7">
        <f>SUMIFS('Leave Management'!$L:$L,'Leave Management'!$C:$C,Detail!$A496,'Leave Management'!$B:$B,Detail!K$1)</f>
        <v>0</v>
      </c>
      <c r="L496" s="7">
        <f>SUMIFS('Leave Management'!$L:$L,'Leave Management'!$C:$C,Detail!$A496,'Leave Management'!$B:$B,Detail!L$1)</f>
        <v>0</v>
      </c>
      <c r="M496" s="7">
        <f>SUMIFS('Leave Management'!$L:$L,'Leave Management'!$C:$C,Detail!$A496,'Leave Management'!$B:$B,Detail!M$1)</f>
        <v>0</v>
      </c>
      <c r="N496" s="7">
        <f>SUMIFS('Leave Management'!$L:$L,'Leave Management'!$C:$C,Detail!$A496,'Leave Management'!$B:$B,Detail!N$1)</f>
        <v>0</v>
      </c>
      <c r="O496" s="7">
        <f t="shared" si="18"/>
        <v>10</v>
      </c>
    </row>
    <row r="497" spans="1:15" x14ac:dyDescent="0.25">
      <c r="A497" s="24">
        <v>43595</v>
      </c>
      <c r="B497" s="2" t="str">
        <f t="shared" si="19"/>
        <v>Fri</v>
      </c>
      <c r="C497" s="7">
        <f>SUMIFS('Leave Management'!$L:$L,'Leave Management'!$C:$C,Detail!$A497,'Leave Management'!$B:$B,Detail!C$1)</f>
        <v>0</v>
      </c>
      <c r="D497" s="7">
        <f>SUMIFS('Leave Management'!$L:$L,'Leave Management'!$C:$C,Detail!$A497,'Leave Management'!$B:$B,Detail!D$1)</f>
        <v>0</v>
      </c>
      <c r="E497" s="7">
        <f>SUMIFS('Leave Management'!$L:$L,'Leave Management'!$C:$C,Detail!$A497,'Leave Management'!$B:$B,Detail!E$1)</f>
        <v>0</v>
      </c>
      <c r="F497" s="7">
        <f>SUMIFS('Leave Management'!$L:$L,'Leave Management'!$C:$C,Detail!$A497,'Leave Management'!$B:$B,Detail!F$1)</f>
        <v>0</v>
      </c>
      <c r="G497" s="7">
        <f>SUMIFS('Leave Management'!$L:$L,'Leave Management'!$C:$C,Detail!$A497,'Leave Management'!$B:$B,Detail!G$1)</f>
        <v>0</v>
      </c>
      <c r="H497" s="7">
        <f>SUMIFS('Leave Management'!$L:$L,'Leave Management'!$C:$C,Detail!$A497,'Leave Management'!$B:$B,Detail!H$1)</f>
        <v>1</v>
      </c>
      <c r="I497" s="7">
        <f>SUMIFS('Leave Management'!$L:$L,'Leave Management'!$C:$C,Detail!$A497,'Leave Management'!$B:$B,Detail!I$1)</f>
        <v>1</v>
      </c>
      <c r="J497" s="7">
        <f>SUMIFS('Leave Management'!$L:$L,'Leave Management'!$C:$C,Detail!$A497,'Leave Management'!$B:$B,Detail!J$1)</f>
        <v>0</v>
      </c>
      <c r="K497" s="7">
        <f>SUMIFS('Leave Management'!$L:$L,'Leave Management'!$C:$C,Detail!$A497,'Leave Management'!$B:$B,Detail!K$1)</f>
        <v>0</v>
      </c>
      <c r="L497" s="7">
        <f>SUMIFS('Leave Management'!$L:$L,'Leave Management'!$C:$C,Detail!$A497,'Leave Management'!$B:$B,Detail!L$1)</f>
        <v>0</v>
      </c>
      <c r="M497" s="7">
        <f>SUMIFS('Leave Management'!$L:$L,'Leave Management'!$C:$C,Detail!$A497,'Leave Management'!$B:$B,Detail!M$1)</f>
        <v>0</v>
      </c>
      <c r="N497" s="7">
        <f>SUMIFS('Leave Management'!$L:$L,'Leave Management'!$C:$C,Detail!$A497,'Leave Management'!$B:$B,Detail!N$1)</f>
        <v>0</v>
      </c>
      <c r="O497" s="7">
        <f t="shared" si="18"/>
        <v>9</v>
      </c>
    </row>
    <row r="498" spans="1:15" x14ac:dyDescent="0.25">
      <c r="A498" s="24">
        <v>43596</v>
      </c>
      <c r="B498" s="2" t="str">
        <f t="shared" si="19"/>
        <v>Sat</v>
      </c>
      <c r="C498" s="7">
        <f>SUMIFS('Leave Management'!$L:$L,'Leave Management'!$C:$C,Detail!$A498,'Leave Management'!$B:$B,Detail!C$1)</f>
        <v>0</v>
      </c>
      <c r="D498" s="7">
        <f>SUMIFS('Leave Management'!$L:$L,'Leave Management'!$C:$C,Detail!$A498,'Leave Management'!$B:$B,Detail!D$1)</f>
        <v>0</v>
      </c>
      <c r="E498" s="7">
        <f>SUMIFS('Leave Management'!$L:$L,'Leave Management'!$C:$C,Detail!$A498,'Leave Management'!$B:$B,Detail!E$1)</f>
        <v>0</v>
      </c>
      <c r="F498" s="7">
        <f>SUMIFS('Leave Management'!$L:$L,'Leave Management'!$C:$C,Detail!$A498,'Leave Management'!$B:$B,Detail!F$1)</f>
        <v>0</v>
      </c>
      <c r="G498" s="7">
        <f>SUMIFS('Leave Management'!$L:$L,'Leave Management'!$C:$C,Detail!$A498,'Leave Management'!$B:$B,Detail!G$1)</f>
        <v>0</v>
      </c>
      <c r="H498" s="7">
        <f>SUMIFS('Leave Management'!$L:$L,'Leave Management'!$C:$C,Detail!$A498,'Leave Management'!$B:$B,Detail!H$1)</f>
        <v>0</v>
      </c>
      <c r="I498" s="7">
        <f>SUMIFS('Leave Management'!$L:$L,'Leave Management'!$C:$C,Detail!$A498,'Leave Management'!$B:$B,Detail!I$1)</f>
        <v>0</v>
      </c>
      <c r="J498" s="7">
        <f>SUMIFS('Leave Management'!$L:$L,'Leave Management'!$C:$C,Detail!$A498,'Leave Management'!$B:$B,Detail!J$1)</f>
        <v>0</v>
      </c>
      <c r="K498" s="7">
        <f>SUMIFS('Leave Management'!$L:$L,'Leave Management'!$C:$C,Detail!$A498,'Leave Management'!$B:$B,Detail!K$1)</f>
        <v>0</v>
      </c>
      <c r="L498" s="7">
        <f>SUMIFS('Leave Management'!$L:$L,'Leave Management'!$C:$C,Detail!$A498,'Leave Management'!$B:$B,Detail!L$1)</f>
        <v>0</v>
      </c>
      <c r="M498" s="7">
        <f>SUMIFS('Leave Management'!$L:$L,'Leave Management'!$C:$C,Detail!$A498,'Leave Management'!$B:$B,Detail!M$1)</f>
        <v>0</v>
      </c>
      <c r="N498" s="7">
        <f>SUMIFS('Leave Management'!$L:$L,'Leave Management'!$C:$C,Detail!$A498,'Leave Management'!$B:$B,Detail!N$1)</f>
        <v>0</v>
      </c>
      <c r="O498" s="7">
        <f t="shared" si="18"/>
        <v>11</v>
      </c>
    </row>
    <row r="499" spans="1:15" x14ac:dyDescent="0.25">
      <c r="A499" s="24">
        <v>43597</v>
      </c>
      <c r="B499" s="2" t="str">
        <f t="shared" si="19"/>
        <v>Sun</v>
      </c>
      <c r="C499" s="7">
        <f>SUMIFS('Leave Management'!$L:$L,'Leave Management'!$C:$C,Detail!$A499,'Leave Management'!$B:$B,Detail!C$1)</f>
        <v>0</v>
      </c>
      <c r="D499" s="7">
        <f>SUMIFS('Leave Management'!$L:$L,'Leave Management'!$C:$C,Detail!$A499,'Leave Management'!$B:$B,Detail!D$1)</f>
        <v>0</v>
      </c>
      <c r="E499" s="7">
        <f>SUMIFS('Leave Management'!$L:$L,'Leave Management'!$C:$C,Detail!$A499,'Leave Management'!$B:$B,Detail!E$1)</f>
        <v>0</v>
      </c>
      <c r="F499" s="7">
        <f>SUMIFS('Leave Management'!$L:$L,'Leave Management'!$C:$C,Detail!$A499,'Leave Management'!$B:$B,Detail!F$1)</f>
        <v>0</v>
      </c>
      <c r="G499" s="7">
        <f>SUMIFS('Leave Management'!$L:$L,'Leave Management'!$C:$C,Detail!$A499,'Leave Management'!$B:$B,Detail!G$1)</f>
        <v>0</v>
      </c>
      <c r="H499" s="7">
        <f>SUMIFS('Leave Management'!$L:$L,'Leave Management'!$C:$C,Detail!$A499,'Leave Management'!$B:$B,Detail!H$1)</f>
        <v>0</v>
      </c>
      <c r="I499" s="7">
        <f>SUMIFS('Leave Management'!$L:$L,'Leave Management'!$C:$C,Detail!$A499,'Leave Management'!$B:$B,Detail!I$1)</f>
        <v>0</v>
      </c>
      <c r="J499" s="7">
        <f>SUMIFS('Leave Management'!$L:$L,'Leave Management'!$C:$C,Detail!$A499,'Leave Management'!$B:$B,Detail!J$1)</f>
        <v>0</v>
      </c>
      <c r="K499" s="7">
        <f>SUMIFS('Leave Management'!$L:$L,'Leave Management'!$C:$C,Detail!$A499,'Leave Management'!$B:$B,Detail!K$1)</f>
        <v>0</v>
      </c>
      <c r="L499" s="7">
        <f>SUMIFS('Leave Management'!$L:$L,'Leave Management'!$C:$C,Detail!$A499,'Leave Management'!$B:$B,Detail!L$1)</f>
        <v>0</v>
      </c>
      <c r="M499" s="7">
        <f>SUMIFS('Leave Management'!$L:$L,'Leave Management'!$C:$C,Detail!$A499,'Leave Management'!$B:$B,Detail!M$1)</f>
        <v>0</v>
      </c>
      <c r="N499" s="7">
        <f>SUMIFS('Leave Management'!$L:$L,'Leave Management'!$C:$C,Detail!$A499,'Leave Management'!$B:$B,Detail!N$1)</f>
        <v>0</v>
      </c>
      <c r="O499" s="7">
        <f t="shared" si="18"/>
        <v>11</v>
      </c>
    </row>
    <row r="500" spans="1:15" x14ac:dyDescent="0.25">
      <c r="A500" s="24">
        <v>43598</v>
      </c>
      <c r="B500" s="2" t="str">
        <f t="shared" si="19"/>
        <v>Mon</v>
      </c>
      <c r="C500" s="7">
        <f>SUMIFS('Leave Management'!$L:$L,'Leave Management'!$C:$C,Detail!$A500,'Leave Management'!$B:$B,Detail!C$1)</f>
        <v>0</v>
      </c>
      <c r="D500" s="7">
        <f>SUMIFS('Leave Management'!$L:$L,'Leave Management'!$C:$C,Detail!$A500,'Leave Management'!$B:$B,Detail!D$1)</f>
        <v>0</v>
      </c>
      <c r="E500" s="7">
        <f>SUMIFS('Leave Management'!$L:$L,'Leave Management'!$C:$C,Detail!$A500,'Leave Management'!$B:$B,Detail!E$1)</f>
        <v>1</v>
      </c>
      <c r="F500" s="7">
        <f>SUMIFS('Leave Management'!$L:$L,'Leave Management'!$C:$C,Detail!$A500,'Leave Management'!$B:$B,Detail!F$1)</f>
        <v>1</v>
      </c>
      <c r="G500" s="7">
        <f>SUMIFS('Leave Management'!$L:$L,'Leave Management'!$C:$C,Detail!$A500,'Leave Management'!$B:$B,Detail!G$1)</f>
        <v>0</v>
      </c>
      <c r="H500" s="7">
        <f>SUMIFS('Leave Management'!$L:$L,'Leave Management'!$C:$C,Detail!$A500,'Leave Management'!$B:$B,Detail!H$1)</f>
        <v>0</v>
      </c>
      <c r="I500" s="7">
        <f>SUMIFS('Leave Management'!$L:$L,'Leave Management'!$C:$C,Detail!$A500,'Leave Management'!$B:$B,Detail!I$1)</f>
        <v>0</v>
      </c>
      <c r="J500" s="7">
        <f>SUMIFS('Leave Management'!$L:$L,'Leave Management'!$C:$C,Detail!$A500,'Leave Management'!$B:$B,Detail!J$1)</f>
        <v>0</v>
      </c>
      <c r="K500" s="7">
        <f>SUMIFS('Leave Management'!$L:$L,'Leave Management'!$C:$C,Detail!$A500,'Leave Management'!$B:$B,Detail!K$1)</f>
        <v>0</v>
      </c>
      <c r="L500" s="7">
        <f>SUMIFS('Leave Management'!$L:$L,'Leave Management'!$C:$C,Detail!$A500,'Leave Management'!$B:$B,Detail!L$1)</f>
        <v>0</v>
      </c>
      <c r="M500" s="7">
        <f>SUMIFS('Leave Management'!$L:$L,'Leave Management'!$C:$C,Detail!$A500,'Leave Management'!$B:$B,Detail!M$1)</f>
        <v>0</v>
      </c>
      <c r="N500" s="7">
        <f>SUMIFS('Leave Management'!$L:$L,'Leave Management'!$C:$C,Detail!$A500,'Leave Management'!$B:$B,Detail!N$1)</f>
        <v>0</v>
      </c>
      <c r="O500" s="7">
        <f t="shared" si="18"/>
        <v>9</v>
      </c>
    </row>
    <row r="501" spans="1:15" x14ac:dyDescent="0.25">
      <c r="A501" s="24">
        <v>43599</v>
      </c>
      <c r="B501" s="2" t="str">
        <f t="shared" si="19"/>
        <v>Tue</v>
      </c>
      <c r="C501" s="7">
        <f>SUMIFS('Leave Management'!$L:$L,'Leave Management'!$C:$C,Detail!$A501,'Leave Management'!$B:$B,Detail!C$1)</f>
        <v>0</v>
      </c>
      <c r="D501" s="7">
        <f>SUMIFS('Leave Management'!$L:$L,'Leave Management'!$C:$C,Detail!$A501,'Leave Management'!$B:$B,Detail!D$1)</f>
        <v>0</v>
      </c>
      <c r="E501" s="7">
        <f>SUMIFS('Leave Management'!$L:$L,'Leave Management'!$C:$C,Detail!$A501,'Leave Management'!$B:$B,Detail!E$1)</f>
        <v>1</v>
      </c>
      <c r="F501" s="7">
        <f>SUMIFS('Leave Management'!$L:$L,'Leave Management'!$C:$C,Detail!$A501,'Leave Management'!$B:$B,Detail!F$1)</f>
        <v>1</v>
      </c>
      <c r="G501" s="7">
        <f>SUMIFS('Leave Management'!$L:$L,'Leave Management'!$C:$C,Detail!$A501,'Leave Management'!$B:$B,Detail!G$1)</f>
        <v>0</v>
      </c>
      <c r="H501" s="7">
        <f>SUMIFS('Leave Management'!$L:$L,'Leave Management'!$C:$C,Detail!$A501,'Leave Management'!$B:$B,Detail!H$1)</f>
        <v>0</v>
      </c>
      <c r="I501" s="7">
        <f>SUMIFS('Leave Management'!$L:$L,'Leave Management'!$C:$C,Detail!$A501,'Leave Management'!$B:$B,Detail!I$1)</f>
        <v>0</v>
      </c>
      <c r="J501" s="7">
        <f>SUMIFS('Leave Management'!$L:$L,'Leave Management'!$C:$C,Detail!$A501,'Leave Management'!$B:$B,Detail!J$1)</f>
        <v>0</v>
      </c>
      <c r="K501" s="7">
        <f>SUMIFS('Leave Management'!$L:$L,'Leave Management'!$C:$C,Detail!$A501,'Leave Management'!$B:$B,Detail!K$1)</f>
        <v>0</v>
      </c>
      <c r="L501" s="7">
        <f>SUMIFS('Leave Management'!$L:$L,'Leave Management'!$C:$C,Detail!$A501,'Leave Management'!$B:$B,Detail!L$1)</f>
        <v>0</v>
      </c>
      <c r="M501" s="7">
        <f>SUMIFS('Leave Management'!$L:$L,'Leave Management'!$C:$C,Detail!$A501,'Leave Management'!$B:$B,Detail!M$1)</f>
        <v>0</v>
      </c>
      <c r="N501" s="7">
        <f>SUMIFS('Leave Management'!$L:$L,'Leave Management'!$C:$C,Detail!$A501,'Leave Management'!$B:$B,Detail!N$1)</f>
        <v>0</v>
      </c>
      <c r="O501" s="7">
        <f t="shared" si="18"/>
        <v>9</v>
      </c>
    </row>
    <row r="502" spans="1:15" x14ac:dyDescent="0.25">
      <c r="A502" s="24">
        <v>43600</v>
      </c>
      <c r="B502" s="2" t="str">
        <f t="shared" si="19"/>
        <v>Wed</v>
      </c>
      <c r="C502" s="7">
        <f>SUMIFS('Leave Management'!$L:$L,'Leave Management'!$C:$C,Detail!$A502,'Leave Management'!$B:$B,Detail!C$1)</f>
        <v>0</v>
      </c>
      <c r="D502" s="7">
        <f>SUMIFS('Leave Management'!$L:$L,'Leave Management'!$C:$C,Detail!$A502,'Leave Management'!$B:$B,Detail!D$1)</f>
        <v>0</v>
      </c>
      <c r="E502" s="7">
        <f>SUMIFS('Leave Management'!$L:$L,'Leave Management'!$C:$C,Detail!$A502,'Leave Management'!$B:$B,Detail!E$1)</f>
        <v>0</v>
      </c>
      <c r="F502" s="7">
        <f>SUMIFS('Leave Management'!$L:$L,'Leave Management'!$C:$C,Detail!$A502,'Leave Management'!$B:$B,Detail!F$1)</f>
        <v>0</v>
      </c>
      <c r="G502" s="7">
        <f>SUMIFS('Leave Management'!$L:$L,'Leave Management'!$C:$C,Detail!$A502,'Leave Management'!$B:$B,Detail!G$1)</f>
        <v>0</v>
      </c>
      <c r="H502" s="7">
        <f>SUMIFS('Leave Management'!$L:$L,'Leave Management'!$C:$C,Detail!$A502,'Leave Management'!$B:$B,Detail!H$1)</f>
        <v>0</v>
      </c>
      <c r="I502" s="7">
        <f>SUMIFS('Leave Management'!$L:$L,'Leave Management'!$C:$C,Detail!$A502,'Leave Management'!$B:$B,Detail!I$1)</f>
        <v>0</v>
      </c>
      <c r="J502" s="7">
        <f>SUMIFS('Leave Management'!$L:$L,'Leave Management'!$C:$C,Detail!$A502,'Leave Management'!$B:$B,Detail!J$1)</f>
        <v>0</v>
      </c>
      <c r="K502" s="7">
        <f>SUMIFS('Leave Management'!$L:$L,'Leave Management'!$C:$C,Detail!$A502,'Leave Management'!$B:$B,Detail!K$1)</f>
        <v>0</v>
      </c>
      <c r="L502" s="7">
        <f>SUMIFS('Leave Management'!$L:$L,'Leave Management'!$C:$C,Detail!$A502,'Leave Management'!$B:$B,Detail!L$1)</f>
        <v>0</v>
      </c>
      <c r="M502" s="7">
        <f>SUMIFS('Leave Management'!$L:$L,'Leave Management'!$C:$C,Detail!$A502,'Leave Management'!$B:$B,Detail!M$1)</f>
        <v>0</v>
      </c>
      <c r="N502" s="7">
        <f>SUMIFS('Leave Management'!$L:$L,'Leave Management'!$C:$C,Detail!$A502,'Leave Management'!$B:$B,Detail!N$1)</f>
        <v>0</v>
      </c>
      <c r="O502" s="7">
        <f t="shared" si="18"/>
        <v>11</v>
      </c>
    </row>
    <row r="503" spans="1:15" x14ac:dyDescent="0.25">
      <c r="A503" s="24">
        <v>43601</v>
      </c>
      <c r="B503" s="2" t="str">
        <f t="shared" si="19"/>
        <v>Thu</v>
      </c>
      <c r="C503" s="7">
        <f>SUMIFS('Leave Management'!$L:$L,'Leave Management'!$C:$C,Detail!$A503,'Leave Management'!$B:$B,Detail!C$1)</f>
        <v>0</v>
      </c>
      <c r="D503" s="7">
        <f>SUMIFS('Leave Management'!$L:$L,'Leave Management'!$C:$C,Detail!$A503,'Leave Management'!$B:$B,Detail!D$1)</f>
        <v>0</v>
      </c>
      <c r="E503" s="7">
        <f>SUMIFS('Leave Management'!$L:$L,'Leave Management'!$C:$C,Detail!$A503,'Leave Management'!$B:$B,Detail!E$1)</f>
        <v>0</v>
      </c>
      <c r="F503" s="7">
        <f>SUMIFS('Leave Management'!$L:$L,'Leave Management'!$C:$C,Detail!$A503,'Leave Management'!$B:$B,Detail!F$1)</f>
        <v>0</v>
      </c>
      <c r="G503" s="7">
        <f>SUMIFS('Leave Management'!$L:$L,'Leave Management'!$C:$C,Detail!$A503,'Leave Management'!$B:$B,Detail!G$1)</f>
        <v>0</v>
      </c>
      <c r="H503" s="7">
        <f>SUMIFS('Leave Management'!$L:$L,'Leave Management'!$C:$C,Detail!$A503,'Leave Management'!$B:$B,Detail!H$1)</f>
        <v>0</v>
      </c>
      <c r="I503" s="7">
        <f>SUMIFS('Leave Management'!$L:$L,'Leave Management'!$C:$C,Detail!$A503,'Leave Management'!$B:$B,Detail!I$1)</f>
        <v>0</v>
      </c>
      <c r="J503" s="7">
        <f>SUMIFS('Leave Management'!$L:$L,'Leave Management'!$C:$C,Detail!$A503,'Leave Management'!$B:$B,Detail!J$1)</f>
        <v>0</v>
      </c>
      <c r="K503" s="7">
        <f>SUMIFS('Leave Management'!$L:$L,'Leave Management'!$C:$C,Detail!$A503,'Leave Management'!$B:$B,Detail!K$1)</f>
        <v>0</v>
      </c>
      <c r="L503" s="7">
        <f>SUMIFS('Leave Management'!$L:$L,'Leave Management'!$C:$C,Detail!$A503,'Leave Management'!$B:$B,Detail!L$1)</f>
        <v>0</v>
      </c>
      <c r="M503" s="7">
        <f>SUMIFS('Leave Management'!$L:$L,'Leave Management'!$C:$C,Detail!$A503,'Leave Management'!$B:$B,Detail!M$1)</f>
        <v>0</v>
      </c>
      <c r="N503" s="7">
        <f>SUMIFS('Leave Management'!$L:$L,'Leave Management'!$C:$C,Detail!$A503,'Leave Management'!$B:$B,Detail!N$1)</f>
        <v>0</v>
      </c>
      <c r="O503" s="7">
        <f t="shared" si="18"/>
        <v>11</v>
      </c>
    </row>
    <row r="504" spans="1:15" x14ac:dyDescent="0.25">
      <c r="A504" s="24">
        <v>43602</v>
      </c>
      <c r="B504" s="2" t="str">
        <f t="shared" si="19"/>
        <v>Fri</v>
      </c>
      <c r="C504" s="7">
        <f>SUMIFS('Leave Management'!$L:$L,'Leave Management'!$C:$C,Detail!$A504,'Leave Management'!$B:$B,Detail!C$1)</f>
        <v>0</v>
      </c>
      <c r="D504" s="7">
        <f>SUMIFS('Leave Management'!$L:$L,'Leave Management'!$C:$C,Detail!$A504,'Leave Management'!$B:$B,Detail!D$1)</f>
        <v>0</v>
      </c>
      <c r="E504" s="7">
        <f>SUMIFS('Leave Management'!$L:$L,'Leave Management'!$C:$C,Detail!$A504,'Leave Management'!$B:$B,Detail!E$1)</f>
        <v>0</v>
      </c>
      <c r="F504" s="7">
        <f>SUMIFS('Leave Management'!$L:$L,'Leave Management'!$C:$C,Detail!$A504,'Leave Management'!$B:$B,Detail!F$1)</f>
        <v>0</v>
      </c>
      <c r="G504" s="7">
        <f>SUMIFS('Leave Management'!$L:$L,'Leave Management'!$C:$C,Detail!$A504,'Leave Management'!$B:$B,Detail!G$1)</f>
        <v>1</v>
      </c>
      <c r="H504" s="7">
        <f>SUMIFS('Leave Management'!$L:$L,'Leave Management'!$C:$C,Detail!$A504,'Leave Management'!$B:$B,Detail!H$1)</f>
        <v>0</v>
      </c>
      <c r="I504" s="7">
        <f>SUMIFS('Leave Management'!$L:$L,'Leave Management'!$C:$C,Detail!$A504,'Leave Management'!$B:$B,Detail!I$1)</f>
        <v>0</v>
      </c>
      <c r="J504" s="7">
        <f>SUMIFS('Leave Management'!$L:$L,'Leave Management'!$C:$C,Detail!$A504,'Leave Management'!$B:$B,Detail!J$1)</f>
        <v>0</v>
      </c>
      <c r="K504" s="7">
        <f>SUMIFS('Leave Management'!$L:$L,'Leave Management'!$C:$C,Detail!$A504,'Leave Management'!$B:$B,Detail!K$1)</f>
        <v>0</v>
      </c>
      <c r="L504" s="7">
        <f>SUMIFS('Leave Management'!$L:$L,'Leave Management'!$C:$C,Detail!$A504,'Leave Management'!$B:$B,Detail!L$1)</f>
        <v>0</v>
      </c>
      <c r="M504" s="7">
        <f>SUMIFS('Leave Management'!$L:$L,'Leave Management'!$C:$C,Detail!$A504,'Leave Management'!$B:$B,Detail!M$1)</f>
        <v>0</v>
      </c>
      <c r="N504" s="7">
        <f>SUMIFS('Leave Management'!$L:$L,'Leave Management'!$C:$C,Detail!$A504,'Leave Management'!$B:$B,Detail!N$1)</f>
        <v>0</v>
      </c>
      <c r="O504" s="7">
        <f t="shared" si="18"/>
        <v>10</v>
      </c>
    </row>
    <row r="505" spans="1:15" x14ac:dyDescent="0.25">
      <c r="A505" s="24">
        <v>43603</v>
      </c>
      <c r="B505" s="2" t="str">
        <f t="shared" si="19"/>
        <v>Sat</v>
      </c>
      <c r="C505" s="7">
        <f>SUMIFS('Leave Management'!$L:$L,'Leave Management'!$C:$C,Detail!$A505,'Leave Management'!$B:$B,Detail!C$1)</f>
        <v>0</v>
      </c>
      <c r="D505" s="7">
        <f>SUMIFS('Leave Management'!$L:$L,'Leave Management'!$C:$C,Detail!$A505,'Leave Management'!$B:$B,Detail!D$1)</f>
        <v>0</v>
      </c>
      <c r="E505" s="7">
        <f>SUMIFS('Leave Management'!$L:$L,'Leave Management'!$C:$C,Detail!$A505,'Leave Management'!$B:$B,Detail!E$1)</f>
        <v>0</v>
      </c>
      <c r="F505" s="7">
        <f>SUMIFS('Leave Management'!$L:$L,'Leave Management'!$C:$C,Detail!$A505,'Leave Management'!$B:$B,Detail!F$1)</f>
        <v>0</v>
      </c>
      <c r="G505" s="7">
        <f>SUMIFS('Leave Management'!$L:$L,'Leave Management'!$C:$C,Detail!$A505,'Leave Management'!$B:$B,Detail!G$1)</f>
        <v>0</v>
      </c>
      <c r="H505" s="7">
        <f>SUMIFS('Leave Management'!$L:$L,'Leave Management'!$C:$C,Detail!$A505,'Leave Management'!$B:$B,Detail!H$1)</f>
        <v>0</v>
      </c>
      <c r="I505" s="7">
        <f>SUMIFS('Leave Management'!$L:$L,'Leave Management'!$C:$C,Detail!$A505,'Leave Management'!$B:$B,Detail!I$1)</f>
        <v>0</v>
      </c>
      <c r="J505" s="7">
        <f>SUMIFS('Leave Management'!$L:$L,'Leave Management'!$C:$C,Detail!$A505,'Leave Management'!$B:$B,Detail!J$1)</f>
        <v>0</v>
      </c>
      <c r="K505" s="7">
        <f>SUMIFS('Leave Management'!$L:$L,'Leave Management'!$C:$C,Detail!$A505,'Leave Management'!$B:$B,Detail!K$1)</f>
        <v>0</v>
      </c>
      <c r="L505" s="7">
        <f>SUMIFS('Leave Management'!$L:$L,'Leave Management'!$C:$C,Detail!$A505,'Leave Management'!$B:$B,Detail!L$1)</f>
        <v>0</v>
      </c>
      <c r="M505" s="7">
        <f>SUMIFS('Leave Management'!$L:$L,'Leave Management'!$C:$C,Detail!$A505,'Leave Management'!$B:$B,Detail!M$1)</f>
        <v>0</v>
      </c>
      <c r="N505" s="7">
        <f>SUMIFS('Leave Management'!$L:$L,'Leave Management'!$C:$C,Detail!$A505,'Leave Management'!$B:$B,Detail!N$1)</f>
        <v>0</v>
      </c>
      <c r="O505" s="7">
        <f t="shared" si="18"/>
        <v>11</v>
      </c>
    </row>
    <row r="506" spans="1:15" x14ac:dyDescent="0.25">
      <c r="A506" s="24">
        <v>43604</v>
      </c>
      <c r="B506" s="2" t="str">
        <f t="shared" si="19"/>
        <v>Sun</v>
      </c>
      <c r="C506" s="7">
        <f>SUMIFS('Leave Management'!$L:$L,'Leave Management'!$C:$C,Detail!$A506,'Leave Management'!$B:$B,Detail!C$1)</f>
        <v>0</v>
      </c>
      <c r="D506" s="7">
        <f>SUMIFS('Leave Management'!$L:$L,'Leave Management'!$C:$C,Detail!$A506,'Leave Management'!$B:$B,Detail!D$1)</f>
        <v>0</v>
      </c>
      <c r="E506" s="7">
        <f>SUMIFS('Leave Management'!$L:$L,'Leave Management'!$C:$C,Detail!$A506,'Leave Management'!$B:$B,Detail!E$1)</f>
        <v>0</v>
      </c>
      <c r="F506" s="7">
        <f>SUMIFS('Leave Management'!$L:$L,'Leave Management'!$C:$C,Detail!$A506,'Leave Management'!$B:$B,Detail!F$1)</f>
        <v>0</v>
      </c>
      <c r="G506" s="7">
        <f>SUMIFS('Leave Management'!$L:$L,'Leave Management'!$C:$C,Detail!$A506,'Leave Management'!$B:$B,Detail!G$1)</f>
        <v>0</v>
      </c>
      <c r="H506" s="7">
        <f>SUMIFS('Leave Management'!$L:$L,'Leave Management'!$C:$C,Detail!$A506,'Leave Management'!$B:$B,Detail!H$1)</f>
        <v>0</v>
      </c>
      <c r="I506" s="7">
        <f>SUMIFS('Leave Management'!$L:$L,'Leave Management'!$C:$C,Detail!$A506,'Leave Management'!$B:$B,Detail!I$1)</f>
        <v>0</v>
      </c>
      <c r="J506" s="7">
        <f>SUMIFS('Leave Management'!$L:$L,'Leave Management'!$C:$C,Detail!$A506,'Leave Management'!$B:$B,Detail!J$1)</f>
        <v>0</v>
      </c>
      <c r="K506" s="7">
        <f>SUMIFS('Leave Management'!$L:$L,'Leave Management'!$C:$C,Detail!$A506,'Leave Management'!$B:$B,Detail!K$1)</f>
        <v>0</v>
      </c>
      <c r="L506" s="7">
        <f>SUMIFS('Leave Management'!$L:$L,'Leave Management'!$C:$C,Detail!$A506,'Leave Management'!$B:$B,Detail!L$1)</f>
        <v>0</v>
      </c>
      <c r="M506" s="7">
        <f>SUMIFS('Leave Management'!$L:$L,'Leave Management'!$C:$C,Detail!$A506,'Leave Management'!$B:$B,Detail!M$1)</f>
        <v>0</v>
      </c>
      <c r="N506" s="7">
        <f>SUMIFS('Leave Management'!$L:$L,'Leave Management'!$C:$C,Detail!$A506,'Leave Management'!$B:$B,Detail!N$1)</f>
        <v>0</v>
      </c>
      <c r="O506" s="7">
        <f t="shared" si="18"/>
        <v>11</v>
      </c>
    </row>
    <row r="507" spans="1:15" x14ac:dyDescent="0.25">
      <c r="A507" s="24">
        <v>43605</v>
      </c>
      <c r="B507" s="2" t="str">
        <f t="shared" si="19"/>
        <v>Mon</v>
      </c>
      <c r="C507" s="7">
        <f>SUMIFS('Leave Management'!$L:$L,'Leave Management'!$C:$C,Detail!$A507,'Leave Management'!$B:$B,Detail!C$1)</f>
        <v>0</v>
      </c>
      <c r="D507" s="7">
        <f>SUMIFS('Leave Management'!$L:$L,'Leave Management'!$C:$C,Detail!$A507,'Leave Management'!$B:$B,Detail!D$1)</f>
        <v>0</v>
      </c>
      <c r="E507" s="7">
        <f>SUMIFS('Leave Management'!$L:$L,'Leave Management'!$C:$C,Detail!$A507,'Leave Management'!$B:$B,Detail!E$1)</f>
        <v>0</v>
      </c>
      <c r="F507" s="7">
        <f>SUMIFS('Leave Management'!$L:$L,'Leave Management'!$C:$C,Detail!$A507,'Leave Management'!$B:$B,Detail!F$1)</f>
        <v>0</v>
      </c>
      <c r="G507" s="7">
        <f>SUMIFS('Leave Management'!$L:$L,'Leave Management'!$C:$C,Detail!$A507,'Leave Management'!$B:$B,Detail!G$1)</f>
        <v>0</v>
      </c>
      <c r="H507" s="7">
        <f>SUMIFS('Leave Management'!$L:$L,'Leave Management'!$C:$C,Detail!$A507,'Leave Management'!$B:$B,Detail!H$1)</f>
        <v>0</v>
      </c>
      <c r="I507" s="7">
        <f>SUMIFS('Leave Management'!$L:$L,'Leave Management'!$C:$C,Detail!$A507,'Leave Management'!$B:$B,Detail!I$1)</f>
        <v>0</v>
      </c>
      <c r="J507" s="7">
        <f>SUMIFS('Leave Management'!$L:$L,'Leave Management'!$C:$C,Detail!$A507,'Leave Management'!$B:$B,Detail!J$1)</f>
        <v>0</v>
      </c>
      <c r="K507" s="7">
        <f>SUMIFS('Leave Management'!$L:$L,'Leave Management'!$C:$C,Detail!$A507,'Leave Management'!$B:$B,Detail!K$1)</f>
        <v>1</v>
      </c>
      <c r="L507" s="7">
        <f>SUMIFS('Leave Management'!$L:$L,'Leave Management'!$C:$C,Detail!$A507,'Leave Management'!$B:$B,Detail!L$1)</f>
        <v>0</v>
      </c>
      <c r="M507" s="7">
        <f>SUMIFS('Leave Management'!$L:$L,'Leave Management'!$C:$C,Detail!$A507,'Leave Management'!$B:$B,Detail!M$1)</f>
        <v>0</v>
      </c>
      <c r="N507" s="7">
        <f>SUMIFS('Leave Management'!$L:$L,'Leave Management'!$C:$C,Detail!$A507,'Leave Management'!$B:$B,Detail!N$1)</f>
        <v>0</v>
      </c>
      <c r="O507" s="7">
        <f t="shared" si="18"/>
        <v>10</v>
      </c>
    </row>
    <row r="508" spans="1:15" x14ac:dyDescent="0.25">
      <c r="A508" s="24">
        <v>43606</v>
      </c>
      <c r="B508" s="2" t="str">
        <f t="shared" si="19"/>
        <v>Tue</v>
      </c>
      <c r="C508" s="7">
        <f>SUMIFS('Leave Management'!$L:$L,'Leave Management'!$C:$C,Detail!$A508,'Leave Management'!$B:$B,Detail!C$1)</f>
        <v>0</v>
      </c>
      <c r="D508" s="7">
        <f>SUMIFS('Leave Management'!$L:$L,'Leave Management'!$C:$C,Detail!$A508,'Leave Management'!$B:$B,Detail!D$1)</f>
        <v>0</v>
      </c>
      <c r="E508" s="7">
        <f>SUMIFS('Leave Management'!$L:$L,'Leave Management'!$C:$C,Detail!$A508,'Leave Management'!$B:$B,Detail!E$1)</f>
        <v>0</v>
      </c>
      <c r="F508" s="7">
        <f>SUMIFS('Leave Management'!$L:$L,'Leave Management'!$C:$C,Detail!$A508,'Leave Management'!$B:$B,Detail!F$1)</f>
        <v>0</v>
      </c>
      <c r="G508" s="7">
        <f>SUMIFS('Leave Management'!$L:$L,'Leave Management'!$C:$C,Detail!$A508,'Leave Management'!$B:$B,Detail!G$1)</f>
        <v>0</v>
      </c>
      <c r="H508" s="7">
        <f>SUMIFS('Leave Management'!$L:$L,'Leave Management'!$C:$C,Detail!$A508,'Leave Management'!$B:$B,Detail!H$1)</f>
        <v>0</v>
      </c>
      <c r="I508" s="7">
        <f>SUMIFS('Leave Management'!$L:$L,'Leave Management'!$C:$C,Detail!$A508,'Leave Management'!$B:$B,Detail!I$1)</f>
        <v>0</v>
      </c>
      <c r="J508" s="7">
        <f>SUMIFS('Leave Management'!$L:$L,'Leave Management'!$C:$C,Detail!$A508,'Leave Management'!$B:$B,Detail!J$1)</f>
        <v>0</v>
      </c>
      <c r="K508" s="7">
        <f>SUMIFS('Leave Management'!$L:$L,'Leave Management'!$C:$C,Detail!$A508,'Leave Management'!$B:$B,Detail!K$1)</f>
        <v>1</v>
      </c>
      <c r="L508" s="7">
        <f>SUMIFS('Leave Management'!$L:$L,'Leave Management'!$C:$C,Detail!$A508,'Leave Management'!$B:$B,Detail!L$1)</f>
        <v>0</v>
      </c>
      <c r="M508" s="7">
        <f>SUMIFS('Leave Management'!$L:$L,'Leave Management'!$C:$C,Detail!$A508,'Leave Management'!$B:$B,Detail!M$1)</f>
        <v>0</v>
      </c>
      <c r="N508" s="7">
        <f>SUMIFS('Leave Management'!$L:$L,'Leave Management'!$C:$C,Detail!$A508,'Leave Management'!$B:$B,Detail!N$1)</f>
        <v>0</v>
      </c>
      <c r="O508" s="7">
        <f t="shared" si="18"/>
        <v>10</v>
      </c>
    </row>
    <row r="509" spans="1:15" x14ac:dyDescent="0.25">
      <c r="A509" s="24">
        <v>43607</v>
      </c>
      <c r="B509" s="2" t="str">
        <f t="shared" si="19"/>
        <v>Wed</v>
      </c>
      <c r="C509" s="7">
        <f>SUMIFS('Leave Management'!$L:$L,'Leave Management'!$C:$C,Detail!$A509,'Leave Management'!$B:$B,Detail!C$1)</f>
        <v>0</v>
      </c>
      <c r="D509" s="7">
        <f>SUMIFS('Leave Management'!$L:$L,'Leave Management'!$C:$C,Detail!$A509,'Leave Management'!$B:$B,Detail!D$1)</f>
        <v>0</v>
      </c>
      <c r="E509" s="7">
        <f>SUMIFS('Leave Management'!$L:$L,'Leave Management'!$C:$C,Detail!$A509,'Leave Management'!$B:$B,Detail!E$1)</f>
        <v>0</v>
      </c>
      <c r="F509" s="7">
        <f>SUMIFS('Leave Management'!$L:$L,'Leave Management'!$C:$C,Detail!$A509,'Leave Management'!$B:$B,Detail!F$1)</f>
        <v>0</v>
      </c>
      <c r="G509" s="7">
        <f>SUMIFS('Leave Management'!$L:$L,'Leave Management'!$C:$C,Detail!$A509,'Leave Management'!$B:$B,Detail!G$1)</f>
        <v>0</v>
      </c>
      <c r="H509" s="7">
        <f>SUMIFS('Leave Management'!$L:$L,'Leave Management'!$C:$C,Detail!$A509,'Leave Management'!$B:$B,Detail!H$1)</f>
        <v>0</v>
      </c>
      <c r="I509" s="7">
        <f>SUMIFS('Leave Management'!$L:$L,'Leave Management'!$C:$C,Detail!$A509,'Leave Management'!$B:$B,Detail!I$1)</f>
        <v>0</v>
      </c>
      <c r="J509" s="7">
        <f>SUMIFS('Leave Management'!$L:$L,'Leave Management'!$C:$C,Detail!$A509,'Leave Management'!$B:$B,Detail!J$1)</f>
        <v>0</v>
      </c>
      <c r="K509" s="7">
        <f>SUMIFS('Leave Management'!$L:$L,'Leave Management'!$C:$C,Detail!$A509,'Leave Management'!$B:$B,Detail!K$1)</f>
        <v>0</v>
      </c>
      <c r="L509" s="7">
        <f>SUMIFS('Leave Management'!$L:$L,'Leave Management'!$C:$C,Detail!$A509,'Leave Management'!$B:$B,Detail!L$1)</f>
        <v>0</v>
      </c>
      <c r="M509" s="7">
        <f>SUMIFS('Leave Management'!$L:$L,'Leave Management'!$C:$C,Detail!$A509,'Leave Management'!$B:$B,Detail!M$1)</f>
        <v>0</v>
      </c>
      <c r="N509" s="7">
        <f>SUMIFS('Leave Management'!$L:$L,'Leave Management'!$C:$C,Detail!$A509,'Leave Management'!$B:$B,Detail!N$1)</f>
        <v>0</v>
      </c>
      <c r="O509" s="7">
        <f t="shared" si="18"/>
        <v>11</v>
      </c>
    </row>
    <row r="510" spans="1:15" x14ac:dyDescent="0.25">
      <c r="A510" s="24">
        <v>43608</v>
      </c>
      <c r="B510" s="2" t="str">
        <f t="shared" si="19"/>
        <v>Thu</v>
      </c>
      <c r="C510" s="7">
        <f>SUMIFS('Leave Management'!$L:$L,'Leave Management'!$C:$C,Detail!$A510,'Leave Management'!$B:$B,Detail!C$1)</f>
        <v>0</v>
      </c>
      <c r="D510" s="7">
        <f>SUMIFS('Leave Management'!$L:$L,'Leave Management'!$C:$C,Detail!$A510,'Leave Management'!$B:$B,Detail!D$1)</f>
        <v>1</v>
      </c>
      <c r="E510" s="7">
        <f>SUMIFS('Leave Management'!$L:$L,'Leave Management'!$C:$C,Detail!$A510,'Leave Management'!$B:$B,Detail!E$1)</f>
        <v>0</v>
      </c>
      <c r="F510" s="7">
        <f>SUMIFS('Leave Management'!$L:$L,'Leave Management'!$C:$C,Detail!$A510,'Leave Management'!$B:$B,Detail!F$1)</f>
        <v>0</v>
      </c>
      <c r="G510" s="7">
        <f>SUMIFS('Leave Management'!$L:$L,'Leave Management'!$C:$C,Detail!$A510,'Leave Management'!$B:$B,Detail!G$1)</f>
        <v>0</v>
      </c>
      <c r="H510" s="7">
        <f>SUMIFS('Leave Management'!$L:$L,'Leave Management'!$C:$C,Detail!$A510,'Leave Management'!$B:$B,Detail!H$1)</f>
        <v>0</v>
      </c>
      <c r="I510" s="7">
        <f>SUMIFS('Leave Management'!$L:$L,'Leave Management'!$C:$C,Detail!$A510,'Leave Management'!$B:$B,Detail!I$1)</f>
        <v>0</v>
      </c>
      <c r="J510" s="7">
        <f>SUMIFS('Leave Management'!$L:$L,'Leave Management'!$C:$C,Detail!$A510,'Leave Management'!$B:$B,Detail!J$1)</f>
        <v>0</v>
      </c>
      <c r="K510" s="7">
        <f>SUMIFS('Leave Management'!$L:$L,'Leave Management'!$C:$C,Detail!$A510,'Leave Management'!$B:$B,Detail!K$1)</f>
        <v>0</v>
      </c>
      <c r="L510" s="7">
        <f>SUMIFS('Leave Management'!$L:$L,'Leave Management'!$C:$C,Detail!$A510,'Leave Management'!$B:$B,Detail!L$1)</f>
        <v>0</v>
      </c>
      <c r="M510" s="7">
        <f>SUMIFS('Leave Management'!$L:$L,'Leave Management'!$C:$C,Detail!$A510,'Leave Management'!$B:$B,Detail!M$1)</f>
        <v>0</v>
      </c>
      <c r="N510" s="7">
        <f>SUMIFS('Leave Management'!$L:$L,'Leave Management'!$C:$C,Detail!$A510,'Leave Management'!$B:$B,Detail!N$1)</f>
        <v>0</v>
      </c>
      <c r="O510" s="7">
        <f t="shared" si="18"/>
        <v>10</v>
      </c>
    </row>
    <row r="511" spans="1:15" x14ac:dyDescent="0.25">
      <c r="A511" s="24">
        <v>43609</v>
      </c>
      <c r="B511" s="2" t="str">
        <f t="shared" si="19"/>
        <v>Fri</v>
      </c>
      <c r="C511" s="7">
        <f>SUMIFS('Leave Management'!$L:$L,'Leave Management'!$C:$C,Detail!$A511,'Leave Management'!$B:$B,Detail!C$1)</f>
        <v>0</v>
      </c>
      <c r="D511" s="7">
        <f>SUMIFS('Leave Management'!$L:$L,'Leave Management'!$C:$C,Detail!$A511,'Leave Management'!$B:$B,Detail!D$1)</f>
        <v>1</v>
      </c>
      <c r="E511" s="7">
        <f>SUMIFS('Leave Management'!$L:$L,'Leave Management'!$C:$C,Detail!$A511,'Leave Management'!$B:$B,Detail!E$1)</f>
        <v>0</v>
      </c>
      <c r="F511" s="7">
        <f>SUMIFS('Leave Management'!$L:$L,'Leave Management'!$C:$C,Detail!$A511,'Leave Management'!$B:$B,Detail!F$1)</f>
        <v>0</v>
      </c>
      <c r="G511" s="7">
        <f>SUMIFS('Leave Management'!$L:$L,'Leave Management'!$C:$C,Detail!$A511,'Leave Management'!$B:$B,Detail!G$1)</f>
        <v>0</v>
      </c>
      <c r="H511" s="7">
        <f>SUMIFS('Leave Management'!$L:$L,'Leave Management'!$C:$C,Detail!$A511,'Leave Management'!$B:$B,Detail!H$1)</f>
        <v>0</v>
      </c>
      <c r="I511" s="7">
        <f>SUMIFS('Leave Management'!$L:$L,'Leave Management'!$C:$C,Detail!$A511,'Leave Management'!$B:$B,Detail!I$1)</f>
        <v>0</v>
      </c>
      <c r="J511" s="7">
        <f>SUMIFS('Leave Management'!$L:$L,'Leave Management'!$C:$C,Detail!$A511,'Leave Management'!$B:$B,Detail!J$1)</f>
        <v>0</v>
      </c>
      <c r="K511" s="7">
        <f>SUMIFS('Leave Management'!$L:$L,'Leave Management'!$C:$C,Detail!$A511,'Leave Management'!$B:$B,Detail!K$1)</f>
        <v>0</v>
      </c>
      <c r="L511" s="7">
        <f>SUMIFS('Leave Management'!$L:$L,'Leave Management'!$C:$C,Detail!$A511,'Leave Management'!$B:$B,Detail!L$1)</f>
        <v>0</v>
      </c>
      <c r="M511" s="7">
        <f>SUMIFS('Leave Management'!$L:$L,'Leave Management'!$C:$C,Detail!$A511,'Leave Management'!$B:$B,Detail!M$1)</f>
        <v>0</v>
      </c>
      <c r="N511" s="7">
        <f>SUMIFS('Leave Management'!$L:$L,'Leave Management'!$C:$C,Detail!$A511,'Leave Management'!$B:$B,Detail!N$1)</f>
        <v>0</v>
      </c>
      <c r="O511" s="7">
        <f t="shared" si="18"/>
        <v>10</v>
      </c>
    </row>
    <row r="512" spans="1:15" x14ac:dyDescent="0.25">
      <c r="A512" s="24">
        <v>43610</v>
      </c>
      <c r="B512" s="2" t="str">
        <f t="shared" si="19"/>
        <v>Sat</v>
      </c>
      <c r="C512" s="7">
        <f>SUMIFS('Leave Management'!$L:$L,'Leave Management'!$C:$C,Detail!$A512,'Leave Management'!$B:$B,Detail!C$1)</f>
        <v>0</v>
      </c>
      <c r="D512" s="7">
        <f>SUMIFS('Leave Management'!$L:$L,'Leave Management'!$C:$C,Detail!$A512,'Leave Management'!$B:$B,Detail!D$1)</f>
        <v>0</v>
      </c>
      <c r="E512" s="7">
        <f>SUMIFS('Leave Management'!$L:$L,'Leave Management'!$C:$C,Detail!$A512,'Leave Management'!$B:$B,Detail!E$1)</f>
        <v>0</v>
      </c>
      <c r="F512" s="7">
        <f>SUMIFS('Leave Management'!$L:$L,'Leave Management'!$C:$C,Detail!$A512,'Leave Management'!$B:$B,Detail!F$1)</f>
        <v>0</v>
      </c>
      <c r="G512" s="7">
        <f>SUMIFS('Leave Management'!$L:$L,'Leave Management'!$C:$C,Detail!$A512,'Leave Management'!$B:$B,Detail!G$1)</f>
        <v>0</v>
      </c>
      <c r="H512" s="7">
        <f>SUMIFS('Leave Management'!$L:$L,'Leave Management'!$C:$C,Detail!$A512,'Leave Management'!$B:$B,Detail!H$1)</f>
        <v>0</v>
      </c>
      <c r="I512" s="7">
        <f>SUMIFS('Leave Management'!$L:$L,'Leave Management'!$C:$C,Detail!$A512,'Leave Management'!$B:$B,Detail!I$1)</f>
        <v>0</v>
      </c>
      <c r="J512" s="7">
        <f>SUMIFS('Leave Management'!$L:$L,'Leave Management'!$C:$C,Detail!$A512,'Leave Management'!$B:$B,Detail!J$1)</f>
        <v>0</v>
      </c>
      <c r="K512" s="7">
        <f>SUMIFS('Leave Management'!$L:$L,'Leave Management'!$C:$C,Detail!$A512,'Leave Management'!$B:$B,Detail!K$1)</f>
        <v>0</v>
      </c>
      <c r="L512" s="7">
        <f>SUMIFS('Leave Management'!$L:$L,'Leave Management'!$C:$C,Detail!$A512,'Leave Management'!$B:$B,Detail!L$1)</f>
        <v>0</v>
      </c>
      <c r="M512" s="7">
        <f>SUMIFS('Leave Management'!$L:$L,'Leave Management'!$C:$C,Detail!$A512,'Leave Management'!$B:$B,Detail!M$1)</f>
        <v>0</v>
      </c>
      <c r="N512" s="7">
        <f>SUMIFS('Leave Management'!$L:$L,'Leave Management'!$C:$C,Detail!$A512,'Leave Management'!$B:$B,Detail!N$1)</f>
        <v>0</v>
      </c>
      <c r="O512" s="7">
        <f t="shared" si="18"/>
        <v>11</v>
      </c>
    </row>
    <row r="513" spans="1:15" x14ac:dyDescent="0.25">
      <c r="A513" s="24">
        <v>43611</v>
      </c>
      <c r="B513" s="2" t="str">
        <f t="shared" si="19"/>
        <v>Sun</v>
      </c>
      <c r="C513" s="7">
        <f>SUMIFS('Leave Management'!$L:$L,'Leave Management'!$C:$C,Detail!$A513,'Leave Management'!$B:$B,Detail!C$1)</f>
        <v>0</v>
      </c>
      <c r="D513" s="7">
        <f>SUMIFS('Leave Management'!$L:$L,'Leave Management'!$C:$C,Detail!$A513,'Leave Management'!$B:$B,Detail!D$1)</f>
        <v>0</v>
      </c>
      <c r="E513" s="7">
        <f>SUMIFS('Leave Management'!$L:$L,'Leave Management'!$C:$C,Detail!$A513,'Leave Management'!$B:$B,Detail!E$1)</f>
        <v>0</v>
      </c>
      <c r="F513" s="7">
        <f>SUMIFS('Leave Management'!$L:$L,'Leave Management'!$C:$C,Detail!$A513,'Leave Management'!$B:$B,Detail!F$1)</f>
        <v>0</v>
      </c>
      <c r="G513" s="7">
        <f>SUMIFS('Leave Management'!$L:$L,'Leave Management'!$C:$C,Detail!$A513,'Leave Management'!$B:$B,Detail!G$1)</f>
        <v>0</v>
      </c>
      <c r="H513" s="7">
        <f>SUMIFS('Leave Management'!$L:$L,'Leave Management'!$C:$C,Detail!$A513,'Leave Management'!$B:$B,Detail!H$1)</f>
        <v>0</v>
      </c>
      <c r="I513" s="7">
        <f>SUMIFS('Leave Management'!$L:$L,'Leave Management'!$C:$C,Detail!$A513,'Leave Management'!$B:$B,Detail!I$1)</f>
        <v>0</v>
      </c>
      <c r="J513" s="7">
        <f>SUMIFS('Leave Management'!$L:$L,'Leave Management'!$C:$C,Detail!$A513,'Leave Management'!$B:$B,Detail!J$1)</f>
        <v>0</v>
      </c>
      <c r="K513" s="7">
        <f>SUMIFS('Leave Management'!$L:$L,'Leave Management'!$C:$C,Detail!$A513,'Leave Management'!$B:$B,Detail!K$1)</f>
        <v>0</v>
      </c>
      <c r="L513" s="7">
        <f>SUMIFS('Leave Management'!$L:$L,'Leave Management'!$C:$C,Detail!$A513,'Leave Management'!$B:$B,Detail!L$1)</f>
        <v>0</v>
      </c>
      <c r="M513" s="7">
        <f>SUMIFS('Leave Management'!$L:$L,'Leave Management'!$C:$C,Detail!$A513,'Leave Management'!$B:$B,Detail!M$1)</f>
        <v>0</v>
      </c>
      <c r="N513" s="7">
        <f>SUMIFS('Leave Management'!$L:$L,'Leave Management'!$C:$C,Detail!$A513,'Leave Management'!$B:$B,Detail!N$1)</f>
        <v>0</v>
      </c>
      <c r="O513" s="7">
        <f t="shared" si="18"/>
        <v>11</v>
      </c>
    </row>
    <row r="514" spans="1:15" x14ac:dyDescent="0.25">
      <c r="A514" s="24">
        <v>43612</v>
      </c>
      <c r="B514" s="2" t="str">
        <f t="shared" si="19"/>
        <v>Mon</v>
      </c>
      <c r="C514" s="7">
        <f>SUMIFS('Leave Management'!$L:$L,'Leave Management'!$C:$C,Detail!$A514,'Leave Management'!$B:$B,Detail!C$1)</f>
        <v>0</v>
      </c>
      <c r="D514" s="7">
        <f>SUMIFS('Leave Management'!$L:$L,'Leave Management'!$C:$C,Detail!$A514,'Leave Management'!$B:$B,Detail!D$1)</f>
        <v>0</v>
      </c>
      <c r="E514" s="7">
        <f>SUMIFS('Leave Management'!$L:$L,'Leave Management'!$C:$C,Detail!$A514,'Leave Management'!$B:$B,Detail!E$1)</f>
        <v>0</v>
      </c>
      <c r="F514" s="7">
        <f>SUMIFS('Leave Management'!$L:$L,'Leave Management'!$C:$C,Detail!$A514,'Leave Management'!$B:$B,Detail!F$1)</f>
        <v>0</v>
      </c>
      <c r="G514" s="7">
        <f>SUMIFS('Leave Management'!$L:$L,'Leave Management'!$C:$C,Detail!$A514,'Leave Management'!$B:$B,Detail!G$1)</f>
        <v>0</v>
      </c>
      <c r="H514" s="7">
        <f>SUMIFS('Leave Management'!$L:$L,'Leave Management'!$C:$C,Detail!$A514,'Leave Management'!$B:$B,Detail!H$1)</f>
        <v>0</v>
      </c>
      <c r="I514" s="7">
        <f>SUMIFS('Leave Management'!$L:$L,'Leave Management'!$C:$C,Detail!$A514,'Leave Management'!$B:$B,Detail!I$1)</f>
        <v>0</v>
      </c>
      <c r="J514" s="7">
        <f>SUMIFS('Leave Management'!$L:$L,'Leave Management'!$C:$C,Detail!$A514,'Leave Management'!$B:$B,Detail!J$1)</f>
        <v>0</v>
      </c>
      <c r="K514" s="7">
        <f>SUMIFS('Leave Management'!$L:$L,'Leave Management'!$C:$C,Detail!$A514,'Leave Management'!$B:$B,Detail!K$1)</f>
        <v>0</v>
      </c>
      <c r="L514" s="7">
        <f>SUMIFS('Leave Management'!$L:$L,'Leave Management'!$C:$C,Detail!$A514,'Leave Management'!$B:$B,Detail!L$1)</f>
        <v>0</v>
      </c>
      <c r="M514" s="7">
        <f>SUMIFS('Leave Management'!$L:$L,'Leave Management'!$C:$C,Detail!$A514,'Leave Management'!$B:$B,Detail!M$1)</f>
        <v>0</v>
      </c>
      <c r="N514" s="7">
        <f>SUMIFS('Leave Management'!$L:$L,'Leave Management'!$C:$C,Detail!$A514,'Leave Management'!$B:$B,Detail!N$1)</f>
        <v>0</v>
      </c>
      <c r="O514" s="7">
        <f t="shared" si="18"/>
        <v>11</v>
      </c>
    </row>
    <row r="515" spans="1:15" x14ac:dyDescent="0.25">
      <c r="A515" s="24">
        <v>43613</v>
      </c>
      <c r="B515" s="2" t="str">
        <f t="shared" si="19"/>
        <v>Tue</v>
      </c>
      <c r="C515" s="7">
        <f>SUMIFS('Leave Management'!$L:$L,'Leave Management'!$C:$C,Detail!$A515,'Leave Management'!$B:$B,Detail!C$1)</f>
        <v>0</v>
      </c>
      <c r="D515" s="7">
        <f>SUMIFS('Leave Management'!$L:$L,'Leave Management'!$C:$C,Detail!$A515,'Leave Management'!$B:$B,Detail!D$1)</f>
        <v>0</v>
      </c>
      <c r="E515" s="7">
        <f>SUMIFS('Leave Management'!$L:$L,'Leave Management'!$C:$C,Detail!$A515,'Leave Management'!$B:$B,Detail!E$1)</f>
        <v>0</v>
      </c>
      <c r="F515" s="7">
        <f>SUMIFS('Leave Management'!$L:$L,'Leave Management'!$C:$C,Detail!$A515,'Leave Management'!$B:$B,Detail!F$1)</f>
        <v>0</v>
      </c>
      <c r="G515" s="7">
        <f>SUMIFS('Leave Management'!$L:$L,'Leave Management'!$C:$C,Detail!$A515,'Leave Management'!$B:$B,Detail!G$1)</f>
        <v>0</v>
      </c>
      <c r="H515" s="7">
        <f>SUMIFS('Leave Management'!$L:$L,'Leave Management'!$C:$C,Detail!$A515,'Leave Management'!$B:$B,Detail!H$1)</f>
        <v>0</v>
      </c>
      <c r="I515" s="7">
        <f>SUMIFS('Leave Management'!$L:$L,'Leave Management'!$C:$C,Detail!$A515,'Leave Management'!$B:$B,Detail!I$1)</f>
        <v>0</v>
      </c>
      <c r="J515" s="7">
        <f>SUMIFS('Leave Management'!$L:$L,'Leave Management'!$C:$C,Detail!$A515,'Leave Management'!$B:$B,Detail!J$1)</f>
        <v>0</v>
      </c>
      <c r="K515" s="7">
        <f>SUMIFS('Leave Management'!$L:$L,'Leave Management'!$C:$C,Detail!$A515,'Leave Management'!$B:$B,Detail!K$1)</f>
        <v>0</v>
      </c>
      <c r="L515" s="7">
        <f>SUMIFS('Leave Management'!$L:$L,'Leave Management'!$C:$C,Detail!$A515,'Leave Management'!$B:$B,Detail!L$1)</f>
        <v>0</v>
      </c>
      <c r="M515" s="7">
        <f>SUMIFS('Leave Management'!$L:$L,'Leave Management'!$C:$C,Detail!$A515,'Leave Management'!$B:$B,Detail!M$1)</f>
        <v>0</v>
      </c>
      <c r="N515" s="7">
        <f>SUMIFS('Leave Management'!$L:$L,'Leave Management'!$C:$C,Detail!$A515,'Leave Management'!$B:$B,Detail!N$1)</f>
        <v>0</v>
      </c>
      <c r="O515" s="7">
        <f t="shared" si="18"/>
        <v>11</v>
      </c>
    </row>
    <row r="516" spans="1:15" x14ac:dyDescent="0.25">
      <c r="A516" s="24">
        <v>43614</v>
      </c>
      <c r="B516" s="2" t="str">
        <f t="shared" si="19"/>
        <v>Wed</v>
      </c>
      <c r="C516" s="7">
        <f>SUMIFS('Leave Management'!$L:$L,'Leave Management'!$C:$C,Detail!$A516,'Leave Management'!$B:$B,Detail!C$1)</f>
        <v>0</v>
      </c>
      <c r="D516" s="7">
        <f>SUMIFS('Leave Management'!$L:$L,'Leave Management'!$C:$C,Detail!$A516,'Leave Management'!$B:$B,Detail!D$1)</f>
        <v>0</v>
      </c>
      <c r="E516" s="7">
        <f>SUMIFS('Leave Management'!$L:$L,'Leave Management'!$C:$C,Detail!$A516,'Leave Management'!$B:$B,Detail!E$1)</f>
        <v>0</v>
      </c>
      <c r="F516" s="7">
        <f>SUMIFS('Leave Management'!$L:$L,'Leave Management'!$C:$C,Detail!$A516,'Leave Management'!$B:$B,Detail!F$1)</f>
        <v>0</v>
      </c>
      <c r="G516" s="7">
        <f>SUMIFS('Leave Management'!$L:$L,'Leave Management'!$C:$C,Detail!$A516,'Leave Management'!$B:$B,Detail!G$1)</f>
        <v>0.5</v>
      </c>
      <c r="H516" s="7">
        <f>SUMIFS('Leave Management'!$L:$L,'Leave Management'!$C:$C,Detail!$A516,'Leave Management'!$B:$B,Detail!H$1)</f>
        <v>0</v>
      </c>
      <c r="I516" s="7">
        <f>SUMIFS('Leave Management'!$L:$L,'Leave Management'!$C:$C,Detail!$A516,'Leave Management'!$B:$B,Detail!I$1)</f>
        <v>0</v>
      </c>
      <c r="J516" s="7">
        <f>SUMIFS('Leave Management'!$L:$L,'Leave Management'!$C:$C,Detail!$A516,'Leave Management'!$B:$B,Detail!J$1)</f>
        <v>0</v>
      </c>
      <c r="K516" s="7">
        <f>SUMIFS('Leave Management'!$L:$L,'Leave Management'!$C:$C,Detail!$A516,'Leave Management'!$B:$B,Detail!K$1)</f>
        <v>0</v>
      </c>
      <c r="L516" s="7">
        <f>SUMIFS('Leave Management'!$L:$L,'Leave Management'!$C:$C,Detail!$A516,'Leave Management'!$B:$B,Detail!L$1)</f>
        <v>0</v>
      </c>
      <c r="M516" s="7">
        <f>SUMIFS('Leave Management'!$L:$L,'Leave Management'!$C:$C,Detail!$A516,'Leave Management'!$B:$B,Detail!M$1)</f>
        <v>0</v>
      </c>
      <c r="N516" s="7">
        <f>SUMIFS('Leave Management'!$L:$L,'Leave Management'!$C:$C,Detail!$A516,'Leave Management'!$B:$B,Detail!N$1)</f>
        <v>0</v>
      </c>
      <c r="O516" s="7">
        <f t="shared" si="18"/>
        <v>10.5</v>
      </c>
    </row>
    <row r="517" spans="1:15" x14ac:dyDescent="0.25">
      <c r="A517" s="24">
        <v>43615</v>
      </c>
      <c r="B517" s="2" t="str">
        <f t="shared" si="19"/>
        <v>Thu</v>
      </c>
      <c r="C517" s="7">
        <f>SUMIFS('Leave Management'!$L:$L,'Leave Management'!$C:$C,Detail!$A517,'Leave Management'!$B:$B,Detail!C$1)</f>
        <v>0</v>
      </c>
      <c r="D517" s="7">
        <f>SUMIFS('Leave Management'!$L:$L,'Leave Management'!$C:$C,Detail!$A517,'Leave Management'!$B:$B,Detail!D$1)</f>
        <v>0</v>
      </c>
      <c r="E517" s="7">
        <f>SUMIFS('Leave Management'!$L:$L,'Leave Management'!$C:$C,Detail!$A517,'Leave Management'!$B:$B,Detail!E$1)</f>
        <v>0</v>
      </c>
      <c r="F517" s="7">
        <f>SUMIFS('Leave Management'!$L:$L,'Leave Management'!$C:$C,Detail!$A517,'Leave Management'!$B:$B,Detail!F$1)</f>
        <v>0</v>
      </c>
      <c r="G517" s="7">
        <f>SUMIFS('Leave Management'!$L:$L,'Leave Management'!$C:$C,Detail!$A517,'Leave Management'!$B:$B,Detail!G$1)</f>
        <v>0</v>
      </c>
      <c r="H517" s="7">
        <f>SUMIFS('Leave Management'!$L:$L,'Leave Management'!$C:$C,Detail!$A517,'Leave Management'!$B:$B,Detail!H$1)</f>
        <v>0</v>
      </c>
      <c r="I517" s="7">
        <f>SUMIFS('Leave Management'!$L:$L,'Leave Management'!$C:$C,Detail!$A517,'Leave Management'!$B:$B,Detail!I$1)</f>
        <v>0</v>
      </c>
      <c r="J517" s="7">
        <f>SUMIFS('Leave Management'!$L:$L,'Leave Management'!$C:$C,Detail!$A517,'Leave Management'!$B:$B,Detail!J$1)</f>
        <v>0</v>
      </c>
      <c r="K517" s="7">
        <f>SUMIFS('Leave Management'!$L:$L,'Leave Management'!$C:$C,Detail!$A517,'Leave Management'!$B:$B,Detail!K$1)</f>
        <v>0</v>
      </c>
      <c r="L517" s="7">
        <f>SUMIFS('Leave Management'!$L:$L,'Leave Management'!$C:$C,Detail!$A517,'Leave Management'!$B:$B,Detail!L$1)</f>
        <v>0</v>
      </c>
      <c r="M517" s="7">
        <f>SUMIFS('Leave Management'!$L:$L,'Leave Management'!$C:$C,Detail!$A517,'Leave Management'!$B:$B,Detail!M$1)</f>
        <v>0</v>
      </c>
      <c r="N517" s="7">
        <f>SUMIFS('Leave Management'!$L:$L,'Leave Management'!$C:$C,Detail!$A517,'Leave Management'!$B:$B,Detail!N$1)</f>
        <v>0</v>
      </c>
      <c r="O517" s="7">
        <f t="shared" si="18"/>
        <v>11</v>
      </c>
    </row>
    <row r="518" spans="1:15" x14ac:dyDescent="0.25">
      <c r="A518" s="24">
        <v>43616</v>
      </c>
      <c r="B518" s="2" t="str">
        <f t="shared" si="19"/>
        <v>Fri</v>
      </c>
      <c r="C518" s="7">
        <f>SUMIFS('Leave Management'!$L:$L,'Leave Management'!$C:$C,Detail!$A518,'Leave Management'!$B:$B,Detail!C$1)</f>
        <v>0</v>
      </c>
      <c r="D518" s="7">
        <f>SUMIFS('Leave Management'!$L:$L,'Leave Management'!$C:$C,Detail!$A518,'Leave Management'!$B:$B,Detail!D$1)</f>
        <v>0</v>
      </c>
      <c r="E518" s="7">
        <f>SUMIFS('Leave Management'!$L:$L,'Leave Management'!$C:$C,Detail!$A518,'Leave Management'!$B:$B,Detail!E$1)</f>
        <v>0</v>
      </c>
      <c r="F518" s="7">
        <f>SUMIFS('Leave Management'!$L:$L,'Leave Management'!$C:$C,Detail!$A518,'Leave Management'!$B:$B,Detail!F$1)</f>
        <v>0</v>
      </c>
      <c r="G518" s="7">
        <f>SUMIFS('Leave Management'!$L:$L,'Leave Management'!$C:$C,Detail!$A518,'Leave Management'!$B:$B,Detail!G$1)</f>
        <v>0</v>
      </c>
      <c r="H518" s="7">
        <f>SUMIFS('Leave Management'!$L:$L,'Leave Management'!$C:$C,Detail!$A518,'Leave Management'!$B:$B,Detail!H$1)</f>
        <v>0</v>
      </c>
      <c r="I518" s="7">
        <f>SUMIFS('Leave Management'!$L:$L,'Leave Management'!$C:$C,Detail!$A518,'Leave Management'!$B:$B,Detail!I$1)</f>
        <v>0</v>
      </c>
      <c r="J518" s="7">
        <f>SUMIFS('Leave Management'!$L:$L,'Leave Management'!$C:$C,Detail!$A518,'Leave Management'!$B:$B,Detail!J$1)</f>
        <v>0</v>
      </c>
      <c r="K518" s="7">
        <f>SUMIFS('Leave Management'!$L:$L,'Leave Management'!$C:$C,Detail!$A518,'Leave Management'!$B:$B,Detail!K$1)</f>
        <v>0</v>
      </c>
      <c r="L518" s="7">
        <f>SUMIFS('Leave Management'!$L:$L,'Leave Management'!$C:$C,Detail!$A518,'Leave Management'!$B:$B,Detail!L$1)</f>
        <v>0</v>
      </c>
      <c r="M518" s="7">
        <f>SUMIFS('Leave Management'!$L:$L,'Leave Management'!$C:$C,Detail!$A518,'Leave Management'!$B:$B,Detail!M$1)</f>
        <v>0</v>
      </c>
      <c r="N518" s="7">
        <f>SUMIFS('Leave Management'!$L:$L,'Leave Management'!$C:$C,Detail!$A518,'Leave Management'!$B:$B,Detail!N$1)</f>
        <v>0</v>
      </c>
      <c r="O518" s="7">
        <f t="shared" si="18"/>
        <v>11</v>
      </c>
    </row>
    <row r="519" spans="1:15" x14ac:dyDescent="0.25">
      <c r="A519" s="24">
        <v>43617</v>
      </c>
      <c r="B519" s="2" t="str">
        <f t="shared" si="19"/>
        <v>Sat</v>
      </c>
      <c r="C519" s="7">
        <f>SUMIFS('Leave Management'!$L:$L,'Leave Management'!$C:$C,Detail!$A519,'Leave Management'!$B:$B,Detail!C$1)</f>
        <v>0</v>
      </c>
      <c r="D519" s="7">
        <f>SUMIFS('Leave Management'!$L:$L,'Leave Management'!$C:$C,Detail!$A519,'Leave Management'!$B:$B,Detail!D$1)</f>
        <v>0</v>
      </c>
      <c r="E519" s="7">
        <f>SUMIFS('Leave Management'!$L:$L,'Leave Management'!$C:$C,Detail!$A519,'Leave Management'!$B:$B,Detail!E$1)</f>
        <v>0</v>
      </c>
      <c r="F519" s="7">
        <f>SUMIFS('Leave Management'!$L:$L,'Leave Management'!$C:$C,Detail!$A519,'Leave Management'!$B:$B,Detail!F$1)</f>
        <v>0</v>
      </c>
      <c r="G519" s="7">
        <f>SUMIFS('Leave Management'!$L:$L,'Leave Management'!$C:$C,Detail!$A519,'Leave Management'!$B:$B,Detail!G$1)</f>
        <v>0</v>
      </c>
      <c r="H519" s="7">
        <f>SUMIFS('Leave Management'!$L:$L,'Leave Management'!$C:$C,Detail!$A519,'Leave Management'!$B:$B,Detail!H$1)</f>
        <v>0</v>
      </c>
      <c r="I519" s="7">
        <f>SUMIFS('Leave Management'!$L:$L,'Leave Management'!$C:$C,Detail!$A519,'Leave Management'!$B:$B,Detail!I$1)</f>
        <v>0</v>
      </c>
      <c r="J519" s="7">
        <f>SUMIFS('Leave Management'!$L:$L,'Leave Management'!$C:$C,Detail!$A519,'Leave Management'!$B:$B,Detail!J$1)</f>
        <v>0</v>
      </c>
      <c r="K519" s="7">
        <f>SUMIFS('Leave Management'!$L:$L,'Leave Management'!$C:$C,Detail!$A519,'Leave Management'!$B:$B,Detail!K$1)</f>
        <v>0</v>
      </c>
      <c r="L519" s="7">
        <f>SUMIFS('Leave Management'!$L:$L,'Leave Management'!$C:$C,Detail!$A519,'Leave Management'!$B:$B,Detail!L$1)</f>
        <v>0</v>
      </c>
      <c r="M519" s="7">
        <f>SUMIFS('Leave Management'!$L:$L,'Leave Management'!$C:$C,Detail!$A519,'Leave Management'!$B:$B,Detail!M$1)</f>
        <v>0</v>
      </c>
      <c r="N519" s="7">
        <f>SUMIFS('Leave Management'!$L:$L,'Leave Management'!$C:$C,Detail!$A519,'Leave Management'!$B:$B,Detail!N$1)</f>
        <v>0</v>
      </c>
      <c r="O519" s="7">
        <f t="shared" si="18"/>
        <v>11</v>
      </c>
    </row>
    <row r="520" spans="1:15" x14ac:dyDescent="0.25">
      <c r="A520" s="24">
        <v>43618</v>
      </c>
      <c r="B520" s="2" t="str">
        <f t="shared" si="19"/>
        <v>Sun</v>
      </c>
      <c r="C520" s="7">
        <f>SUMIFS('Leave Management'!$L:$L,'Leave Management'!$C:$C,Detail!$A520,'Leave Management'!$B:$B,Detail!C$1)</f>
        <v>0</v>
      </c>
      <c r="D520" s="7">
        <f>SUMIFS('Leave Management'!$L:$L,'Leave Management'!$C:$C,Detail!$A520,'Leave Management'!$B:$B,Detail!D$1)</f>
        <v>0</v>
      </c>
      <c r="E520" s="7">
        <f>SUMIFS('Leave Management'!$L:$L,'Leave Management'!$C:$C,Detail!$A520,'Leave Management'!$B:$B,Detail!E$1)</f>
        <v>0</v>
      </c>
      <c r="F520" s="7">
        <f>SUMIFS('Leave Management'!$L:$L,'Leave Management'!$C:$C,Detail!$A520,'Leave Management'!$B:$B,Detail!F$1)</f>
        <v>0</v>
      </c>
      <c r="G520" s="7">
        <f>SUMIFS('Leave Management'!$L:$L,'Leave Management'!$C:$C,Detail!$A520,'Leave Management'!$B:$B,Detail!G$1)</f>
        <v>0</v>
      </c>
      <c r="H520" s="7">
        <f>SUMIFS('Leave Management'!$L:$L,'Leave Management'!$C:$C,Detail!$A520,'Leave Management'!$B:$B,Detail!H$1)</f>
        <v>0</v>
      </c>
      <c r="I520" s="7">
        <f>SUMIFS('Leave Management'!$L:$L,'Leave Management'!$C:$C,Detail!$A520,'Leave Management'!$B:$B,Detail!I$1)</f>
        <v>0</v>
      </c>
      <c r="J520" s="7">
        <f>SUMIFS('Leave Management'!$L:$L,'Leave Management'!$C:$C,Detail!$A520,'Leave Management'!$B:$B,Detail!J$1)</f>
        <v>0</v>
      </c>
      <c r="K520" s="7">
        <f>SUMIFS('Leave Management'!$L:$L,'Leave Management'!$C:$C,Detail!$A520,'Leave Management'!$B:$B,Detail!K$1)</f>
        <v>0</v>
      </c>
      <c r="L520" s="7">
        <f>SUMIFS('Leave Management'!$L:$L,'Leave Management'!$C:$C,Detail!$A520,'Leave Management'!$B:$B,Detail!L$1)</f>
        <v>0</v>
      </c>
      <c r="M520" s="7">
        <f>SUMIFS('Leave Management'!$L:$L,'Leave Management'!$C:$C,Detail!$A520,'Leave Management'!$B:$B,Detail!M$1)</f>
        <v>0</v>
      </c>
      <c r="N520" s="7">
        <f>SUMIFS('Leave Management'!$L:$L,'Leave Management'!$C:$C,Detail!$A520,'Leave Management'!$B:$B,Detail!N$1)</f>
        <v>0</v>
      </c>
      <c r="O520" s="7">
        <f t="shared" si="18"/>
        <v>11</v>
      </c>
    </row>
    <row r="521" spans="1:15" x14ac:dyDescent="0.25">
      <c r="A521" s="24">
        <v>43619</v>
      </c>
      <c r="B521" s="2" t="str">
        <f t="shared" si="19"/>
        <v>Mon</v>
      </c>
      <c r="C521" s="7">
        <f>SUMIFS('Leave Management'!$L:$L,'Leave Management'!$C:$C,Detail!$A521,'Leave Management'!$B:$B,Detail!C$1)</f>
        <v>0</v>
      </c>
      <c r="D521" s="7">
        <f>SUMIFS('Leave Management'!$L:$L,'Leave Management'!$C:$C,Detail!$A521,'Leave Management'!$B:$B,Detail!D$1)</f>
        <v>0</v>
      </c>
      <c r="E521" s="7">
        <f>SUMIFS('Leave Management'!$L:$L,'Leave Management'!$C:$C,Detail!$A521,'Leave Management'!$B:$B,Detail!E$1)</f>
        <v>0</v>
      </c>
      <c r="F521" s="7">
        <f>SUMIFS('Leave Management'!$L:$L,'Leave Management'!$C:$C,Detail!$A521,'Leave Management'!$B:$B,Detail!F$1)</f>
        <v>0</v>
      </c>
      <c r="G521" s="7">
        <f>SUMIFS('Leave Management'!$L:$L,'Leave Management'!$C:$C,Detail!$A521,'Leave Management'!$B:$B,Detail!G$1)</f>
        <v>0</v>
      </c>
      <c r="H521" s="7">
        <f>SUMIFS('Leave Management'!$L:$L,'Leave Management'!$C:$C,Detail!$A521,'Leave Management'!$B:$B,Detail!H$1)</f>
        <v>0</v>
      </c>
      <c r="I521" s="7">
        <f>SUMIFS('Leave Management'!$L:$L,'Leave Management'!$C:$C,Detail!$A521,'Leave Management'!$B:$B,Detail!I$1)</f>
        <v>0</v>
      </c>
      <c r="J521" s="7">
        <f>SUMIFS('Leave Management'!$L:$L,'Leave Management'!$C:$C,Detail!$A521,'Leave Management'!$B:$B,Detail!J$1)</f>
        <v>0</v>
      </c>
      <c r="K521" s="7">
        <f>SUMIFS('Leave Management'!$L:$L,'Leave Management'!$C:$C,Detail!$A521,'Leave Management'!$B:$B,Detail!K$1)</f>
        <v>0</v>
      </c>
      <c r="L521" s="7">
        <f>SUMIFS('Leave Management'!$L:$L,'Leave Management'!$C:$C,Detail!$A521,'Leave Management'!$B:$B,Detail!L$1)</f>
        <v>0</v>
      </c>
      <c r="M521" s="7">
        <f>SUMIFS('Leave Management'!$L:$L,'Leave Management'!$C:$C,Detail!$A521,'Leave Management'!$B:$B,Detail!M$1)</f>
        <v>0</v>
      </c>
      <c r="N521" s="7">
        <f>SUMIFS('Leave Management'!$L:$L,'Leave Management'!$C:$C,Detail!$A521,'Leave Management'!$B:$B,Detail!N$1)</f>
        <v>0</v>
      </c>
      <c r="O521" s="7">
        <f t="shared" si="18"/>
        <v>11</v>
      </c>
    </row>
    <row r="522" spans="1:15" x14ac:dyDescent="0.25">
      <c r="A522" s="24">
        <v>43620</v>
      </c>
      <c r="B522" s="2" t="str">
        <f t="shared" si="19"/>
        <v>Tue</v>
      </c>
      <c r="C522" s="7">
        <f>SUMIFS('Leave Management'!$L:$L,'Leave Management'!$C:$C,Detail!$A522,'Leave Management'!$B:$B,Detail!C$1)</f>
        <v>0</v>
      </c>
      <c r="D522" s="7">
        <f>SUMIFS('Leave Management'!$L:$L,'Leave Management'!$C:$C,Detail!$A522,'Leave Management'!$B:$B,Detail!D$1)</f>
        <v>0</v>
      </c>
      <c r="E522" s="7">
        <f>SUMIFS('Leave Management'!$L:$L,'Leave Management'!$C:$C,Detail!$A522,'Leave Management'!$B:$B,Detail!E$1)</f>
        <v>0</v>
      </c>
      <c r="F522" s="7">
        <f>SUMIFS('Leave Management'!$L:$L,'Leave Management'!$C:$C,Detail!$A522,'Leave Management'!$B:$B,Detail!F$1)</f>
        <v>0</v>
      </c>
      <c r="G522" s="7">
        <f>SUMIFS('Leave Management'!$L:$L,'Leave Management'!$C:$C,Detail!$A522,'Leave Management'!$B:$B,Detail!G$1)</f>
        <v>0</v>
      </c>
      <c r="H522" s="7">
        <f>SUMIFS('Leave Management'!$L:$L,'Leave Management'!$C:$C,Detail!$A522,'Leave Management'!$B:$B,Detail!H$1)</f>
        <v>0</v>
      </c>
      <c r="I522" s="7">
        <f>SUMIFS('Leave Management'!$L:$L,'Leave Management'!$C:$C,Detail!$A522,'Leave Management'!$B:$B,Detail!I$1)</f>
        <v>0</v>
      </c>
      <c r="J522" s="7">
        <f>SUMIFS('Leave Management'!$L:$L,'Leave Management'!$C:$C,Detail!$A522,'Leave Management'!$B:$B,Detail!J$1)</f>
        <v>0</v>
      </c>
      <c r="K522" s="7">
        <f>SUMIFS('Leave Management'!$L:$L,'Leave Management'!$C:$C,Detail!$A522,'Leave Management'!$B:$B,Detail!K$1)</f>
        <v>0</v>
      </c>
      <c r="L522" s="7">
        <f>SUMIFS('Leave Management'!$L:$L,'Leave Management'!$C:$C,Detail!$A522,'Leave Management'!$B:$B,Detail!L$1)</f>
        <v>0</v>
      </c>
      <c r="M522" s="7">
        <f>SUMIFS('Leave Management'!$L:$L,'Leave Management'!$C:$C,Detail!$A522,'Leave Management'!$B:$B,Detail!M$1)</f>
        <v>0</v>
      </c>
      <c r="N522" s="7">
        <f>SUMIFS('Leave Management'!$L:$L,'Leave Management'!$C:$C,Detail!$A522,'Leave Management'!$B:$B,Detail!N$1)</f>
        <v>0</v>
      </c>
      <c r="O522" s="7">
        <f t="shared" si="18"/>
        <v>11</v>
      </c>
    </row>
    <row r="523" spans="1:15" x14ac:dyDescent="0.25">
      <c r="A523" s="24">
        <v>43621</v>
      </c>
      <c r="B523" s="2" t="str">
        <f t="shared" si="19"/>
        <v>Wed</v>
      </c>
      <c r="C523" s="7">
        <f>SUMIFS('Leave Management'!$L:$L,'Leave Management'!$C:$C,Detail!$A523,'Leave Management'!$B:$B,Detail!C$1)</f>
        <v>0</v>
      </c>
      <c r="D523" s="7">
        <f>SUMIFS('Leave Management'!$L:$L,'Leave Management'!$C:$C,Detail!$A523,'Leave Management'!$B:$B,Detail!D$1)</f>
        <v>0</v>
      </c>
      <c r="E523" s="7">
        <f>SUMIFS('Leave Management'!$L:$L,'Leave Management'!$C:$C,Detail!$A523,'Leave Management'!$B:$B,Detail!E$1)</f>
        <v>0</v>
      </c>
      <c r="F523" s="7">
        <f>SUMIFS('Leave Management'!$L:$L,'Leave Management'!$C:$C,Detail!$A523,'Leave Management'!$B:$B,Detail!F$1)</f>
        <v>0</v>
      </c>
      <c r="G523" s="7">
        <f>SUMIFS('Leave Management'!$L:$L,'Leave Management'!$C:$C,Detail!$A523,'Leave Management'!$B:$B,Detail!G$1)</f>
        <v>0</v>
      </c>
      <c r="H523" s="7">
        <f>SUMIFS('Leave Management'!$L:$L,'Leave Management'!$C:$C,Detail!$A523,'Leave Management'!$B:$B,Detail!H$1)</f>
        <v>0</v>
      </c>
      <c r="I523" s="7">
        <f>SUMIFS('Leave Management'!$L:$L,'Leave Management'!$C:$C,Detail!$A523,'Leave Management'!$B:$B,Detail!I$1)</f>
        <v>0</v>
      </c>
      <c r="J523" s="7">
        <f>SUMIFS('Leave Management'!$L:$L,'Leave Management'!$C:$C,Detail!$A523,'Leave Management'!$B:$B,Detail!J$1)</f>
        <v>0</v>
      </c>
      <c r="K523" s="7">
        <f>SUMIFS('Leave Management'!$L:$L,'Leave Management'!$C:$C,Detail!$A523,'Leave Management'!$B:$B,Detail!K$1)</f>
        <v>0</v>
      </c>
      <c r="L523" s="7">
        <f>SUMIFS('Leave Management'!$L:$L,'Leave Management'!$C:$C,Detail!$A523,'Leave Management'!$B:$B,Detail!L$1)</f>
        <v>0</v>
      </c>
      <c r="M523" s="7">
        <f>SUMIFS('Leave Management'!$L:$L,'Leave Management'!$C:$C,Detail!$A523,'Leave Management'!$B:$B,Detail!M$1)</f>
        <v>0</v>
      </c>
      <c r="N523" s="7">
        <f>SUMIFS('Leave Management'!$L:$L,'Leave Management'!$C:$C,Detail!$A523,'Leave Management'!$B:$B,Detail!N$1)</f>
        <v>0</v>
      </c>
      <c r="O523" s="7">
        <f t="shared" ref="O523:O586" si="20">COUNTA($D$1:$N$1)-SUM($C523:$N523)</f>
        <v>11</v>
      </c>
    </row>
    <row r="524" spans="1:15" x14ac:dyDescent="0.25">
      <c r="A524" s="24">
        <v>43622</v>
      </c>
      <c r="B524" s="2" t="str">
        <f t="shared" si="19"/>
        <v>Thu</v>
      </c>
      <c r="C524" s="7">
        <f>SUMIFS('Leave Management'!$L:$L,'Leave Management'!$C:$C,Detail!$A524,'Leave Management'!$B:$B,Detail!C$1)</f>
        <v>0</v>
      </c>
      <c r="D524" s="7">
        <f>SUMIFS('Leave Management'!$L:$L,'Leave Management'!$C:$C,Detail!$A524,'Leave Management'!$B:$B,Detail!D$1)</f>
        <v>0</v>
      </c>
      <c r="E524" s="7">
        <f>SUMIFS('Leave Management'!$L:$L,'Leave Management'!$C:$C,Detail!$A524,'Leave Management'!$B:$B,Detail!E$1)</f>
        <v>0</v>
      </c>
      <c r="F524" s="7">
        <f>SUMIFS('Leave Management'!$L:$L,'Leave Management'!$C:$C,Detail!$A524,'Leave Management'!$B:$B,Detail!F$1)</f>
        <v>0</v>
      </c>
      <c r="G524" s="7">
        <f>SUMIFS('Leave Management'!$L:$L,'Leave Management'!$C:$C,Detail!$A524,'Leave Management'!$B:$B,Detail!G$1)</f>
        <v>0</v>
      </c>
      <c r="H524" s="7">
        <f>SUMIFS('Leave Management'!$L:$L,'Leave Management'!$C:$C,Detail!$A524,'Leave Management'!$B:$B,Detail!H$1)</f>
        <v>0</v>
      </c>
      <c r="I524" s="7">
        <f>SUMIFS('Leave Management'!$L:$L,'Leave Management'!$C:$C,Detail!$A524,'Leave Management'!$B:$B,Detail!I$1)</f>
        <v>0</v>
      </c>
      <c r="J524" s="7">
        <f>SUMIFS('Leave Management'!$L:$L,'Leave Management'!$C:$C,Detail!$A524,'Leave Management'!$B:$B,Detail!J$1)</f>
        <v>0</v>
      </c>
      <c r="K524" s="7">
        <f>SUMIFS('Leave Management'!$L:$L,'Leave Management'!$C:$C,Detail!$A524,'Leave Management'!$B:$B,Detail!K$1)</f>
        <v>0</v>
      </c>
      <c r="L524" s="7">
        <f>SUMIFS('Leave Management'!$L:$L,'Leave Management'!$C:$C,Detail!$A524,'Leave Management'!$B:$B,Detail!L$1)</f>
        <v>0</v>
      </c>
      <c r="M524" s="7">
        <f>SUMIFS('Leave Management'!$L:$L,'Leave Management'!$C:$C,Detail!$A524,'Leave Management'!$B:$B,Detail!M$1)</f>
        <v>0</v>
      </c>
      <c r="N524" s="7">
        <f>SUMIFS('Leave Management'!$L:$L,'Leave Management'!$C:$C,Detail!$A524,'Leave Management'!$B:$B,Detail!N$1)</f>
        <v>0</v>
      </c>
      <c r="O524" s="7">
        <f t="shared" si="20"/>
        <v>11</v>
      </c>
    </row>
    <row r="525" spans="1:15" x14ac:dyDescent="0.25">
      <c r="A525" s="24">
        <v>43623</v>
      </c>
      <c r="B525" s="2" t="str">
        <f t="shared" si="19"/>
        <v>Fri</v>
      </c>
      <c r="C525" s="7">
        <f>SUMIFS('Leave Management'!$L:$L,'Leave Management'!$C:$C,Detail!$A525,'Leave Management'!$B:$B,Detail!C$1)</f>
        <v>0</v>
      </c>
      <c r="D525" s="7">
        <f>SUMIFS('Leave Management'!$L:$L,'Leave Management'!$C:$C,Detail!$A525,'Leave Management'!$B:$B,Detail!D$1)</f>
        <v>0</v>
      </c>
      <c r="E525" s="7">
        <f>SUMIFS('Leave Management'!$L:$L,'Leave Management'!$C:$C,Detail!$A525,'Leave Management'!$B:$B,Detail!E$1)</f>
        <v>0</v>
      </c>
      <c r="F525" s="7">
        <f>SUMIFS('Leave Management'!$L:$L,'Leave Management'!$C:$C,Detail!$A525,'Leave Management'!$B:$B,Detail!F$1)</f>
        <v>0</v>
      </c>
      <c r="G525" s="7">
        <f>SUMIFS('Leave Management'!$L:$L,'Leave Management'!$C:$C,Detail!$A525,'Leave Management'!$B:$B,Detail!G$1)</f>
        <v>0</v>
      </c>
      <c r="H525" s="7">
        <f>SUMIFS('Leave Management'!$L:$L,'Leave Management'!$C:$C,Detail!$A525,'Leave Management'!$B:$B,Detail!H$1)</f>
        <v>0</v>
      </c>
      <c r="I525" s="7">
        <f>SUMIFS('Leave Management'!$L:$L,'Leave Management'!$C:$C,Detail!$A525,'Leave Management'!$B:$B,Detail!I$1)</f>
        <v>0</v>
      </c>
      <c r="J525" s="7">
        <f>SUMIFS('Leave Management'!$L:$L,'Leave Management'!$C:$C,Detail!$A525,'Leave Management'!$B:$B,Detail!J$1)</f>
        <v>0</v>
      </c>
      <c r="K525" s="7">
        <f>SUMIFS('Leave Management'!$L:$L,'Leave Management'!$C:$C,Detail!$A525,'Leave Management'!$B:$B,Detail!K$1)</f>
        <v>0</v>
      </c>
      <c r="L525" s="7">
        <f>SUMIFS('Leave Management'!$L:$L,'Leave Management'!$C:$C,Detail!$A525,'Leave Management'!$B:$B,Detail!L$1)</f>
        <v>0</v>
      </c>
      <c r="M525" s="7">
        <f>SUMIFS('Leave Management'!$L:$L,'Leave Management'!$C:$C,Detail!$A525,'Leave Management'!$B:$B,Detail!M$1)</f>
        <v>0</v>
      </c>
      <c r="N525" s="7">
        <f>SUMIFS('Leave Management'!$L:$L,'Leave Management'!$C:$C,Detail!$A525,'Leave Management'!$B:$B,Detail!N$1)</f>
        <v>0</v>
      </c>
      <c r="O525" s="7">
        <f t="shared" si="20"/>
        <v>11</v>
      </c>
    </row>
    <row r="526" spans="1:15" x14ac:dyDescent="0.25">
      <c r="A526" s="24">
        <v>43624</v>
      </c>
      <c r="B526" s="2" t="str">
        <f t="shared" si="19"/>
        <v>Sat</v>
      </c>
      <c r="C526" s="7">
        <f>SUMIFS('Leave Management'!$L:$L,'Leave Management'!$C:$C,Detail!$A526,'Leave Management'!$B:$B,Detail!C$1)</f>
        <v>0</v>
      </c>
      <c r="D526" s="7">
        <f>SUMIFS('Leave Management'!$L:$L,'Leave Management'!$C:$C,Detail!$A526,'Leave Management'!$B:$B,Detail!D$1)</f>
        <v>0</v>
      </c>
      <c r="E526" s="7">
        <f>SUMIFS('Leave Management'!$L:$L,'Leave Management'!$C:$C,Detail!$A526,'Leave Management'!$B:$B,Detail!E$1)</f>
        <v>0</v>
      </c>
      <c r="F526" s="7">
        <f>SUMIFS('Leave Management'!$L:$L,'Leave Management'!$C:$C,Detail!$A526,'Leave Management'!$B:$B,Detail!F$1)</f>
        <v>0</v>
      </c>
      <c r="G526" s="7">
        <f>SUMIFS('Leave Management'!$L:$L,'Leave Management'!$C:$C,Detail!$A526,'Leave Management'!$B:$B,Detail!G$1)</f>
        <v>0</v>
      </c>
      <c r="H526" s="7">
        <f>SUMIFS('Leave Management'!$L:$L,'Leave Management'!$C:$C,Detail!$A526,'Leave Management'!$B:$B,Detail!H$1)</f>
        <v>0</v>
      </c>
      <c r="I526" s="7">
        <f>SUMIFS('Leave Management'!$L:$L,'Leave Management'!$C:$C,Detail!$A526,'Leave Management'!$B:$B,Detail!I$1)</f>
        <v>0</v>
      </c>
      <c r="J526" s="7">
        <f>SUMIFS('Leave Management'!$L:$L,'Leave Management'!$C:$C,Detail!$A526,'Leave Management'!$B:$B,Detail!J$1)</f>
        <v>0</v>
      </c>
      <c r="K526" s="7">
        <f>SUMIFS('Leave Management'!$L:$L,'Leave Management'!$C:$C,Detail!$A526,'Leave Management'!$B:$B,Detail!K$1)</f>
        <v>0</v>
      </c>
      <c r="L526" s="7">
        <f>SUMIFS('Leave Management'!$L:$L,'Leave Management'!$C:$C,Detail!$A526,'Leave Management'!$B:$B,Detail!L$1)</f>
        <v>0</v>
      </c>
      <c r="M526" s="7">
        <f>SUMIFS('Leave Management'!$L:$L,'Leave Management'!$C:$C,Detail!$A526,'Leave Management'!$B:$B,Detail!M$1)</f>
        <v>0</v>
      </c>
      <c r="N526" s="7">
        <f>SUMIFS('Leave Management'!$L:$L,'Leave Management'!$C:$C,Detail!$A526,'Leave Management'!$B:$B,Detail!N$1)</f>
        <v>0</v>
      </c>
      <c r="O526" s="7">
        <f t="shared" si="20"/>
        <v>11</v>
      </c>
    </row>
    <row r="527" spans="1:15" x14ac:dyDescent="0.25">
      <c r="A527" s="24">
        <v>43625</v>
      </c>
      <c r="B527" s="2" t="str">
        <f t="shared" si="19"/>
        <v>Sun</v>
      </c>
      <c r="C527" s="7">
        <f>SUMIFS('Leave Management'!$L:$L,'Leave Management'!$C:$C,Detail!$A527,'Leave Management'!$B:$B,Detail!C$1)</f>
        <v>0</v>
      </c>
      <c r="D527" s="7">
        <f>SUMIFS('Leave Management'!$L:$L,'Leave Management'!$C:$C,Detail!$A527,'Leave Management'!$B:$B,Detail!D$1)</f>
        <v>0</v>
      </c>
      <c r="E527" s="7">
        <f>SUMIFS('Leave Management'!$L:$L,'Leave Management'!$C:$C,Detail!$A527,'Leave Management'!$B:$B,Detail!E$1)</f>
        <v>0</v>
      </c>
      <c r="F527" s="7">
        <f>SUMIFS('Leave Management'!$L:$L,'Leave Management'!$C:$C,Detail!$A527,'Leave Management'!$B:$B,Detail!F$1)</f>
        <v>0</v>
      </c>
      <c r="G527" s="7">
        <f>SUMIFS('Leave Management'!$L:$L,'Leave Management'!$C:$C,Detail!$A527,'Leave Management'!$B:$B,Detail!G$1)</f>
        <v>0</v>
      </c>
      <c r="H527" s="7">
        <f>SUMIFS('Leave Management'!$L:$L,'Leave Management'!$C:$C,Detail!$A527,'Leave Management'!$B:$B,Detail!H$1)</f>
        <v>0</v>
      </c>
      <c r="I527" s="7">
        <f>SUMIFS('Leave Management'!$L:$L,'Leave Management'!$C:$C,Detail!$A527,'Leave Management'!$B:$B,Detail!I$1)</f>
        <v>0</v>
      </c>
      <c r="J527" s="7">
        <f>SUMIFS('Leave Management'!$L:$L,'Leave Management'!$C:$C,Detail!$A527,'Leave Management'!$B:$B,Detail!J$1)</f>
        <v>0</v>
      </c>
      <c r="K527" s="7">
        <f>SUMIFS('Leave Management'!$L:$L,'Leave Management'!$C:$C,Detail!$A527,'Leave Management'!$B:$B,Detail!K$1)</f>
        <v>0</v>
      </c>
      <c r="L527" s="7">
        <f>SUMIFS('Leave Management'!$L:$L,'Leave Management'!$C:$C,Detail!$A527,'Leave Management'!$B:$B,Detail!L$1)</f>
        <v>0</v>
      </c>
      <c r="M527" s="7">
        <f>SUMIFS('Leave Management'!$L:$L,'Leave Management'!$C:$C,Detail!$A527,'Leave Management'!$B:$B,Detail!M$1)</f>
        <v>0</v>
      </c>
      <c r="N527" s="7">
        <f>SUMIFS('Leave Management'!$L:$L,'Leave Management'!$C:$C,Detail!$A527,'Leave Management'!$B:$B,Detail!N$1)</f>
        <v>0</v>
      </c>
      <c r="O527" s="7">
        <f t="shared" si="20"/>
        <v>11</v>
      </c>
    </row>
    <row r="528" spans="1:15" x14ac:dyDescent="0.25">
      <c r="A528" s="24">
        <v>43626</v>
      </c>
      <c r="B528" s="2" t="str">
        <f t="shared" si="19"/>
        <v>Mon</v>
      </c>
      <c r="C528" s="7">
        <f>SUMIFS('Leave Management'!$L:$L,'Leave Management'!$C:$C,Detail!$A528,'Leave Management'!$B:$B,Detail!C$1)</f>
        <v>0</v>
      </c>
      <c r="D528" s="7">
        <f>SUMIFS('Leave Management'!$L:$L,'Leave Management'!$C:$C,Detail!$A528,'Leave Management'!$B:$B,Detail!D$1)</f>
        <v>1</v>
      </c>
      <c r="E528" s="7">
        <f>SUMIFS('Leave Management'!$L:$L,'Leave Management'!$C:$C,Detail!$A528,'Leave Management'!$B:$B,Detail!E$1)</f>
        <v>0</v>
      </c>
      <c r="F528" s="7">
        <f>SUMIFS('Leave Management'!$L:$L,'Leave Management'!$C:$C,Detail!$A528,'Leave Management'!$B:$B,Detail!F$1)</f>
        <v>0</v>
      </c>
      <c r="G528" s="7">
        <f>SUMIFS('Leave Management'!$L:$L,'Leave Management'!$C:$C,Detail!$A528,'Leave Management'!$B:$B,Detail!G$1)</f>
        <v>0</v>
      </c>
      <c r="H528" s="7">
        <f>SUMIFS('Leave Management'!$L:$L,'Leave Management'!$C:$C,Detail!$A528,'Leave Management'!$B:$B,Detail!H$1)</f>
        <v>0</v>
      </c>
      <c r="I528" s="7">
        <f>SUMIFS('Leave Management'!$L:$L,'Leave Management'!$C:$C,Detail!$A528,'Leave Management'!$B:$B,Detail!I$1)</f>
        <v>0</v>
      </c>
      <c r="J528" s="7">
        <f>SUMIFS('Leave Management'!$L:$L,'Leave Management'!$C:$C,Detail!$A528,'Leave Management'!$B:$B,Detail!J$1)</f>
        <v>0</v>
      </c>
      <c r="K528" s="7">
        <f>SUMIFS('Leave Management'!$L:$L,'Leave Management'!$C:$C,Detail!$A528,'Leave Management'!$B:$B,Detail!K$1)</f>
        <v>0</v>
      </c>
      <c r="L528" s="7">
        <f>SUMIFS('Leave Management'!$L:$L,'Leave Management'!$C:$C,Detail!$A528,'Leave Management'!$B:$B,Detail!L$1)</f>
        <v>0</v>
      </c>
      <c r="M528" s="7">
        <f>SUMIFS('Leave Management'!$L:$L,'Leave Management'!$C:$C,Detail!$A528,'Leave Management'!$B:$B,Detail!M$1)</f>
        <v>0</v>
      </c>
      <c r="N528" s="7">
        <f>SUMIFS('Leave Management'!$L:$L,'Leave Management'!$C:$C,Detail!$A528,'Leave Management'!$B:$B,Detail!N$1)</f>
        <v>0</v>
      </c>
      <c r="O528" s="7">
        <f t="shared" si="20"/>
        <v>10</v>
      </c>
    </row>
    <row r="529" spans="1:15" x14ac:dyDescent="0.25">
      <c r="A529" s="24">
        <v>43627</v>
      </c>
      <c r="B529" s="2" t="str">
        <f t="shared" si="19"/>
        <v>Tue</v>
      </c>
      <c r="C529" s="7">
        <f>SUMIFS('Leave Management'!$L:$L,'Leave Management'!$C:$C,Detail!$A529,'Leave Management'!$B:$B,Detail!C$1)</f>
        <v>0</v>
      </c>
      <c r="D529" s="7">
        <f>SUMIFS('Leave Management'!$L:$L,'Leave Management'!$C:$C,Detail!$A529,'Leave Management'!$B:$B,Detail!D$1)</f>
        <v>1</v>
      </c>
      <c r="E529" s="7">
        <f>SUMIFS('Leave Management'!$L:$L,'Leave Management'!$C:$C,Detail!$A529,'Leave Management'!$B:$B,Detail!E$1)</f>
        <v>0</v>
      </c>
      <c r="F529" s="7">
        <f>SUMIFS('Leave Management'!$L:$L,'Leave Management'!$C:$C,Detail!$A529,'Leave Management'!$B:$B,Detail!F$1)</f>
        <v>0</v>
      </c>
      <c r="G529" s="7">
        <f>SUMIFS('Leave Management'!$L:$L,'Leave Management'!$C:$C,Detail!$A529,'Leave Management'!$B:$B,Detail!G$1)</f>
        <v>0</v>
      </c>
      <c r="H529" s="7">
        <f>SUMIFS('Leave Management'!$L:$L,'Leave Management'!$C:$C,Detail!$A529,'Leave Management'!$B:$B,Detail!H$1)</f>
        <v>0</v>
      </c>
      <c r="I529" s="7">
        <f>SUMIFS('Leave Management'!$L:$L,'Leave Management'!$C:$C,Detail!$A529,'Leave Management'!$B:$B,Detail!I$1)</f>
        <v>0</v>
      </c>
      <c r="J529" s="7">
        <f>SUMIFS('Leave Management'!$L:$L,'Leave Management'!$C:$C,Detail!$A529,'Leave Management'!$B:$B,Detail!J$1)</f>
        <v>0</v>
      </c>
      <c r="K529" s="7">
        <f>SUMIFS('Leave Management'!$L:$L,'Leave Management'!$C:$C,Detail!$A529,'Leave Management'!$B:$B,Detail!K$1)</f>
        <v>0</v>
      </c>
      <c r="L529" s="7">
        <f>SUMIFS('Leave Management'!$L:$L,'Leave Management'!$C:$C,Detail!$A529,'Leave Management'!$B:$B,Detail!L$1)</f>
        <v>0</v>
      </c>
      <c r="M529" s="7">
        <f>SUMIFS('Leave Management'!$L:$L,'Leave Management'!$C:$C,Detail!$A529,'Leave Management'!$B:$B,Detail!M$1)</f>
        <v>0</v>
      </c>
      <c r="N529" s="7">
        <f>SUMIFS('Leave Management'!$L:$L,'Leave Management'!$C:$C,Detail!$A529,'Leave Management'!$B:$B,Detail!N$1)</f>
        <v>0</v>
      </c>
      <c r="O529" s="7">
        <f t="shared" si="20"/>
        <v>10</v>
      </c>
    </row>
    <row r="530" spans="1:15" x14ac:dyDescent="0.25">
      <c r="A530" s="24">
        <v>43628</v>
      </c>
      <c r="B530" s="2" t="str">
        <f t="shared" si="19"/>
        <v>Wed</v>
      </c>
      <c r="C530" s="7">
        <f>SUMIFS('Leave Management'!$L:$L,'Leave Management'!$C:$C,Detail!$A530,'Leave Management'!$B:$B,Detail!C$1)</f>
        <v>0</v>
      </c>
      <c r="D530" s="7">
        <f>SUMIFS('Leave Management'!$L:$L,'Leave Management'!$C:$C,Detail!$A530,'Leave Management'!$B:$B,Detail!D$1)</f>
        <v>0</v>
      </c>
      <c r="E530" s="7">
        <f>SUMIFS('Leave Management'!$L:$L,'Leave Management'!$C:$C,Detail!$A530,'Leave Management'!$B:$B,Detail!E$1)</f>
        <v>0</v>
      </c>
      <c r="F530" s="7">
        <f>SUMIFS('Leave Management'!$L:$L,'Leave Management'!$C:$C,Detail!$A530,'Leave Management'!$B:$B,Detail!F$1)</f>
        <v>0</v>
      </c>
      <c r="G530" s="7">
        <f>SUMIFS('Leave Management'!$L:$L,'Leave Management'!$C:$C,Detail!$A530,'Leave Management'!$B:$B,Detail!G$1)</f>
        <v>0</v>
      </c>
      <c r="H530" s="7">
        <f>SUMIFS('Leave Management'!$L:$L,'Leave Management'!$C:$C,Detail!$A530,'Leave Management'!$B:$B,Detail!H$1)</f>
        <v>0</v>
      </c>
      <c r="I530" s="7">
        <f>SUMIFS('Leave Management'!$L:$L,'Leave Management'!$C:$C,Detail!$A530,'Leave Management'!$B:$B,Detail!I$1)</f>
        <v>0</v>
      </c>
      <c r="J530" s="7">
        <f>SUMIFS('Leave Management'!$L:$L,'Leave Management'!$C:$C,Detail!$A530,'Leave Management'!$B:$B,Detail!J$1)</f>
        <v>0</v>
      </c>
      <c r="K530" s="7">
        <f>SUMIFS('Leave Management'!$L:$L,'Leave Management'!$C:$C,Detail!$A530,'Leave Management'!$B:$B,Detail!K$1)</f>
        <v>0</v>
      </c>
      <c r="L530" s="7">
        <f>SUMIFS('Leave Management'!$L:$L,'Leave Management'!$C:$C,Detail!$A530,'Leave Management'!$B:$B,Detail!L$1)</f>
        <v>0</v>
      </c>
      <c r="M530" s="7">
        <f>SUMIFS('Leave Management'!$L:$L,'Leave Management'!$C:$C,Detail!$A530,'Leave Management'!$B:$B,Detail!M$1)</f>
        <v>0</v>
      </c>
      <c r="N530" s="7">
        <f>SUMIFS('Leave Management'!$L:$L,'Leave Management'!$C:$C,Detail!$A530,'Leave Management'!$B:$B,Detail!N$1)</f>
        <v>0</v>
      </c>
      <c r="O530" s="7">
        <f t="shared" si="20"/>
        <v>11</v>
      </c>
    </row>
    <row r="531" spans="1:15" x14ac:dyDescent="0.25">
      <c r="A531" s="24">
        <v>43629</v>
      </c>
      <c r="B531" s="2" t="str">
        <f t="shared" si="19"/>
        <v>Thu</v>
      </c>
      <c r="C531" s="7">
        <f>SUMIFS('Leave Management'!$L:$L,'Leave Management'!$C:$C,Detail!$A531,'Leave Management'!$B:$B,Detail!C$1)</f>
        <v>0</v>
      </c>
      <c r="D531" s="7">
        <f>SUMIFS('Leave Management'!$L:$L,'Leave Management'!$C:$C,Detail!$A531,'Leave Management'!$B:$B,Detail!D$1)</f>
        <v>0</v>
      </c>
      <c r="E531" s="7">
        <f>SUMIFS('Leave Management'!$L:$L,'Leave Management'!$C:$C,Detail!$A531,'Leave Management'!$B:$B,Detail!E$1)</f>
        <v>1</v>
      </c>
      <c r="F531" s="7">
        <f>SUMIFS('Leave Management'!$L:$L,'Leave Management'!$C:$C,Detail!$A531,'Leave Management'!$B:$B,Detail!F$1)</f>
        <v>1</v>
      </c>
      <c r="G531" s="7">
        <f>SUMIFS('Leave Management'!$L:$L,'Leave Management'!$C:$C,Detail!$A531,'Leave Management'!$B:$B,Detail!G$1)</f>
        <v>0</v>
      </c>
      <c r="H531" s="7">
        <f>SUMIFS('Leave Management'!$L:$L,'Leave Management'!$C:$C,Detail!$A531,'Leave Management'!$B:$B,Detail!H$1)</f>
        <v>0</v>
      </c>
      <c r="I531" s="7">
        <f>SUMIFS('Leave Management'!$L:$L,'Leave Management'!$C:$C,Detail!$A531,'Leave Management'!$B:$B,Detail!I$1)</f>
        <v>0</v>
      </c>
      <c r="J531" s="7">
        <f>SUMIFS('Leave Management'!$L:$L,'Leave Management'!$C:$C,Detail!$A531,'Leave Management'!$B:$B,Detail!J$1)</f>
        <v>0</v>
      </c>
      <c r="K531" s="7">
        <f>SUMIFS('Leave Management'!$L:$L,'Leave Management'!$C:$C,Detail!$A531,'Leave Management'!$B:$B,Detail!K$1)</f>
        <v>0</v>
      </c>
      <c r="L531" s="7">
        <f>SUMIFS('Leave Management'!$L:$L,'Leave Management'!$C:$C,Detail!$A531,'Leave Management'!$B:$B,Detail!L$1)</f>
        <v>0</v>
      </c>
      <c r="M531" s="7">
        <f>SUMIFS('Leave Management'!$L:$L,'Leave Management'!$C:$C,Detail!$A531,'Leave Management'!$B:$B,Detail!M$1)</f>
        <v>0</v>
      </c>
      <c r="N531" s="7">
        <f>SUMIFS('Leave Management'!$L:$L,'Leave Management'!$C:$C,Detail!$A531,'Leave Management'!$B:$B,Detail!N$1)</f>
        <v>0</v>
      </c>
      <c r="O531" s="7">
        <f t="shared" si="20"/>
        <v>9</v>
      </c>
    </row>
    <row r="532" spans="1:15" x14ac:dyDescent="0.25">
      <c r="A532" s="24">
        <v>43630</v>
      </c>
      <c r="B532" s="2" t="str">
        <f t="shared" si="19"/>
        <v>Fri</v>
      </c>
      <c r="C532" s="7">
        <f>SUMIFS('Leave Management'!$L:$L,'Leave Management'!$C:$C,Detail!$A532,'Leave Management'!$B:$B,Detail!C$1)</f>
        <v>0</v>
      </c>
      <c r="D532" s="7">
        <f>SUMIFS('Leave Management'!$L:$L,'Leave Management'!$C:$C,Detail!$A532,'Leave Management'!$B:$B,Detail!D$1)</f>
        <v>0</v>
      </c>
      <c r="E532" s="7">
        <f>SUMIFS('Leave Management'!$L:$L,'Leave Management'!$C:$C,Detail!$A532,'Leave Management'!$B:$B,Detail!E$1)</f>
        <v>1</v>
      </c>
      <c r="F532" s="7">
        <f>SUMIFS('Leave Management'!$L:$L,'Leave Management'!$C:$C,Detail!$A532,'Leave Management'!$B:$B,Detail!F$1)</f>
        <v>1</v>
      </c>
      <c r="G532" s="7">
        <f>SUMIFS('Leave Management'!$L:$L,'Leave Management'!$C:$C,Detail!$A532,'Leave Management'!$B:$B,Detail!G$1)</f>
        <v>0</v>
      </c>
      <c r="H532" s="7">
        <f>SUMIFS('Leave Management'!$L:$L,'Leave Management'!$C:$C,Detail!$A532,'Leave Management'!$B:$B,Detail!H$1)</f>
        <v>0</v>
      </c>
      <c r="I532" s="7">
        <f>SUMIFS('Leave Management'!$L:$L,'Leave Management'!$C:$C,Detail!$A532,'Leave Management'!$B:$B,Detail!I$1)</f>
        <v>0</v>
      </c>
      <c r="J532" s="7">
        <f>SUMIFS('Leave Management'!$L:$L,'Leave Management'!$C:$C,Detail!$A532,'Leave Management'!$B:$B,Detail!J$1)</f>
        <v>0</v>
      </c>
      <c r="K532" s="7">
        <f>SUMIFS('Leave Management'!$L:$L,'Leave Management'!$C:$C,Detail!$A532,'Leave Management'!$B:$B,Detail!K$1)</f>
        <v>0</v>
      </c>
      <c r="L532" s="7">
        <f>SUMIFS('Leave Management'!$L:$L,'Leave Management'!$C:$C,Detail!$A532,'Leave Management'!$B:$B,Detail!L$1)</f>
        <v>0</v>
      </c>
      <c r="M532" s="7">
        <f>SUMIFS('Leave Management'!$L:$L,'Leave Management'!$C:$C,Detail!$A532,'Leave Management'!$B:$B,Detail!M$1)</f>
        <v>0</v>
      </c>
      <c r="N532" s="7">
        <f>SUMIFS('Leave Management'!$L:$L,'Leave Management'!$C:$C,Detail!$A532,'Leave Management'!$B:$B,Detail!N$1)</f>
        <v>0</v>
      </c>
      <c r="O532" s="7">
        <f t="shared" si="20"/>
        <v>9</v>
      </c>
    </row>
    <row r="533" spans="1:15" x14ac:dyDescent="0.25">
      <c r="A533" s="24">
        <v>43631</v>
      </c>
      <c r="B533" s="2" t="str">
        <f t="shared" si="19"/>
        <v>Sat</v>
      </c>
      <c r="C533" s="7">
        <f>SUMIFS('Leave Management'!$L:$L,'Leave Management'!$C:$C,Detail!$A533,'Leave Management'!$B:$B,Detail!C$1)</f>
        <v>0</v>
      </c>
      <c r="D533" s="7">
        <f>SUMIFS('Leave Management'!$L:$L,'Leave Management'!$C:$C,Detail!$A533,'Leave Management'!$B:$B,Detail!D$1)</f>
        <v>0</v>
      </c>
      <c r="E533" s="7">
        <f>SUMIFS('Leave Management'!$L:$L,'Leave Management'!$C:$C,Detail!$A533,'Leave Management'!$B:$B,Detail!E$1)</f>
        <v>0</v>
      </c>
      <c r="F533" s="7">
        <f>SUMIFS('Leave Management'!$L:$L,'Leave Management'!$C:$C,Detail!$A533,'Leave Management'!$B:$B,Detail!F$1)</f>
        <v>0</v>
      </c>
      <c r="G533" s="7">
        <f>SUMIFS('Leave Management'!$L:$L,'Leave Management'!$C:$C,Detail!$A533,'Leave Management'!$B:$B,Detail!G$1)</f>
        <v>0</v>
      </c>
      <c r="H533" s="7">
        <f>SUMIFS('Leave Management'!$L:$L,'Leave Management'!$C:$C,Detail!$A533,'Leave Management'!$B:$B,Detail!H$1)</f>
        <v>0</v>
      </c>
      <c r="I533" s="7">
        <f>SUMIFS('Leave Management'!$L:$L,'Leave Management'!$C:$C,Detail!$A533,'Leave Management'!$B:$B,Detail!I$1)</f>
        <v>0</v>
      </c>
      <c r="J533" s="7">
        <f>SUMIFS('Leave Management'!$L:$L,'Leave Management'!$C:$C,Detail!$A533,'Leave Management'!$B:$B,Detail!J$1)</f>
        <v>0</v>
      </c>
      <c r="K533" s="7">
        <f>SUMIFS('Leave Management'!$L:$L,'Leave Management'!$C:$C,Detail!$A533,'Leave Management'!$B:$B,Detail!K$1)</f>
        <v>0</v>
      </c>
      <c r="L533" s="7">
        <f>SUMIFS('Leave Management'!$L:$L,'Leave Management'!$C:$C,Detail!$A533,'Leave Management'!$B:$B,Detail!L$1)</f>
        <v>0</v>
      </c>
      <c r="M533" s="7">
        <f>SUMIFS('Leave Management'!$L:$L,'Leave Management'!$C:$C,Detail!$A533,'Leave Management'!$B:$B,Detail!M$1)</f>
        <v>0</v>
      </c>
      <c r="N533" s="7">
        <f>SUMIFS('Leave Management'!$L:$L,'Leave Management'!$C:$C,Detail!$A533,'Leave Management'!$B:$B,Detail!N$1)</f>
        <v>0</v>
      </c>
      <c r="O533" s="7">
        <f t="shared" si="20"/>
        <v>11</v>
      </c>
    </row>
    <row r="534" spans="1:15" x14ac:dyDescent="0.25">
      <c r="A534" s="24">
        <v>43632</v>
      </c>
      <c r="B534" s="2" t="str">
        <f t="shared" si="19"/>
        <v>Sun</v>
      </c>
      <c r="C534" s="7">
        <f>SUMIFS('Leave Management'!$L:$L,'Leave Management'!$C:$C,Detail!$A534,'Leave Management'!$B:$B,Detail!C$1)</f>
        <v>0</v>
      </c>
      <c r="D534" s="7">
        <f>SUMIFS('Leave Management'!$L:$L,'Leave Management'!$C:$C,Detail!$A534,'Leave Management'!$B:$B,Detail!D$1)</f>
        <v>0</v>
      </c>
      <c r="E534" s="7">
        <f>SUMIFS('Leave Management'!$L:$L,'Leave Management'!$C:$C,Detail!$A534,'Leave Management'!$B:$B,Detail!E$1)</f>
        <v>0</v>
      </c>
      <c r="F534" s="7">
        <f>SUMIFS('Leave Management'!$L:$L,'Leave Management'!$C:$C,Detail!$A534,'Leave Management'!$B:$B,Detail!F$1)</f>
        <v>0</v>
      </c>
      <c r="G534" s="7">
        <f>SUMIFS('Leave Management'!$L:$L,'Leave Management'!$C:$C,Detail!$A534,'Leave Management'!$B:$B,Detail!G$1)</f>
        <v>0</v>
      </c>
      <c r="H534" s="7">
        <f>SUMIFS('Leave Management'!$L:$L,'Leave Management'!$C:$C,Detail!$A534,'Leave Management'!$B:$B,Detail!H$1)</f>
        <v>0</v>
      </c>
      <c r="I534" s="7">
        <f>SUMIFS('Leave Management'!$L:$L,'Leave Management'!$C:$C,Detail!$A534,'Leave Management'!$B:$B,Detail!I$1)</f>
        <v>0</v>
      </c>
      <c r="J534" s="7">
        <f>SUMIFS('Leave Management'!$L:$L,'Leave Management'!$C:$C,Detail!$A534,'Leave Management'!$B:$B,Detail!J$1)</f>
        <v>0</v>
      </c>
      <c r="K534" s="7">
        <f>SUMIFS('Leave Management'!$L:$L,'Leave Management'!$C:$C,Detail!$A534,'Leave Management'!$B:$B,Detail!K$1)</f>
        <v>0</v>
      </c>
      <c r="L534" s="7">
        <f>SUMIFS('Leave Management'!$L:$L,'Leave Management'!$C:$C,Detail!$A534,'Leave Management'!$B:$B,Detail!L$1)</f>
        <v>0</v>
      </c>
      <c r="M534" s="7">
        <f>SUMIFS('Leave Management'!$L:$L,'Leave Management'!$C:$C,Detail!$A534,'Leave Management'!$B:$B,Detail!M$1)</f>
        <v>0</v>
      </c>
      <c r="N534" s="7">
        <f>SUMIFS('Leave Management'!$L:$L,'Leave Management'!$C:$C,Detail!$A534,'Leave Management'!$B:$B,Detail!N$1)</f>
        <v>0</v>
      </c>
      <c r="O534" s="7">
        <f t="shared" si="20"/>
        <v>11</v>
      </c>
    </row>
    <row r="535" spans="1:15" x14ac:dyDescent="0.25">
      <c r="A535" s="24">
        <v>43633</v>
      </c>
      <c r="B535" s="2" t="str">
        <f t="shared" si="19"/>
        <v>Mon</v>
      </c>
      <c r="C535" s="7">
        <f>SUMIFS('Leave Management'!$L:$L,'Leave Management'!$C:$C,Detail!$A535,'Leave Management'!$B:$B,Detail!C$1)</f>
        <v>0</v>
      </c>
      <c r="D535" s="7">
        <f>SUMIFS('Leave Management'!$L:$L,'Leave Management'!$C:$C,Detail!$A535,'Leave Management'!$B:$B,Detail!D$1)</f>
        <v>0</v>
      </c>
      <c r="E535" s="7">
        <f>SUMIFS('Leave Management'!$L:$L,'Leave Management'!$C:$C,Detail!$A535,'Leave Management'!$B:$B,Detail!E$1)</f>
        <v>0</v>
      </c>
      <c r="F535" s="7">
        <f>SUMIFS('Leave Management'!$L:$L,'Leave Management'!$C:$C,Detail!$A535,'Leave Management'!$B:$B,Detail!F$1)</f>
        <v>0</v>
      </c>
      <c r="G535" s="7">
        <f>SUMIFS('Leave Management'!$L:$L,'Leave Management'!$C:$C,Detail!$A535,'Leave Management'!$B:$B,Detail!G$1)</f>
        <v>0</v>
      </c>
      <c r="H535" s="7">
        <f>SUMIFS('Leave Management'!$L:$L,'Leave Management'!$C:$C,Detail!$A535,'Leave Management'!$B:$B,Detail!H$1)</f>
        <v>0</v>
      </c>
      <c r="I535" s="7">
        <f>SUMIFS('Leave Management'!$L:$L,'Leave Management'!$C:$C,Detail!$A535,'Leave Management'!$B:$B,Detail!I$1)</f>
        <v>0</v>
      </c>
      <c r="J535" s="7">
        <f>SUMIFS('Leave Management'!$L:$L,'Leave Management'!$C:$C,Detail!$A535,'Leave Management'!$B:$B,Detail!J$1)</f>
        <v>0</v>
      </c>
      <c r="K535" s="7">
        <f>SUMIFS('Leave Management'!$L:$L,'Leave Management'!$C:$C,Detail!$A535,'Leave Management'!$B:$B,Detail!K$1)</f>
        <v>0</v>
      </c>
      <c r="L535" s="7">
        <f>SUMIFS('Leave Management'!$L:$L,'Leave Management'!$C:$C,Detail!$A535,'Leave Management'!$B:$B,Detail!L$1)</f>
        <v>0</v>
      </c>
      <c r="M535" s="7">
        <f>SUMIFS('Leave Management'!$L:$L,'Leave Management'!$C:$C,Detail!$A535,'Leave Management'!$B:$B,Detail!M$1)</f>
        <v>0</v>
      </c>
      <c r="N535" s="7">
        <f>SUMIFS('Leave Management'!$L:$L,'Leave Management'!$C:$C,Detail!$A535,'Leave Management'!$B:$B,Detail!N$1)</f>
        <v>0</v>
      </c>
      <c r="O535" s="7">
        <f t="shared" si="20"/>
        <v>11</v>
      </c>
    </row>
    <row r="536" spans="1:15" x14ac:dyDescent="0.25">
      <c r="A536" s="24">
        <v>43634</v>
      </c>
      <c r="B536" s="2" t="str">
        <f t="shared" si="19"/>
        <v>Tue</v>
      </c>
      <c r="C536" s="7">
        <f>SUMIFS('Leave Management'!$L:$L,'Leave Management'!$C:$C,Detail!$A536,'Leave Management'!$B:$B,Detail!C$1)</f>
        <v>0</v>
      </c>
      <c r="D536" s="7">
        <f>SUMIFS('Leave Management'!$L:$L,'Leave Management'!$C:$C,Detail!$A536,'Leave Management'!$B:$B,Detail!D$1)</f>
        <v>0</v>
      </c>
      <c r="E536" s="7">
        <f>SUMIFS('Leave Management'!$L:$L,'Leave Management'!$C:$C,Detail!$A536,'Leave Management'!$B:$B,Detail!E$1)</f>
        <v>0</v>
      </c>
      <c r="F536" s="7">
        <f>SUMIFS('Leave Management'!$L:$L,'Leave Management'!$C:$C,Detail!$A536,'Leave Management'!$B:$B,Detail!F$1)</f>
        <v>0</v>
      </c>
      <c r="G536" s="7">
        <f>SUMIFS('Leave Management'!$L:$L,'Leave Management'!$C:$C,Detail!$A536,'Leave Management'!$B:$B,Detail!G$1)</f>
        <v>0</v>
      </c>
      <c r="H536" s="7">
        <f>SUMIFS('Leave Management'!$L:$L,'Leave Management'!$C:$C,Detail!$A536,'Leave Management'!$B:$B,Detail!H$1)</f>
        <v>0</v>
      </c>
      <c r="I536" s="7">
        <f>SUMIFS('Leave Management'!$L:$L,'Leave Management'!$C:$C,Detail!$A536,'Leave Management'!$B:$B,Detail!I$1)</f>
        <v>0</v>
      </c>
      <c r="J536" s="7">
        <f>SUMIFS('Leave Management'!$L:$L,'Leave Management'!$C:$C,Detail!$A536,'Leave Management'!$B:$B,Detail!J$1)</f>
        <v>0</v>
      </c>
      <c r="K536" s="7">
        <f>SUMIFS('Leave Management'!$L:$L,'Leave Management'!$C:$C,Detail!$A536,'Leave Management'!$B:$B,Detail!K$1)</f>
        <v>0</v>
      </c>
      <c r="L536" s="7">
        <f>SUMIFS('Leave Management'!$L:$L,'Leave Management'!$C:$C,Detail!$A536,'Leave Management'!$B:$B,Detail!L$1)</f>
        <v>0</v>
      </c>
      <c r="M536" s="7">
        <f>SUMIFS('Leave Management'!$L:$L,'Leave Management'!$C:$C,Detail!$A536,'Leave Management'!$B:$B,Detail!M$1)</f>
        <v>0</v>
      </c>
      <c r="N536" s="7">
        <f>SUMIFS('Leave Management'!$L:$L,'Leave Management'!$C:$C,Detail!$A536,'Leave Management'!$B:$B,Detail!N$1)</f>
        <v>0</v>
      </c>
      <c r="O536" s="7">
        <f t="shared" si="20"/>
        <v>11</v>
      </c>
    </row>
    <row r="537" spans="1:15" x14ac:dyDescent="0.25">
      <c r="A537" s="24">
        <v>43635</v>
      </c>
      <c r="B537" s="2" t="str">
        <f t="shared" si="19"/>
        <v>Wed</v>
      </c>
      <c r="C537" s="7">
        <f>SUMIFS('Leave Management'!$L:$L,'Leave Management'!$C:$C,Detail!$A537,'Leave Management'!$B:$B,Detail!C$1)</f>
        <v>0</v>
      </c>
      <c r="D537" s="7">
        <f>SUMIFS('Leave Management'!$L:$L,'Leave Management'!$C:$C,Detail!$A537,'Leave Management'!$B:$B,Detail!D$1)</f>
        <v>0</v>
      </c>
      <c r="E537" s="7">
        <f>SUMIFS('Leave Management'!$L:$L,'Leave Management'!$C:$C,Detail!$A537,'Leave Management'!$B:$B,Detail!E$1)</f>
        <v>0</v>
      </c>
      <c r="F537" s="7">
        <f>SUMIFS('Leave Management'!$L:$L,'Leave Management'!$C:$C,Detail!$A537,'Leave Management'!$B:$B,Detail!F$1)</f>
        <v>0</v>
      </c>
      <c r="G537" s="7">
        <f>SUMIFS('Leave Management'!$L:$L,'Leave Management'!$C:$C,Detail!$A537,'Leave Management'!$B:$B,Detail!G$1)</f>
        <v>1</v>
      </c>
      <c r="H537" s="7">
        <f>SUMIFS('Leave Management'!$L:$L,'Leave Management'!$C:$C,Detail!$A537,'Leave Management'!$B:$B,Detail!H$1)</f>
        <v>0</v>
      </c>
      <c r="I537" s="7">
        <f>SUMIFS('Leave Management'!$L:$L,'Leave Management'!$C:$C,Detail!$A537,'Leave Management'!$B:$B,Detail!I$1)</f>
        <v>0</v>
      </c>
      <c r="J537" s="7">
        <f>SUMIFS('Leave Management'!$L:$L,'Leave Management'!$C:$C,Detail!$A537,'Leave Management'!$B:$B,Detail!J$1)</f>
        <v>0</v>
      </c>
      <c r="K537" s="7">
        <f>SUMIFS('Leave Management'!$L:$L,'Leave Management'!$C:$C,Detail!$A537,'Leave Management'!$B:$B,Detail!K$1)</f>
        <v>0</v>
      </c>
      <c r="L537" s="7">
        <f>SUMIFS('Leave Management'!$L:$L,'Leave Management'!$C:$C,Detail!$A537,'Leave Management'!$B:$B,Detail!L$1)</f>
        <v>0</v>
      </c>
      <c r="M537" s="7">
        <f>SUMIFS('Leave Management'!$L:$L,'Leave Management'!$C:$C,Detail!$A537,'Leave Management'!$B:$B,Detail!M$1)</f>
        <v>0</v>
      </c>
      <c r="N537" s="7">
        <f>SUMIFS('Leave Management'!$L:$L,'Leave Management'!$C:$C,Detail!$A537,'Leave Management'!$B:$B,Detail!N$1)</f>
        <v>0</v>
      </c>
      <c r="O537" s="7">
        <f t="shared" si="20"/>
        <v>10</v>
      </c>
    </row>
    <row r="538" spans="1:15" x14ac:dyDescent="0.25">
      <c r="A538" s="24">
        <v>43636</v>
      </c>
      <c r="B538" s="2" t="str">
        <f t="shared" si="19"/>
        <v>Thu</v>
      </c>
      <c r="C538" s="7">
        <f>SUMIFS('Leave Management'!$L:$L,'Leave Management'!$C:$C,Detail!$A538,'Leave Management'!$B:$B,Detail!C$1)</f>
        <v>0</v>
      </c>
      <c r="D538" s="7">
        <f>SUMIFS('Leave Management'!$L:$L,'Leave Management'!$C:$C,Detail!$A538,'Leave Management'!$B:$B,Detail!D$1)</f>
        <v>0</v>
      </c>
      <c r="E538" s="7">
        <f>SUMIFS('Leave Management'!$L:$L,'Leave Management'!$C:$C,Detail!$A538,'Leave Management'!$B:$B,Detail!E$1)</f>
        <v>0</v>
      </c>
      <c r="F538" s="7">
        <f>SUMIFS('Leave Management'!$L:$L,'Leave Management'!$C:$C,Detail!$A538,'Leave Management'!$B:$B,Detail!F$1)</f>
        <v>0</v>
      </c>
      <c r="G538" s="7">
        <f>SUMIFS('Leave Management'!$L:$L,'Leave Management'!$C:$C,Detail!$A538,'Leave Management'!$B:$B,Detail!G$1)</f>
        <v>0</v>
      </c>
      <c r="H538" s="7">
        <f>SUMIFS('Leave Management'!$L:$L,'Leave Management'!$C:$C,Detail!$A538,'Leave Management'!$B:$B,Detail!H$1)</f>
        <v>0</v>
      </c>
      <c r="I538" s="7">
        <f>SUMIFS('Leave Management'!$L:$L,'Leave Management'!$C:$C,Detail!$A538,'Leave Management'!$B:$B,Detail!I$1)</f>
        <v>0</v>
      </c>
      <c r="J538" s="7">
        <f>SUMIFS('Leave Management'!$L:$L,'Leave Management'!$C:$C,Detail!$A538,'Leave Management'!$B:$B,Detail!J$1)</f>
        <v>0</v>
      </c>
      <c r="K538" s="7">
        <f>SUMIFS('Leave Management'!$L:$L,'Leave Management'!$C:$C,Detail!$A538,'Leave Management'!$B:$B,Detail!K$1)</f>
        <v>0</v>
      </c>
      <c r="L538" s="7">
        <f>SUMIFS('Leave Management'!$L:$L,'Leave Management'!$C:$C,Detail!$A538,'Leave Management'!$B:$B,Detail!L$1)</f>
        <v>0</v>
      </c>
      <c r="M538" s="7">
        <f>SUMIFS('Leave Management'!$L:$L,'Leave Management'!$C:$C,Detail!$A538,'Leave Management'!$B:$B,Detail!M$1)</f>
        <v>0</v>
      </c>
      <c r="N538" s="7">
        <f>SUMIFS('Leave Management'!$L:$L,'Leave Management'!$C:$C,Detail!$A538,'Leave Management'!$B:$B,Detail!N$1)</f>
        <v>0</v>
      </c>
      <c r="O538" s="7">
        <f t="shared" si="20"/>
        <v>11</v>
      </c>
    </row>
    <row r="539" spans="1:15" x14ac:dyDescent="0.25">
      <c r="A539" s="24">
        <v>43637</v>
      </c>
      <c r="B539" s="2" t="str">
        <f t="shared" si="19"/>
        <v>Fri</v>
      </c>
      <c r="C539" s="7">
        <f>SUMIFS('Leave Management'!$L:$L,'Leave Management'!$C:$C,Detail!$A539,'Leave Management'!$B:$B,Detail!C$1)</f>
        <v>0</v>
      </c>
      <c r="D539" s="7">
        <f>SUMIFS('Leave Management'!$L:$L,'Leave Management'!$C:$C,Detail!$A539,'Leave Management'!$B:$B,Detail!D$1)</f>
        <v>0</v>
      </c>
      <c r="E539" s="7">
        <f>SUMIFS('Leave Management'!$L:$L,'Leave Management'!$C:$C,Detail!$A539,'Leave Management'!$B:$B,Detail!E$1)</f>
        <v>1</v>
      </c>
      <c r="F539" s="7">
        <f>SUMIFS('Leave Management'!$L:$L,'Leave Management'!$C:$C,Detail!$A539,'Leave Management'!$B:$B,Detail!F$1)</f>
        <v>0</v>
      </c>
      <c r="G539" s="7">
        <f>SUMIFS('Leave Management'!$L:$L,'Leave Management'!$C:$C,Detail!$A539,'Leave Management'!$B:$B,Detail!G$1)</f>
        <v>0</v>
      </c>
      <c r="H539" s="7">
        <f>SUMIFS('Leave Management'!$L:$L,'Leave Management'!$C:$C,Detail!$A539,'Leave Management'!$B:$B,Detail!H$1)</f>
        <v>0</v>
      </c>
      <c r="I539" s="7">
        <f>SUMIFS('Leave Management'!$L:$L,'Leave Management'!$C:$C,Detail!$A539,'Leave Management'!$B:$B,Detail!I$1)</f>
        <v>0</v>
      </c>
      <c r="J539" s="7">
        <f>SUMIFS('Leave Management'!$L:$L,'Leave Management'!$C:$C,Detail!$A539,'Leave Management'!$B:$B,Detail!J$1)</f>
        <v>0</v>
      </c>
      <c r="K539" s="7">
        <f>SUMIFS('Leave Management'!$L:$L,'Leave Management'!$C:$C,Detail!$A539,'Leave Management'!$B:$B,Detail!K$1)</f>
        <v>0</v>
      </c>
      <c r="L539" s="7">
        <f>SUMIFS('Leave Management'!$L:$L,'Leave Management'!$C:$C,Detail!$A539,'Leave Management'!$B:$B,Detail!L$1)</f>
        <v>0</v>
      </c>
      <c r="M539" s="7">
        <f>SUMIFS('Leave Management'!$L:$L,'Leave Management'!$C:$C,Detail!$A539,'Leave Management'!$B:$B,Detail!M$1)</f>
        <v>0</v>
      </c>
      <c r="N539" s="7">
        <f>SUMIFS('Leave Management'!$L:$L,'Leave Management'!$C:$C,Detail!$A539,'Leave Management'!$B:$B,Detail!N$1)</f>
        <v>0</v>
      </c>
      <c r="O539" s="7">
        <f t="shared" si="20"/>
        <v>10</v>
      </c>
    </row>
    <row r="540" spans="1:15" x14ac:dyDescent="0.25">
      <c r="A540" s="24">
        <v>43638</v>
      </c>
      <c r="B540" s="2" t="str">
        <f t="shared" si="19"/>
        <v>Sat</v>
      </c>
      <c r="C540" s="7">
        <f>SUMIFS('Leave Management'!$L:$L,'Leave Management'!$C:$C,Detail!$A540,'Leave Management'!$B:$B,Detail!C$1)</f>
        <v>0</v>
      </c>
      <c r="D540" s="7">
        <f>SUMIFS('Leave Management'!$L:$L,'Leave Management'!$C:$C,Detail!$A540,'Leave Management'!$B:$B,Detail!D$1)</f>
        <v>0</v>
      </c>
      <c r="E540" s="7">
        <f>SUMIFS('Leave Management'!$L:$L,'Leave Management'!$C:$C,Detail!$A540,'Leave Management'!$B:$B,Detail!E$1)</f>
        <v>0</v>
      </c>
      <c r="F540" s="7">
        <f>SUMIFS('Leave Management'!$L:$L,'Leave Management'!$C:$C,Detail!$A540,'Leave Management'!$B:$B,Detail!F$1)</f>
        <v>0</v>
      </c>
      <c r="G540" s="7">
        <f>SUMIFS('Leave Management'!$L:$L,'Leave Management'!$C:$C,Detail!$A540,'Leave Management'!$B:$B,Detail!G$1)</f>
        <v>0</v>
      </c>
      <c r="H540" s="7">
        <f>SUMIFS('Leave Management'!$L:$L,'Leave Management'!$C:$C,Detail!$A540,'Leave Management'!$B:$B,Detail!H$1)</f>
        <v>0</v>
      </c>
      <c r="I540" s="7">
        <f>SUMIFS('Leave Management'!$L:$L,'Leave Management'!$C:$C,Detail!$A540,'Leave Management'!$B:$B,Detail!I$1)</f>
        <v>0</v>
      </c>
      <c r="J540" s="7">
        <f>SUMIFS('Leave Management'!$L:$L,'Leave Management'!$C:$C,Detail!$A540,'Leave Management'!$B:$B,Detail!J$1)</f>
        <v>0</v>
      </c>
      <c r="K540" s="7">
        <f>SUMIFS('Leave Management'!$L:$L,'Leave Management'!$C:$C,Detail!$A540,'Leave Management'!$B:$B,Detail!K$1)</f>
        <v>0</v>
      </c>
      <c r="L540" s="7">
        <f>SUMIFS('Leave Management'!$L:$L,'Leave Management'!$C:$C,Detail!$A540,'Leave Management'!$B:$B,Detail!L$1)</f>
        <v>0</v>
      </c>
      <c r="M540" s="7">
        <f>SUMIFS('Leave Management'!$L:$L,'Leave Management'!$C:$C,Detail!$A540,'Leave Management'!$B:$B,Detail!M$1)</f>
        <v>0</v>
      </c>
      <c r="N540" s="7">
        <f>SUMIFS('Leave Management'!$L:$L,'Leave Management'!$C:$C,Detail!$A540,'Leave Management'!$B:$B,Detail!N$1)</f>
        <v>0</v>
      </c>
      <c r="O540" s="7">
        <f t="shared" si="20"/>
        <v>11</v>
      </c>
    </row>
    <row r="541" spans="1:15" x14ac:dyDescent="0.25">
      <c r="A541" s="24">
        <v>43639</v>
      </c>
      <c r="B541" s="2" t="str">
        <f t="shared" si="19"/>
        <v>Sun</v>
      </c>
      <c r="C541" s="7">
        <f>SUMIFS('Leave Management'!$L:$L,'Leave Management'!$C:$C,Detail!$A541,'Leave Management'!$B:$B,Detail!C$1)</f>
        <v>0</v>
      </c>
      <c r="D541" s="7">
        <f>SUMIFS('Leave Management'!$L:$L,'Leave Management'!$C:$C,Detail!$A541,'Leave Management'!$B:$B,Detail!D$1)</f>
        <v>0</v>
      </c>
      <c r="E541" s="7">
        <f>SUMIFS('Leave Management'!$L:$L,'Leave Management'!$C:$C,Detail!$A541,'Leave Management'!$B:$B,Detail!E$1)</f>
        <v>0</v>
      </c>
      <c r="F541" s="7">
        <f>SUMIFS('Leave Management'!$L:$L,'Leave Management'!$C:$C,Detail!$A541,'Leave Management'!$B:$B,Detail!F$1)</f>
        <v>0</v>
      </c>
      <c r="G541" s="7">
        <f>SUMIFS('Leave Management'!$L:$L,'Leave Management'!$C:$C,Detail!$A541,'Leave Management'!$B:$B,Detail!G$1)</f>
        <v>0</v>
      </c>
      <c r="H541" s="7">
        <f>SUMIFS('Leave Management'!$L:$L,'Leave Management'!$C:$C,Detail!$A541,'Leave Management'!$B:$B,Detail!H$1)</f>
        <v>0</v>
      </c>
      <c r="I541" s="7">
        <f>SUMIFS('Leave Management'!$L:$L,'Leave Management'!$C:$C,Detail!$A541,'Leave Management'!$B:$B,Detail!I$1)</f>
        <v>0</v>
      </c>
      <c r="J541" s="7">
        <f>SUMIFS('Leave Management'!$L:$L,'Leave Management'!$C:$C,Detail!$A541,'Leave Management'!$B:$B,Detail!J$1)</f>
        <v>0</v>
      </c>
      <c r="K541" s="7">
        <f>SUMIFS('Leave Management'!$L:$L,'Leave Management'!$C:$C,Detail!$A541,'Leave Management'!$B:$B,Detail!K$1)</f>
        <v>0</v>
      </c>
      <c r="L541" s="7">
        <f>SUMIFS('Leave Management'!$L:$L,'Leave Management'!$C:$C,Detail!$A541,'Leave Management'!$B:$B,Detail!L$1)</f>
        <v>0</v>
      </c>
      <c r="M541" s="7">
        <f>SUMIFS('Leave Management'!$L:$L,'Leave Management'!$C:$C,Detail!$A541,'Leave Management'!$B:$B,Detail!M$1)</f>
        <v>0</v>
      </c>
      <c r="N541" s="7">
        <f>SUMIFS('Leave Management'!$L:$L,'Leave Management'!$C:$C,Detail!$A541,'Leave Management'!$B:$B,Detail!N$1)</f>
        <v>0</v>
      </c>
      <c r="O541" s="7">
        <f t="shared" si="20"/>
        <v>11</v>
      </c>
    </row>
    <row r="542" spans="1:15" x14ac:dyDescent="0.25">
      <c r="A542" s="24">
        <v>43640</v>
      </c>
      <c r="B542" s="2" t="str">
        <f t="shared" si="19"/>
        <v>Mon</v>
      </c>
      <c r="C542" s="7">
        <f>SUMIFS('Leave Management'!$L:$L,'Leave Management'!$C:$C,Detail!$A542,'Leave Management'!$B:$B,Detail!C$1)</f>
        <v>0</v>
      </c>
      <c r="D542" s="7">
        <f>SUMIFS('Leave Management'!$L:$L,'Leave Management'!$C:$C,Detail!$A542,'Leave Management'!$B:$B,Detail!D$1)</f>
        <v>0</v>
      </c>
      <c r="E542" s="7">
        <f>SUMIFS('Leave Management'!$L:$L,'Leave Management'!$C:$C,Detail!$A542,'Leave Management'!$B:$B,Detail!E$1)</f>
        <v>0</v>
      </c>
      <c r="F542" s="7">
        <f>SUMIFS('Leave Management'!$L:$L,'Leave Management'!$C:$C,Detail!$A542,'Leave Management'!$B:$B,Detail!F$1)</f>
        <v>0</v>
      </c>
      <c r="G542" s="7">
        <f>SUMIFS('Leave Management'!$L:$L,'Leave Management'!$C:$C,Detail!$A542,'Leave Management'!$B:$B,Detail!G$1)</f>
        <v>0</v>
      </c>
      <c r="H542" s="7">
        <f>SUMIFS('Leave Management'!$L:$L,'Leave Management'!$C:$C,Detail!$A542,'Leave Management'!$B:$B,Detail!H$1)</f>
        <v>0</v>
      </c>
      <c r="I542" s="7">
        <f>SUMIFS('Leave Management'!$L:$L,'Leave Management'!$C:$C,Detail!$A542,'Leave Management'!$B:$B,Detail!I$1)</f>
        <v>0</v>
      </c>
      <c r="J542" s="7">
        <f>SUMIFS('Leave Management'!$L:$L,'Leave Management'!$C:$C,Detail!$A542,'Leave Management'!$B:$B,Detail!J$1)</f>
        <v>0</v>
      </c>
      <c r="K542" s="7">
        <f>SUMIFS('Leave Management'!$L:$L,'Leave Management'!$C:$C,Detail!$A542,'Leave Management'!$B:$B,Detail!K$1)</f>
        <v>0</v>
      </c>
      <c r="L542" s="7">
        <f>SUMIFS('Leave Management'!$L:$L,'Leave Management'!$C:$C,Detail!$A542,'Leave Management'!$B:$B,Detail!L$1)</f>
        <v>0</v>
      </c>
      <c r="M542" s="7">
        <f>SUMIFS('Leave Management'!$L:$L,'Leave Management'!$C:$C,Detail!$A542,'Leave Management'!$B:$B,Detail!M$1)</f>
        <v>0</v>
      </c>
      <c r="N542" s="7">
        <f>SUMIFS('Leave Management'!$L:$L,'Leave Management'!$C:$C,Detail!$A542,'Leave Management'!$B:$B,Detail!N$1)</f>
        <v>0</v>
      </c>
      <c r="O542" s="7">
        <f t="shared" si="20"/>
        <v>11</v>
      </c>
    </row>
    <row r="543" spans="1:15" x14ac:dyDescent="0.25">
      <c r="A543" s="24">
        <v>43641</v>
      </c>
      <c r="B543" s="2" t="str">
        <f t="shared" si="19"/>
        <v>Tue</v>
      </c>
      <c r="C543" s="7">
        <f>SUMIFS('Leave Management'!$L:$L,'Leave Management'!$C:$C,Detail!$A543,'Leave Management'!$B:$B,Detail!C$1)</f>
        <v>0</v>
      </c>
      <c r="D543" s="7">
        <f>SUMIFS('Leave Management'!$L:$L,'Leave Management'!$C:$C,Detail!$A543,'Leave Management'!$B:$B,Detail!D$1)</f>
        <v>0</v>
      </c>
      <c r="E543" s="7">
        <f>SUMIFS('Leave Management'!$L:$L,'Leave Management'!$C:$C,Detail!$A543,'Leave Management'!$B:$B,Detail!E$1)</f>
        <v>0</v>
      </c>
      <c r="F543" s="7">
        <f>SUMIFS('Leave Management'!$L:$L,'Leave Management'!$C:$C,Detail!$A543,'Leave Management'!$B:$B,Detail!F$1)</f>
        <v>0</v>
      </c>
      <c r="G543" s="7">
        <f>SUMIFS('Leave Management'!$L:$L,'Leave Management'!$C:$C,Detail!$A543,'Leave Management'!$B:$B,Detail!G$1)</f>
        <v>0</v>
      </c>
      <c r="H543" s="7">
        <f>SUMIFS('Leave Management'!$L:$L,'Leave Management'!$C:$C,Detail!$A543,'Leave Management'!$B:$B,Detail!H$1)</f>
        <v>0</v>
      </c>
      <c r="I543" s="7">
        <f>SUMIFS('Leave Management'!$L:$L,'Leave Management'!$C:$C,Detail!$A543,'Leave Management'!$B:$B,Detail!I$1)</f>
        <v>0</v>
      </c>
      <c r="J543" s="7">
        <f>SUMIFS('Leave Management'!$L:$L,'Leave Management'!$C:$C,Detail!$A543,'Leave Management'!$B:$B,Detail!J$1)</f>
        <v>0</v>
      </c>
      <c r="K543" s="7">
        <f>SUMIFS('Leave Management'!$L:$L,'Leave Management'!$C:$C,Detail!$A543,'Leave Management'!$B:$B,Detail!K$1)</f>
        <v>0</v>
      </c>
      <c r="L543" s="7">
        <f>SUMIFS('Leave Management'!$L:$L,'Leave Management'!$C:$C,Detail!$A543,'Leave Management'!$B:$B,Detail!L$1)</f>
        <v>0</v>
      </c>
      <c r="M543" s="7">
        <f>SUMIFS('Leave Management'!$L:$L,'Leave Management'!$C:$C,Detail!$A543,'Leave Management'!$B:$B,Detail!M$1)</f>
        <v>0</v>
      </c>
      <c r="N543" s="7">
        <f>SUMIFS('Leave Management'!$L:$L,'Leave Management'!$C:$C,Detail!$A543,'Leave Management'!$B:$B,Detail!N$1)</f>
        <v>0</v>
      </c>
      <c r="O543" s="7">
        <f t="shared" si="20"/>
        <v>11</v>
      </c>
    </row>
    <row r="544" spans="1:15" x14ac:dyDescent="0.25">
      <c r="A544" s="24">
        <v>43642</v>
      </c>
      <c r="B544" s="2" t="str">
        <f t="shared" si="19"/>
        <v>Wed</v>
      </c>
      <c r="C544" s="7">
        <f>SUMIFS('Leave Management'!$L:$L,'Leave Management'!$C:$C,Detail!$A544,'Leave Management'!$B:$B,Detail!C$1)</f>
        <v>0</v>
      </c>
      <c r="D544" s="7">
        <f>SUMIFS('Leave Management'!$L:$L,'Leave Management'!$C:$C,Detail!$A544,'Leave Management'!$B:$B,Detail!D$1)</f>
        <v>0</v>
      </c>
      <c r="E544" s="7">
        <f>SUMIFS('Leave Management'!$L:$L,'Leave Management'!$C:$C,Detail!$A544,'Leave Management'!$B:$B,Detail!E$1)</f>
        <v>0</v>
      </c>
      <c r="F544" s="7">
        <f>SUMIFS('Leave Management'!$L:$L,'Leave Management'!$C:$C,Detail!$A544,'Leave Management'!$B:$B,Detail!F$1)</f>
        <v>0</v>
      </c>
      <c r="G544" s="7">
        <f>SUMIFS('Leave Management'!$L:$L,'Leave Management'!$C:$C,Detail!$A544,'Leave Management'!$B:$B,Detail!G$1)</f>
        <v>0</v>
      </c>
      <c r="H544" s="7">
        <f>SUMIFS('Leave Management'!$L:$L,'Leave Management'!$C:$C,Detail!$A544,'Leave Management'!$B:$B,Detail!H$1)</f>
        <v>0</v>
      </c>
      <c r="I544" s="7">
        <f>SUMIFS('Leave Management'!$L:$L,'Leave Management'!$C:$C,Detail!$A544,'Leave Management'!$B:$B,Detail!I$1)</f>
        <v>0</v>
      </c>
      <c r="J544" s="7">
        <f>SUMIFS('Leave Management'!$L:$L,'Leave Management'!$C:$C,Detail!$A544,'Leave Management'!$B:$B,Detail!J$1)</f>
        <v>0</v>
      </c>
      <c r="K544" s="7">
        <f>SUMIFS('Leave Management'!$L:$L,'Leave Management'!$C:$C,Detail!$A544,'Leave Management'!$B:$B,Detail!K$1)</f>
        <v>0</v>
      </c>
      <c r="L544" s="7">
        <f>SUMIFS('Leave Management'!$L:$L,'Leave Management'!$C:$C,Detail!$A544,'Leave Management'!$B:$B,Detail!L$1)</f>
        <v>0</v>
      </c>
      <c r="M544" s="7">
        <f>SUMIFS('Leave Management'!$L:$L,'Leave Management'!$C:$C,Detail!$A544,'Leave Management'!$B:$B,Detail!M$1)</f>
        <v>0</v>
      </c>
      <c r="N544" s="7">
        <f>SUMIFS('Leave Management'!$L:$L,'Leave Management'!$C:$C,Detail!$A544,'Leave Management'!$B:$B,Detail!N$1)</f>
        <v>0</v>
      </c>
      <c r="O544" s="7">
        <f t="shared" si="20"/>
        <v>11</v>
      </c>
    </row>
    <row r="545" spans="1:15" x14ac:dyDescent="0.25">
      <c r="A545" s="24">
        <v>43643</v>
      </c>
      <c r="B545" s="2" t="str">
        <f t="shared" si="19"/>
        <v>Thu</v>
      </c>
      <c r="C545" s="7">
        <f>SUMIFS('Leave Management'!$L:$L,'Leave Management'!$C:$C,Detail!$A545,'Leave Management'!$B:$B,Detail!C$1)</f>
        <v>0</v>
      </c>
      <c r="D545" s="7">
        <f>SUMIFS('Leave Management'!$L:$L,'Leave Management'!$C:$C,Detail!$A545,'Leave Management'!$B:$B,Detail!D$1)</f>
        <v>0</v>
      </c>
      <c r="E545" s="7">
        <f>SUMIFS('Leave Management'!$L:$L,'Leave Management'!$C:$C,Detail!$A545,'Leave Management'!$B:$B,Detail!E$1)</f>
        <v>0</v>
      </c>
      <c r="F545" s="7">
        <f>SUMIFS('Leave Management'!$L:$L,'Leave Management'!$C:$C,Detail!$A545,'Leave Management'!$B:$B,Detail!F$1)</f>
        <v>0</v>
      </c>
      <c r="G545" s="7">
        <f>SUMIFS('Leave Management'!$L:$L,'Leave Management'!$C:$C,Detail!$A545,'Leave Management'!$B:$B,Detail!G$1)</f>
        <v>0</v>
      </c>
      <c r="H545" s="7">
        <f>SUMIFS('Leave Management'!$L:$L,'Leave Management'!$C:$C,Detail!$A545,'Leave Management'!$B:$B,Detail!H$1)</f>
        <v>0</v>
      </c>
      <c r="I545" s="7">
        <f>SUMIFS('Leave Management'!$L:$L,'Leave Management'!$C:$C,Detail!$A545,'Leave Management'!$B:$B,Detail!I$1)</f>
        <v>0</v>
      </c>
      <c r="J545" s="7">
        <f>SUMIFS('Leave Management'!$L:$L,'Leave Management'!$C:$C,Detail!$A545,'Leave Management'!$B:$B,Detail!J$1)</f>
        <v>0</v>
      </c>
      <c r="K545" s="7">
        <f>SUMIFS('Leave Management'!$L:$L,'Leave Management'!$C:$C,Detail!$A545,'Leave Management'!$B:$B,Detail!K$1)</f>
        <v>0</v>
      </c>
      <c r="L545" s="7">
        <f>SUMIFS('Leave Management'!$L:$L,'Leave Management'!$C:$C,Detail!$A545,'Leave Management'!$B:$B,Detail!L$1)</f>
        <v>0</v>
      </c>
      <c r="M545" s="7">
        <f>SUMIFS('Leave Management'!$L:$L,'Leave Management'!$C:$C,Detail!$A545,'Leave Management'!$B:$B,Detail!M$1)</f>
        <v>0</v>
      </c>
      <c r="N545" s="7">
        <f>SUMIFS('Leave Management'!$L:$L,'Leave Management'!$C:$C,Detail!$A545,'Leave Management'!$B:$B,Detail!N$1)</f>
        <v>0</v>
      </c>
      <c r="O545" s="7">
        <f t="shared" si="20"/>
        <v>11</v>
      </c>
    </row>
    <row r="546" spans="1:15" x14ac:dyDescent="0.25">
      <c r="A546" s="24">
        <v>43644</v>
      </c>
      <c r="B546" s="2" t="str">
        <f t="shared" si="19"/>
        <v>Fri</v>
      </c>
      <c r="C546" s="7">
        <f>SUMIFS('Leave Management'!$L:$L,'Leave Management'!$C:$C,Detail!$A546,'Leave Management'!$B:$B,Detail!C$1)</f>
        <v>0</v>
      </c>
      <c r="D546" s="7">
        <f>SUMIFS('Leave Management'!$L:$L,'Leave Management'!$C:$C,Detail!$A546,'Leave Management'!$B:$B,Detail!D$1)</f>
        <v>0</v>
      </c>
      <c r="E546" s="7">
        <f>SUMIFS('Leave Management'!$L:$L,'Leave Management'!$C:$C,Detail!$A546,'Leave Management'!$B:$B,Detail!E$1)</f>
        <v>0</v>
      </c>
      <c r="F546" s="7">
        <f>SUMIFS('Leave Management'!$L:$L,'Leave Management'!$C:$C,Detail!$A546,'Leave Management'!$B:$B,Detail!F$1)</f>
        <v>0</v>
      </c>
      <c r="G546" s="7">
        <f>SUMIFS('Leave Management'!$L:$L,'Leave Management'!$C:$C,Detail!$A546,'Leave Management'!$B:$B,Detail!G$1)</f>
        <v>0</v>
      </c>
      <c r="H546" s="7">
        <f>SUMIFS('Leave Management'!$L:$L,'Leave Management'!$C:$C,Detail!$A546,'Leave Management'!$B:$B,Detail!H$1)</f>
        <v>0</v>
      </c>
      <c r="I546" s="7">
        <f>SUMIFS('Leave Management'!$L:$L,'Leave Management'!$C:$C,Detail!$A546,'Leave Management'!$B:$B,Detail!I$1)</f>
        <v>0</v>
      </c>
      <c r="J546" s="7">
        <f>SUMIFS('Leave Management'!$L:$L,'Leave Management'!$C:$C,Detail!$A546,'Leave Management'!$B:$B,Detail!J$1)</f>
        <v>0</v>
      </c>
      <c r="K546" s="7">
        <f>SUMIFS('Leave Management'!$L:$L,'Leave Management'!$C:$C,Detail!$A546,'Leave Management'!$B:$B,Detail!K$1)</f>
        <v>0</v>
      </c>
      <c r="L546" s="7">
        <f>SUMIFS('Leave Management'!$L:$L,'Leave Management'!$C:$C,Detail!$A546,'Leave Management'!$B:$B,Detail!L$1)</f>
        <v>0</v>
      </c>
      <c r="M546" s="7">
        <f>SUMIFS('Leave Management'!$L:$L,'Leave Management'!$C:$C,Detail!$A546,'Leave Management'!$B:$B,Detail!M$1)</f>
        <v>0</v>
      </c>
      <c r="N546" s="7">
        <f>SUMIFS('Leave Management'!$L:$L,'Leave Management'!$C:$C,Detail!$A546,'Leave Management'!$B:$B,Detail!N$1)</f>
        <v>0</v>
      </c>
      <c r="O546" s="7">
        <f t="shared" si="20"/>
        <v>11</v>
      </c>
    </row>
    <row r="547" spans="1:15" x14ac:dyDescent="0.25">
      <c r="A547" s="24">
        <v>43645</v>
      </c>
      <c r="B547" s="2" t="str">
        <f t="shared" si="19"/>
        <v>Sat</v>
      </c>
      <c r="C547" s="7">
        <f>SUMIFS('Leave Management'!$L:$L,'Leave Management'!$C:$C,Detail!$A547,'Leave Management'!$B:$B,Detail!C$1)</f>
        <v>0</v>
      </c>
      <c r="D547" s="7">
        <f>SUMIFS('Leave Management'!$L:$L,'Leave Management'!$C:$C,Detail!$A547,'Leave Management'!$B:$B,Detail!D$1)</f>
        <v>0</v>
      </c>
      <c r="E547" s="7">
        <f>SUMIFS('Leave Management'!$L:$L,'Leave Management'!$C:$C,Detail!$A547,'Leave Management'!$B:$B,Detail!E$1)</f>
        <v>0</v>
      </c>
      <c r="F547" s="7">
        <f>SUMIFS('Leave Management'!$L:$L,'Leave Management'!$C:$C,Detail!$A547,'Leave Management'!$B:$B,Detail!F$1)</f>
        <v>0</v>
      </c>
      <c r="G547" s="7">
        <f>SUMIFS('Leave Management'!$L:$L,'Leave Management'!$C:$C,Detail!$A547,'Leave Management'!$B:$B,Detail!G$1)</f>
        <v>0</v>
      </c>
      <c r="H547" s="7">
        <f>SUMIFS('Leave Management'!$L:$L,'Leave Management'!$C:$C,Detail!$A547,'Leave Management'!$B:$B,Detail!H$1)</f>
        <v>0</v>
      </c>
      <c r="I547" s="7">
        <f>SUMIFS('Leave Management'!$L:$L,'Leave Management'!$C:$C,Detail!$A547,'Leave Management'!$B:$B,Detail!I$1)</f>
        <v>0</v>
      </c>
      <c r="J547" s="7">
        <f>SUMIFS('Leave Management'!$L:$L,'Leave Management'!$C:$C,Detail!$A547,'Leave Management'!$B:$B,Detail!J$1)</f>
        <v>0</v>
      </c>
      <c r="K547" s="7">
        <f>SUMIFS('Leave Management'!$L:$L,'Leave Management'!$C:$C,Detail!$A547,'Leave Management'!$B:$B,Detail!K$1)</f>
        <v>0</v>
      </c>
      <c r="L547" s="7">
        <f>SUMIFS('Leave Management'!$L:$L,'Leave Management'!$C:$C,Detail!$A547,'Leave Management'!$B:$B,Detail!L$1)</f>
        <v>0</v>
      </c>
      <c r="M547" s="7">
        <f>SUMIFS('Leave Management'!$L:$L,'Leave Management'!$C:$C,Detail!$A547,'Leave Management'!$B:$B,Detail!M$1)</f>
        <v>0</v>
      </c>
      <c r="N547" s="7">
        <f>SUMIFS('Leave Management'!$L:$L,'Leave Management'!$C:$C,Detail!$A547,'Leave Management'!$B:$B,Detail!N$1)</f>
        <v>0</v>
      </c>
      <c r="O547" s="7">
        <f t="shared" si="20"/>
        <v>11</v>
      </c>
    </row>
    <row r="548" spans="1:15" x14ac:dyDescent="0.25">
      <c r="A548" s="24">
        <v>43646</v>
      </c>
      <c r="B548" s="2" t="str">
        <f t="shared" si="19"/>
        <v>Sun</v>
      </c>
      <c r="C548" s="7">
        <f>SUMIFS('Leave Management'!$L:$L,'Leave Management'!$C:$C,Detail!$A548,'Leave Management'!$B:$B,Detail!C$1)</f>
        <v>0</v>
      </c>
      <c r="D548" s="7">
        <f>SUMIFS('Leave Management'!$L:$L,'Leave Management'!$C:$C,Detail!$A548,'Leave Management'!$B:$B,Detail!D$1)</f>
        <v>0</v>
      </c>
      <c r="E548" s="7">
        <f>SUMIFS('Leave Management'!$L:$L,'Leave Management'!$C:$C,Detail!$A548,'Leave Management'!$B:$B,Detail!E$1)</f>
        <v>0</v>
      </c>
      <c r="F548" s="7">
        <f>SUMIFS('Leave Management'!$L:$L,'Leave Management'!$C:$C,Detail!$A548,'Leave Management'!$B:$B,Detail!F$1)</f>
        <v>0</v>
      </c>
      <c r="G548" s="7">
        <f>SUMIFS('Leave Management'!$L:$L,'Leave Management'!$C:$C,Detail!$A548,'Leave Management'!$B:$B,Detail!G$1)</f>
        <v>0</v>
      </c>
      <c r="H548" s="7">
        <f>SUMIFS('Leave Management'!$L:$L,'Leave Management'!$C:$C,Detail!$A548,'Leave Management'!$B:$B,Detail!H$1)</f>
        <v>0</v>
      </c>
      <c r="I548" s="7">
        <f>SUMIFS('Leave Management'!$L:$L,'Leave Management'!$C:$C,Detail!$A548,'Leave Management'!$B:$B,Detail!I$1)</f>
        <v>0</v>
      </c>
      <c r="J548" s="7">
        <f>SUMIFS('Leave Management'!$L:$L,'Leave Management'!$C:$C,Detail!$A548,'Leave Management'!$B:$B,Detail!J$1)</f>
        <v>0</v>
      </c>
      <c r="K548" s="7">
        <f>SUMIFS('Leave Management'!$L:$L,'Leave Management'!$C:$C,Detail!$A548,'Leave Management'!$B:$B,Detail!K$1)</f>
        <v>0</v>
      </c>
      <c r="L548" s="7">
        <f>SUMIFS('Leave Management'!$L:$L,'Leave Management'!$C:$C,Detail!$A548,'Leave Management'!$B:$B,Detail!L$1)</f>
        <v>0</v>
      </c>
      <c r="M548" s="7">
        <f>SUMIFS('Leave Management'!$L:$L,'Leave Management'!$C:$C,Detail!$A548,'Leave Management'!$B:$B,Detail!M$1)</f>
        <v>0</v>
      </c>
      <c r="N548" s="7">
        <f>SUMIFS('Leave Management'!$L:$L,'Leave Management'!$C:$C,Detail!$A548,'Leave Management'!$B:$B,Detail!N$1)</f>
        <v>0</v>
      </c>
      <c r="O548" s="7">
        <f t="shared" si="20"/>
        <v>11</v>
      </c>
    </row>
    <row r="549" spans="1:15" x14ac:dyDescent="0.25">
      <c r="A549" s="24">
        <v>43647</v>
      </c>
      <c r="B549" s="2" t="str">
        <f t="shared" si="19"/>
        <v>Mon</v>
      </c>
      <c r="C549" s="7">
        <f>SUMIFS('Leave Management'!$L:$L,'Leave Management'!$C:$C,Detail!$A549,'Leave Management'!$B:$B,Detail!C$1)</f>
        <v>0</v>
      </c>
      <c r="D549" s="7">
        <f>SUMIFS('Leave Management'!$L:$L,'Leave Management'!$C:$C,Detail!$A549,'Leave Management'!$B:$B,Detail!D$1)</f>
        <v>0</v>
      </c>
      <c r="E549" s="7">
        <f>SUMIFS('Leave Management'!$L:$L,'Leave Management'!$C:$C,Detail!$A549,'Leave Management'!$B:$B,Detail!E$1)</f>
        <v>0</v>
      </c>
      <c r="F549" s="7">
        <f>SUMIFS('Leave Management'!$L:$L,'Leave Management'!$C:$C,Detail!$A549,'Leave Management'!$B:$B,Detail!F$1)</f>
        <v>0</v>
      </c>
      <c r="G549" s="7">
        <f>SUMIFS('Leave Management'!$L:$L,'Leave Management'!$C:$C,Detail!$A549,'Leave Management'!$B:$B,Detail!G$1)</f>
        <v>0</v>
      </c>
      <c r="H549" s="7">
        <f>SUMIFS('Leave Management'!$L:$L,'Leave Management'!$C:$C,Detail!$A549,'Leave Management'!$B:$B,Detail!H$1)</f>
        <v>0</v>
      </c>
      <c r="I549" s="7">
        <f>SUMIFS('Leave Management'!$L:$L,'Leave Management'!$C:$C,Detail!$A549,'Leave Management'!$B:$B,Detail!I$1)</f>
        <v>0</v>
      </c>
      <c r="J549" s="7">
        <f>SUMIFS('Leave Management'!$L:$L,'Leave Management'!$C:$C,Detail!$A549,'Leave Management'!$B:$B,Detail!J$1)</f>
        <v>0</v>
      </c>
      <c r="K549" s="7">
        <f>SUMIFS('Leave Management'!$L:$L,'Leave Management'!$C:$C,Detail!$A549,'Leave Management'!$B:$B,Detail!K$1)</f>
        <v>0</v>
      </c>
      <c r="L549" s="7">
        <f>SUMIFS('Leave Management'!$L:$L,'Leave Management'!$C:$C,Detail!$A549,'Leave Management'!$B:$B,Detail!L$1)</f>
        <v>0</v>
      </c>
      <c r="M549" s="7">
        <f>SUMIFS('Leave Management'!$L:$L,'Leave Management'!$C:$C,Detail!$A549,'Leave Management'!$B:$B,Detail!M$1)</f>
        <v>0</v>
      </c>
      <c r="N549" s="7">
        <f>SUMIFS('Leave Management'!$L:$L,'Leave Management'!$C:$C,Detail!$A549,'Leave Management'!$B:$B,Detail!N$1)</f>
        <v>0</v>
      </c>
      <c r="O549" s="7">
        <f t="shared" si="20"/>
        <v>11</v>
      </c>
    </row>
    <row r="550" spans="1:15" x14ac:dyDescent="0.25">
      <c r="A550" s="24">
        <v>43648</v>
      </c>
      <c r="B550" s="2" t="str">
        <f t="shared" si="19"/>
        <v>Tue</v>
      </c>
      <c r="C550" s="7">
        <f>SUMIFS('Leave Management'!$L:$L,'Leave Management'!$C:$C,Detail!$A550,'Leave Management'!$B:$B,Detail!C$1)</f>
        <v>0</v>
      </c>
      <c r="D550" s="7">
        <f>SUMIFS('Leave Management'!$L:$L,'Leave Management'!$C:$C,Detail!$A550,'Leave Management'!$B:$B,Detail!D$1)</f>
        <v>0</v>
      </c>
      <c r="E550" s="7">
        <f>SUMIFS('Leave Management'!$L:$L,'Leave Management'!$C:$C,Detail!$A550,'Leave Management'!$B:$B,Detail!E$1)</f>
        <v>0</v>
      </c>
      <c r="F550" s="7">
        <f>SUMIFS('Leave Management'!$L:$L,'Leave Management'!$C:$C,Detail!$A550,'Leave Management'!$B:$B,Detail!F$1)</f>
        <v>0</v>
      </c>
      <c r="G550" s="7">
        <f>SUMIFS('Leave Management'!$L:$L,'Leave Management'!$C:$C,Detail!$A550,'Leave Management'!$B:$B,Detail!G$1)</f>
        <v>0</v>
      </c>
      <c r="H550" s="7">
        <f>SUMIFS('Leave Management'!$L:$L,'Leave Management'!$C:$C,Detail!$A550,'Leave Management'!$B:$B,Detail!H$1)</f>
        <v>0</v>
      </c>
      <c r="I550" s="7">
        <f>SUMIFS('Leave Management'!$L:$L,'Leave Management'!$C:$C,Detail!$A550,'Leave Management'!$B:$B,Detail!I$1)</f>
        <v>0</v>
      </c>
      <c r="J550" s="7">
        <f>SUMIFS('Leave Management'!$L:$L,'Leave Management'!$C:$C,Detail!$A550,'Leave Management'!$B:$B,Detail!J$1)</f>
        <v>0</v>
      </c>
      <c r="K550" s="7">
        <f>SUMIFS('Leave Management'!$L:$L,'Leave Management'!$C:$C,Detail!$A550,'Leave Management'!$B:$B,Detail!K$1)</f>
        <v>0</v>
      </c>
      <c r="L550" s="7">
        <f>SUMIFS('Leave Management'!$L:$L,'Leave Management'!$C:$C,Detail!$A550,'Leave Management'!$B:$B,Detail!L$1)</f>
        <v>0</v>
      </c>
      <c r="M550" s="7">
        <f>SUMIFS('Leave Management'!$L:$L,'Leave Management'!$C:$C,Detail!$A550,'Leave Management'!$B:$B,Detail!M$1)</f>
        <v>0</v>
      </c>
      <c r="N550" s="7">
        <f>SUMIFS('Leave Management'!$L:$L,'Leave Management'!$C:$C,Detail!$A550,'Leave Management'!$B:$B,Detail!N$1)</f>
        <v>0</v>
      </c>
      <c r="O550" s="7">
        <f t="shared" si="20"/>
        <v>11</v>
      </c>
    </row>
    <row r="551" spans="1:15" x14ac:dyDescent="0.25">
      <c r="A551" s="24">
        <v>43649</v>
      </c>
      <c r="B551" s="2" t="str">
        <f t="shared" si="19"/>
        <v>Wed</v>
      </c>
      <c r="C551" s="7">
        <f>SUMIFS('Leave Management'!$L:$L,'Leave Management'!$C:$C,Detail!$A551,'Leave Management'!$B:$B,Detail!C$1)</f>
        <v>0</v>
      </c>
      <c r="D551" s="7">
        <f>SUMIFS('Leave Management'!$L:$L,'Leave Management'!$C:$C,Detail!$A551,'Leave Management'!$B:$B,Detail!D$1)</f>
        <v>0</v>
      </c>
      <c r="E551" s="7">
        <f>SUMIFS('Leave Management'!$L:$L,'Leave Management'!$C:$C,Detail!$A551,'Leave Management'!$B:$B,Detail!E$1)</f>
        <v>0</v>
      </c>
      <c r="F551" s="7">
        <f>SUMIFS('Leave Management'!$L:$L,'Leave Management'!$C:$C,Detail!$A551,'Leave Management'!$B:$B,Detail!F$1)</f>
        <v>0</v>
      </c>
      <c r="G551" s="7">
        <f>SUMIFS('Leave Management'!$L:$L,'Leave Management'!$C:$C,Detail!$A551,'Leave Management'!$B:$B,Detail!G$1)</f>
        <v>0</v>
      </c>
      <c r="H551" s="7">
        <f>SUMIFS('Leave Management'!$L:$L,'Leave Management'!$C:$C,Detail!$A551,'Leave Management'!$B:$B,Detail!H$1)</f>
        <v>0</v>
      </c>
      <c r="I551" s="7">
        <f>SUMIFS('Leave Management'!$L:$L,'Leave Management'!$C:$C,Detail!$A551,'Leave Management'!$B:$B,Detail!I$1)</f>
        <v>0</v>
      </c>
      <c r="J551" s="7">
        <f>SUMIFS('Leave Management'!$L:$L,'Leave Management'!$C:$C,Detail!$A551,'Leave Management'!$B:$B,Detail!J$1)</f>
        <v>0</v>
      </c>
      <c r="K551" s="7">
        <f>SUMIFS('Leave Management'!$L:$L,'Leave Management'!$C:$C,Detail!$A551,'Leave Management'!$B:$B,Detail!K$1)</f>
        <v>0</v>
      </c>
      <c r="L551" s="7">
        <f>SUMIFS('Leave Management'!$L:$L,'Leave Management'!$C:$C,Detail!$A551,'Leave Management'!$B:$B,Detail!L$1)</f>
        <v>0</v>
      </c>
      <c r="M551" s="7">
        <f>SUMIFS('Leave Management'!$L:$L,'Leave Management'!$C:$C,Detail!$A551,'Leave Management'!$B:$B,Detail!M$1)</f>
        <v>0</v>
      </c>
      <c r="N551" s="7">
        <f>SUMIFS('Leave Management'!$L:$L,'Leave Management'!$C:$C,Detail!$A551,'Leave Management'!$B:$B,Detail!N$1)</f>
        <v>0</v>
      </c>
      <c r="O551" s="7">
        <f t="shared" si="20"/>
        <v>11</v>
      </c>
    </row>
    <row r="552" spans="1:15" x14ac:dyDescent="0.25">
      <c r="A552" s="24">
        <v>43650</v>
      </c>
      <c r="B552" s="2" t="str">
        <f t="shared" si="19"/>
        <v>Thu</v>
      </c>
      <c r="C552" s="7">
        <f>SUMIFS('Leave Management'!$L:$L,'Leave Management'!$C:$C,Detail!$A552,'Leave Management'!$B:$B,Detail!C$1)</f>
        <v>0</v>
      </c>
      <c r="D552" s="7">
        <f>SUMIFS('Leave Management'!$L:$L,'Leave Management'!$C:$C,Detail!$A552,'Leave Management'!$B:$B,Detail!D$1)</f>
        <v>0</v>
      </c>
      <c r="E552" s="7">
        <f>SUMIFS('Leave Management'!$L:$L,'Leave Management'!$C:$C,Detail!$A552,'Leave Management'!$B:$B,Detail!E$1)</f>
        <v>0</v>
      </c>
      <c r="F552" s="7">
        <f>SUMIFS('Leave Management'!$L:$L,'Leave Management'!$C:$C,Detail!$A552,'Leave Management'!$B:$B,Detail!F$1)</f>
        <v>0</v>
      </c>
      <c r="G552" s="7">
        <f>SUMIFS('Leave Management'!$L:$L,'Leave Management'!$C:$C,Detail!$A552,'Leave Management'!$B:$B,Detail!G$1)</f>
        <v>0</v>
      </c>
      <c r="H552" s="7">
        <f>SUMIFS('Leave Management'!$L:$L,'Leave Management'!$C:$C,Detail!$A552,'Leave Management'!$B:$B,Detail!H$1)</f>
        <v>0</v>
      </c>
      <c r="I552" s="7">
        <f>SUMIFS('Leave Management'!$L:$L,'Leave Management'!$C:$C,Detail!$A552,'Leave Management'!$B:$B,Detail!I$1)</f>
        <v>0</v>
      </c>
      <c r="J552" s="7">
        <f>SUMIFS('Leave Management'!$L:$L,'Leave Management'!$C:$C,Detail!$A552,'Leave Management'!$B:$B,Detail!J$1)</f>
        <v>0</v>
      </c>
      <c r="K552" s="7">
        <f>SUMIFS('Leave Management'!$L:$L,'Leave Management'!$C:$C,Detail!$A552,'Leave Management'!$B:$B,Detail!K$1)</f>
        <v>0</v>
      </c>
      <c r="L552" s="7">
        <f>SUMIFS('Leave Management'!$L:$L,'Leave Management'!$C:$C,Detail!$A552,'Leave Management'!$B:$B,Detail!L$1)</f>
        <v>0</v>
      </c>
      <c r="M552" s="7">
        <f>SUMIFS('Leave Management'!$L:$L,'Leave Management'!$C:$C,Detail!$A552,'Leave Management'!$B:$B,Detail!M$1)</f>
        <v>0</v>
      </c>
      <c r="N552" s="7">
        <f>SUMIFS('Leave Management'!$L:$L,'Leave Management'!$C:$C,Detail!$A552,'Leave Management'!$B:$B,Detail!N$1)</f>
        <v>0</v>
      </c>
      <c r="O552" s="7">
        <f t="shared" si="20"/>
        <v>11</v>
      </c>
    </row>
    <row r="553" spans="1:15" x14ac:dyDescent="0.25">
      <c r="A553" s="24">
        <v>43651</v>
      </c>
      <c r="B553" s="2" t="str">
        <f t="shared" si="19"/>
        <v>Fri</v>
      </c>
      <c r="C553" s="7">
        <f>SUMIFS('Leave Management'!$L:$L,'Leave Management'!$C:$C,Detail!$A553,'Leave Management'!$B:$B,Detail!C$1)</f>
        <v>0</v>
      </c>
      <c r="D553" s="7">
        <f>SUMIFS('Leave Management'!$L:$L,'Leave Management'!$C:$C,Detail!$A553,'Leave Management'!$B:$B,Detail!D$1)</f>
        <v>0</v>
      </c>
      <c r="E553" s="7">
        <f>SUMIFS('Leave Management'!$L:$L,'Leave Management'!$C:$C,Detail!$A553,'Leave Management'!$B:$B,Detail!E$1)</f>
        <v>0</v>
      </c>
      <c r="F553" s="7">
        <f>SUMIFS('Leave Management'!$L:$L,'Leave Management'!$C:$C,Detail!$A553,'Leave Management'!$B:$B,Detail!F$1)</f>
        <v>0</v>
      </c>
      <c r="G553" s="7">
        <f>SUMIFS('Leave Management'!$L:$L,'Leave Management'!$C:$C,Detail!$A553,'Leave Management'!$B:$B,Detail!G$1)</f>
        <v>0</v>
      </c>
      <c r="H553" s="7">
        <f>SUMIFS('Leave Management'!$L:$L,'Leave Management'!$C:$C,Detail!$A553,'Leave Management'!$B:$B,Detail!H$1)</f>
        <v>0</v>
      </c>
      <c r="I553" s="7">
        <f>SUMIFS('Leave Management'!$L:$L,'Leave Management'!$C:$C,Detail!$A553,'Leave Management'!$B:$B,Detail!I$1)</f>
        <v>0</v>
      </c>
      <c r="J553" s="7">
        <f>SUMIFS('Leave Management'!$L:$L,'Leave Management'!$C:$C,Detail!$A553,'Leave Management'!$B:$B,Detail!J$1)</f>
        <v>0</v>
      </c>
      <c r="K553" s="7">
        <f>SUMIFS('Leave Management'!$L:$L,'Leave Management'!$C:$C,Detail!$A553,'Leave Management'!$B:$B,Detail!K$1)</f>
        <v>0</v>
      </c>
      <c r="L553" s="7">
        <f>SUMIFS('Leave Management'!$L:$L,'Leave Management'!$C:$C,Detail!$A553,'Leave Management'!$B:$B,Detail!L$1)</f>
        <v>0</v>
      </c>
      <c r="M553" s="7">
        <f>SUMIFS('Leave Management'!$L:$L,'Leave Management'!$C:$C,Detail!$A553,'Leave Management'!$B:$B,Detail!M$1)</f>
        <v>0</v>
      </c>
      <c r="N553" s="7">
        <f>SUMIFS('Leave Management'!$L:$L,'Leave Management'!$C:$C,Detail!$A553,'Leave Management'!$B:$B,Detail!N$1)</f>
        <v>0</v>
      </c>
      <c r="O553" s="7">
        <f t="shared" si="20"/>
        <v>11</v>
      </c>
    </row>
    <row r="554" spans="1:15" x14ac:dyDescent="0.25">
      <c r="A554" s="24">
        <v>43652</v>
      </c>
      <c r="B554" s="2" t="str">
        <f t="shared" si="19"/>
        <v>Sat</v>
      </c>
      <c r="C554" s="7">
        <f>SUMIFS('Leave Management'!$L:$L,'Leave Management'!$C:$C,Detail!$A554,'Leave Management'!$B:$B,Detail!C$1)</f>
        <v>0</v>
      </c>
      <c r="D554" s="7">
        <f>SUMIFS('Leave Management'!$L:$L,'Leave Management'!$C:$C,Detail!$A554,'Leave Management'!$B:$B,Detail!D$1)</f>
        <v>0</v>
      </c>
      <c r="E554" s="7">
        <f>SUMIFS('Leave Management'!$L:$L,'Leave Management'!$C:$C,Detail!$A554,'Leave Management'!$B:$B,Detail!E$1)</f>
        <v>0</v>
      </c>
      <c r="F554" s="7">
        <f>SUMIFS('Leave Management'!$L:$L,'Leave Management'!$C:$C,Detail!$A554,'Leave Management'!$B:$B,Detail!F$1)</f>
        <v>0</v>
      </c>
      <c r="G554" s="7">
        <f>SUMIFS('Leave Management'!$L:$L,'Leave Management'!$C:$C,Detail!$A554,'Leave Management'!$B:$B,Detail!G$1)</f>
        <v>0</v>
      </c>
      <c r="H554" s="7">
        <f>SUMIFS('Leave Management'!$L:$L,'Leave Management'!$C:$C,Detail!$A554,'Leave Management'!$B:$B,Detail!H$1)</f>
        <v>0</v>
      </c>
      <c r="I554" s="7">
        <f>SUMIFS('Leave Management'!$L:$L,'Leave Management'!$C:$C,Detail!$A554,'Leave Management'!$B:$B,Detail!I$1)</f>
        <v>0</v>
      </c>
      <c r="J554" s="7">
        <f>SUMIFS('Leave Management'!$L:$L,'Leave Management'!$C:$C,Detail!$A554,'Leave Management'!$B:$B,Detail!J$1)</f>
        <v>0</v>
      </c>
      <c r="K554" s="7">
        <f>SUMIFS('Leave Management'!$L:$L,'Leave Management'!$C:$C,Detail!$A554,'Leave Management'!$B:$B,Detail!K$1)</f>
        <v>0</v>
      </c>
      <c r="L554" s="7">
        <f>SUMIFS('Leave Management'!$L:$L,'Leave Management'!$C:$C,Detail!$A554,'Leave Management'!$B:$B,Detail!L$1)</f>
        <v>0</v>
      </c>
      <c r="M554" s="7">
        <f>SUMIFS('Leave Management'!$L:$L,'Leave Management'!$C:$C,Detail!$A554,'Leave Management'!$B:$B,Detail!M$1)</f>
        <v>0</v>
      </c>
      <c r="N554" s="7">
        <f>SUMIFS('Leave Management'!$L:$L,'Leave Management'!$C:$C,Detail!$A554,'Leave Management'!$B:$B,Detail!N$1)</f>
        <v>0</v>
      </c>
      <c r="O554" s="7">
        <f t="shared" si="20"/>
        <v>11</v>
      </c>
    </row>
    <row r="555" spans="1:15" x14ac:dyDescent="0.25">
      <c r="A555" s="24">
        <v>43653</v>
      </c>
      <c r="B555" s="2" t="str">
        <f t="shared" si="19"/>
        <v>Sun</v>
      </c>
      <c r="C555" s="7">
        <f>SUMIFS('Leave Management'!$L:$L,'Leave Management'!$C:$C,Detail!$A555,'Leave Management'!$B:$B,Detail!C$1)</f>
        <v>0</v>
      </c>
      <c r="D555" s="7">
        <f>SUMIFS('Leave Management'!$L:$L,'Leave Management'!$C:$C,Detail!$A555,'Leave Management'!$B:$B,Detail!D$1)</f>
        <v>0</v>
      </c>
      <c r="E555" s="7">
        <f>SUMIFS('Leave Management'!$L:$L,'Leave Management'!$C:$C,Detail!$A555,'Leave Management'!$B:$B,Detail!E$1)</f>
        <v>0</v>
      </c>
      <c r="F555" s="7">
        <f>SUMIFS('Leave Management'!$L:$L,'Leave Management'!$C:$C,Detail!$A555,'Leave Management'!$B:$B,Detail!F$1)</f>
        <v>0</v>
      </c>
      <c r="G555" s="7">
        <f>SUMIFS('Leave Management'!$L:$L,'Leave Management'!$C:$C,Detail!$A555,'Leave Management'!$B:$B,Detail!G$1)</f>
        <v>0</v>
      </c>
      <c r="H555" s="7">
        <f>SUMIFS('Leave Management'!$L:$L,'Leave Management'!$C:$C,Detail!$A555,'Leave Management'!$B:$B,Detail!H$1)</f>
        <v>0</v>
      </c>
      <c r="I555" s="7">
        <f>SUMIFS('Leave Management'!$L:$L,'Leave Management'!$C:$C,Detail!$A555,'Leave Management'!$B:$B,Detail!I$1)</f>
        <v>0</v>
      </c>
      <c r="J555" s="7">
        <f>SUMIFS('Leave Management'!$L:$L,'Leave Management'!$C:$C,Detail!$A555,'Leave Management'!$B:$B,Detail!J$1)</f>
        <v>0</v>
      </c>
      <c r="K555" s="7">
        <f>SUMIFS('Leave Management'!$L:$L,'Leave Management'!$C:$C,Detail!$A555,'Leave Management'!$B:$B,Detail!K$1)</f>
        <v>0</v>
      </c>
      <c r="L555" s="7">
        <f>SUMIFS('Leave Management'!$L:$L,'Leave Management'!$C:$C,Detail!$A555,'Leave Management'!$B:$B,Detail!L$1)</f>
        <v>0</v>
      </c>
      <c r="M555" s="7">
        <f>SUMIFS('Leave Management'!$L:$L,'Leave Management'!$C:$C,Detail!$A555,'Leave Management'!$B:$B,Detail!M$1)</f>
        <v>0</v>
      </c>
      <c r="N555" s="7">
        <f>SUMIFS('Leave Management'!$L:$L,'Leave Management'!$C:$C,Detail!$A555,'Leave Management'!$B:$B,Detail!N$1)</f>
        <v>0</v>
      </c>
      <c r="O555" s="7">
        <f t="shared" si="20"/>
        <v>11</v>
      </c>
    </row>
    <row r="556" spans="1:15" x14ac:dyDescent="0.25">
      <c r="A556" s="24">
        <v>43654</v>
      </c>
      <c r="B556" s="2" t="str">
        <f t="shared" si="19"/>
        <v>Mon</v>
      </c>
      <c r="C556" s="7">
        <f>SUMIFS('Leave Management'!$L:$L,'Leave Management'!$C:$C,Detail!$A556,'Leave Management'!$B:$B,Detail!C$1)</f>
        <v>0</v>
      </c>
      <c r="D556" s="7">
        <f>SUMIFS('Leave Management'!$L:$L,'Leave Management'!$C:$C,Detail!$A556,'Leave Management'!$B:$B,Detail!D$1)</f>
        <v>0</v>
      </c>
      <c r="E556" s="7">
        <f>SUMIFS('Leave Management'!$L:$L,'Leave Management'!$C:$C,Detail!$A556,'Leave Management'!$B:$B,Detail!E$1)</f>
        <v>0</v>
      </c>
      <c r="F556" s="7">
        <f>SUMIFS('Leave Management'!$L:$L,'Leave Management'!$C:$C,Detail!$A556,'Leave Management'!$B:$B,Detail!F$1)</f>
        <v>0</v>
      </c>
      <c r="G556" s="7">
        <f>SUMIFS('Leave Management'!$L:$L,'Leave Management'!$C:$C,Detail!$A556,'Leave Management'!$B:$B,Detail!G$1)</f>
        <v>0</v>
      </c>
      <c r="H556" s="7">
        <f>SUMIFS('Leave Management'!$L:$L,'Leave Management'!$C:$C,Detail!$A556,'Leave Management'!$B:$B,Detail!H$1)</f>
        <v>0</v>
      </c>
      <c r="I556" s="7">
        <f>SUMIFS('Leave Management'!$L:$L,'Leave Management'!$C:$C,Detail!$A556,'Leave Management'!$B:$B,Detail!I$1)</f>
        <v>0</v>
      </c>
      <c r="J556" s="7">
        <f>SUMIFS('Leave Management'!$L:$L,'Leave Management'!$C:$C,Detail!$A556,'Leave Management'!$B:$B,Detail!J$1)</f>
        <v>0</v>
      </c>
      <c r="K556" s="7">
        <f>SUMIFS('Leave Management'!$L:$L,'Leave Management'!$C:$C,Detail!$A556,'Leave Management'!$B:$B,Detail!K$1)</f>
        <v>0</v>
      </c>
      <c r="L556" s="7">
        <f>SUMIFS('Leave Management'!$L:$L,'Leave Management'!$C:$C,Detail!$A556,'Leave Management'!$B:$B,Detail!L$1)</f>
        <v>0</v>
      </c>
      <c r="M556" s="7">
        <f>SUMIFS('Leave Management'!$L:$L,'Leave Management'!$C:$C,Detail!$A556,'Leave Management'!$B:$B,Detail!M$1)</f>
        <v>0</v>
      </c>
      <c r="N556" s="7">
        <f>SUMIFS('Leave Management'!$L:$L,'Leave Management'!$C:$C,Detail!$A556,'Leave Management'!$B:$B,Detail!N$1)</f>
        <v>0</v>
      </c>
      <c r="O556" s="7">
        <f t="shared" si="20"/>
        <v>11</v>
      </c>
    </row>
    <row r="557" spans="1:15" x14ac:dyDescent="0.25">
      <c r="A557" s="24">
        <v>43655</v>
      </c>
      <c r="B557" s="2" t="str">
        <f t="shared" si="19"/>
        <v>Tue</v>
      </c>
      <c r="C557" s="7">
        <f>SUMIFS('Leave Management'!$L:$L,'Leave Management'!$C:$C,Detail!$A557,'Leave Management'!$B:$B,Detail!C$1)</f>
        <v>0</v>
      </c>
      <c r="D557" s="7">
        <f>SUMIFS('Leave Management'!$L:$L,'Leave Management'!$C:$C,Detail!$A557,'Leave Management'!$B:$B,Detail!D$1)</f>
        <v>0</v>
      </c>
      <c r="E557" s="7">
        <f>SUMIFS('Leave Management'!$L:$L,'Leave Management'!$C:$C,Detail!$A557,'Leave Management'!$B:$B,Detail!E$1)</f>
        <v>0</v>
      </c>
      <c r="F557" s="7">
        <f>SUMIFS('Leave Management'!$L:$L,'Leave Management'!$C:$C,Detail!$A557,'Leave Management'!$B:$B,Detail!F$1)</f>
        <v>0</v>
      </c>
      <c r="G557" s="7">
        <f>SUMIFS('Leave Management'!$L:$L,'Leave Management'!$C:$C,Detail!$A557,'Leave Management'!$B:$B,Detail!G$1)</f>
        <v>0</v>
      </c>
      <c r="H557" s="7">
        <f>SUMIFS('Leave Management'!$L:$L,'Leave Management'!$C:$C,Detail!$A557,'Leave Management'!$B:$B,Detail!H$1)</f>
        <v>0</v>
      </c>
      <c r="I557" s="7">
        <f>SUMIFS('Leave Management'!$L:$L,'Leave Management'!$C:$C,Detail!$A557,'Leave Management'!$B:$B,Detail!I$1)</f>
        <v>0</v>
      </c>
      <c r="J557" s="7">
        <f>SUMIFS('Leave Management'!$L:$L,'Leave Management'!$C:$C,Detail!$A557,'Leave Management'!$B:$B,Detail!J$1)</f>
        <v>0</v>
      </c>
      <c r="K557" s="7">
        <f>SUMIFS('Leave Management'!$L:$L,'Leave Management'!$C:$C,Detail!$A557,'Leave Management'!$B:$B,Detail!K$1)</f>
        <v>0</v>
      </c>
      <c r="L557" s="7">
        <f>SUMIFS('Leave Management'!$L:$L,'Leave Management'!$C:$C,Detail!$A557,'Leave Management'!$B:$B,Detail!L$1)</f>
        <v>0</v>
      </c>
      <c r="M557" s="7">
        <f>SUMIFS('Leave Management'!$L:$L,'Leave Management'!$C:$C,Detail!$A557,'Leave Management'!$B:$B,Detail!M$1)</f>
        <v>0</v>
      </c>
      <c r="N557" s="7">
        <f>SUMIFS('Leave Management'!$L:$L,'Leave Management'!$C:$C,Detail!$A557,'Leave Management'!$B:$B,Detail!N$1)</f>
        <v>0</v>
      </c>
      <c r="O557" s="7">
        <f t="shared" si="20"/>
        <v>11</v>
      </c>
    </row>
    <row r="558" spans="1:15" x14ac:dyDescent="0.25">
      <c r="A558" s="24">
        <v>43656</v>
      </c>
      <c r="B558" s="2" t="str">
        <f t="shared" si="19"/>
        <v>Wed</v>
      </c>
      <c r="C558" s="7">
        <f>SUMIFS('Leave Management'!$L:$L,'Leave Management'!$C:$C,Detail!$A558,'Leave Management'!$B:$B,Detail!C$1)</f>
        <v>0</v>
      </c>
      <c r="D558" s="7">
        <f>SUMIFS('Leave Management'!$L:$L,'Leave Management'!$C:$C,Detail!$A558,'Leave Management'!$B:$B,Detail!D$1)</f>
        <v>0</v>
      </c>
      <c r="E558" s="7">
        <f>SUMIFS('Leave Management'!$L:$L,'Leave Management'!$C:$C,Detail!$A558,'Leave Management'!$B:$B,Detail!E$1)</f>
        <v>0</v>
      </c>
      <c r="F558" s="7">
        <f>SUMIFS('Leave Management'!$L:$L,'Leave Management'!$C:$C,Detail!$A558,'Leave Management'!$B:$B,Detail!F$1)</f>
        <v>0</v>
      </c>
      <c r="G558" s="7">
        <f>SUMIFS('Leave Management'!$L:$L,'Leave Management'!$C:$C,Detail!$A558,'Leave Management'!$B:$B,Detail!G$1)</f>
        <v>0</v>
      </c>
      <c r="H558" s="7">
        <f>SUMIFS('Leave Management'!$L:$L,'Leave Management'!$C:$C,Detail!$A558,'Leave Management'!$B:$B,Detail!H$1)</f>
        <v>0</v>
      </c>
      <c r="I558" s="7">
        <f>SUMIFS('Leave Management'!$L:$L,'Leave Management'!$C:$C,Detail!$A558,'Leave Management'!$B:$B,Detail!I$1)</f>
        <v>0</v>
      </c>
      <c r="J558" s="7">
        <f>SUMIFS('Leave Management'!$L:$L,'Leave Management'!$C:$C,Detail!$A558,'Leave Management'!$B:$B,Detail!J$1)</f>
        <v>0</v>
      </c>
      <c r="K558" s="7">
        <f>SUMIFS('Leave Management'!$L:$L,'Leave Management'!$C:$C,Detail!$A558,'Leave Management'!$B:$B,Detail!K$1)</f>
        <v>0</v>
      </c>
      <c r="L558" s="7">
        <f>SUMIFS('Leave Management'!$L:$L,'Leave Management'!$C:$C,Detail!$A558,'Leave Management'!$B:$B,Detail!L$1)</f>
        <v>0</v>
      </c>
      <c r="M558" s="7">
        <f>SUMIFS('Leave Management'!$L:$L,'Leave Management'!$C:$C,Detail!$A558,'Leave Management'!$B:$B,Detail!M$1)</f>
        <v>0</v>
      </c>
      <c r="N558" s="7">
        <f>SUMIFS('Leave Management'!$L:$L,'Leave Management'!$C:$C,Detail!$A558,'Leave Management'!$B:$B,Detail!N$1)</f>
        <v>0</v>
      </c>
      <c r="O558" s="7">
        <f t="shared" si="20"/>
        <v>11</v>
      </c>
    </row>
    <row r="559" spans="1:15" x14ac:dyDescent="0.25">
      <c r="A559" s="24">
        <v>43657</v>
      </c>
      <c r="B559" s="2" t="str">
        <f t="shared" si="19"/>
        <v>Thu</v>
      </c>
      <c r="C559" s="7">
        <f>SUMIFS('Leave Management'!$L:$L,'Leave Management'!$C:$C,Detail!$A559,'Leave Management'!$B:$B,Detail!C$1)</f>
        <v>0</v>
      </c>
      <c r="D559" s="7">
        <f>SUMIFS('Leave Management'!$L:$L,'Leave Management'!$C:$C,Detail!$A559,'Leave Management'!$B:$B,Detail!D$1)</f>
        <v>0</v>
      </c>
      <c r="E559" s="7">
        <f>SUMIFS('Leave Management'!$L:$L,'Leave Management'!$C:$C,Detail!$A559,'Leave Management'!$B:$B,Detail!E$1)</f>
        <v>0</v>
      </c>
      <c r="F559" s="7">
        <f>SUMIFS('Leave Management'!$L:$L,'Leave Management'!$C:$C,Detail!$A559,'Leave Management'!$B:$B,Detail!F$1)</f>
        <v>0</v>
      </c>
      <c r="G559" s="7">
        <f>SUMIFS('Leave Management'!$L:$L,'Leave Management'!$C:$C,Detail!$A559,'Leave Management'!$B:$B,Detail!G$1)</f>
        <v>0</v>
      </c>
      <c r="H559" s="7">
        <f>SUMIFS('Leave Management'!$L:$L,'Leave Management'!$C:$C,Detail!$A559,'Leave Management'!$B:$B,Detail!H$1)</f>
        <v>0</v>
      </c>
      <c r="I559" s="7">
        <f>SUMIFS('Leave Management'!$L:$L,'Leave Management'!$C:$C,Detail!$A559,'Leave Management'!$B:$B,Detail!I$1)</f>
        <v>0</v>
      </c>
      <c r="J559" s="7">
        <f>SUMIFS('Leave Management'!$L:$L,'Leave Management'!$C:$C,Detail!$A559,'Leave Management'!$B:$B,Detail!J$1)</f>
        <v>0</v>
      </c>
      <c r="K559" s="7">
        <f>SUMIFS('Leave Management'!$L:$L,'Leave Management'!$C:$C,Detail!$A559,'Leave Management'!$B:$B,Detail!K$1)</f>
        <v>0</v>
      </c>
      <c r="L559" s="7">
        <f>SUMIFS('Leave Management'!$L:$L,'Leave Management'!$C:$C,Detail!$A559,'Leave Management'!$B:$B,Detail!L$1)</f>
        <v>0</v>
      </c>
      <c r="M559" s="7">
        <f>SUMIFS('Leave Management'!$L:$L,'Leave Management'!$C:$C,Detail!$A559,'Leave Management'!$B:$B,Detail!M$1)</f>
        <v>0</v>
      </c>
      <c r="N559" s="7">
        <f>SUMIFS('Leave Management'!$L:$L,'Leave Management'!$C:$C,Detail!$A559,'Leave Management'!$B:$B,Detail!N$1)</f>
        <v>0</v>
      </c>
      <c r="O559" s="7">
        <f t="shared" si="20"/>
        <v>11</v>
      </c>
    </row>
    <row r="560" spans="1:15" x14ac:dyDescent="0.25">
      <c r="A560" s="24">
        <v>43658</v>
      </c>
      <c r="B560" s="2" t="str">
        <f t="shared" ref="B560:B582" si="21">CHOOSE(WEEKDAY(A560),"Sun","Mon","Tue","Wed","Thu","Fri","Sat")</f>
        <v>Fri</v>
      </c>
      <c r="C560" s="7">
        <f>SUMIFS('Leave Management'!$L:$L,'Leave Management'!$C:$C,Detail!$A560,'Leave Management'!$B:$B,Detail!C$1)</f>
        <v>0</v>
      </c>
      <c r="D560" s="7">
        <f>SUMIFS('Leave Management'!$L:$L,'Leave Management'!$C:$C,Detail!$A560,'Leave Management'!$B:$B,Detail!D$1)</f>
        <v>0</v>
      </c>
      <c r="E560" s="7">
        <f>SUMIFS('Leave Management'!$L:$L,'Leave Management'!$C:$C,Detail!$A560,'Leave Management'!$B:$B,Detail!E$1)</f>
        <v>0</v>
      </c>
      <c r="F560" s="7">
        <f>SUMIFS('Leave Management'!$L:$L,'Leave Management'!$C:$C,Detail!$A560,'Leave Management'!$B:$B,Detail!F$1)</f>
        <v>0</v>
      </c>
      <c r="G560" s="7">
        <f>SUMIFS('Leave Management'!$L:$L,'Leave Management'!$C:$C,Detail!$A560,'Leave Management'!$B:$B,Detail!G$1)</f>
        <v>0</v>
      </c>
      <c r="H560" s="7">
        <f>SUMIFS('Leave Management'!$L:$L,'Leave Management'!$C:$C,Detail!$A560,'Leave Management'!$B:$B,Detail!H$1)</f>
        <v>0</v>
      </c>
      <c r="I560" s="7">
        <f>SUMIFS('Leave Management'!$L:$L,'Leave Management'!$C:$C,Detail!$A560,'Leave Management'!$B:$B,Detail!I$1)</f>
        <v>0</v>
      </c>
      <c r="J560" s="7">
        <f>SUMIFS('Leave Management'!$L:$L,'Leave Management'!$C:$C,Detail!$A560,'Leave Management'!$B:$B,Detail!J$1)</f>
        <v>0</v>
      </c>
      <c r="K560" s="7">
        <f>SUMIFS('Leave Management'!$L:$L,'Leave Management'!$C:$C,Detail!$A560,'Leave Management'!$B:$B,Detail!K$1)</f>
        <v>1</v>
      </c>
      <c r="L560" s="7">
        <f>SUMIFS('Leave Management'!$L:$L,'Leave Management'!$C:$C,Detail!$A560,'Leave Management'!$B:$B,Detail!L$1)</f>
        <v>0</v>
      </c>
      <c r="M560" s="7">
        <f>SUMIFS('Leave Management'!$L:$L,'Leave Management'!$C:$C,Detail!$A560,'Leave Management'!$B:$B,Detail!M$1)</f>
        <v>0</v>
      </c>
      <c r="N560" s="7">
        <f>SUMIFS('Leave Management'!$L:$L,'Leave Management'!$C:$C,Detail!$A560,'Leave Management'!$B:$B,Detail!N$1)</f>
        <v>0</v>
      </c>
      <c r="O560" s="7">
        <f t="shared" si="20"/>
        <v>10</v>
      </c>
    </row>
    <row r="561" spans="1:15" x14ac:dyDescent="0.25">
      <c r="A561" s="24">
        <v>43659</v>
      </c>
      <c r="B561" s="2" t="str">
        <f t="shared" si="21"/>
        <v>Sat</v>
      </c>
      <c r="C561" s="7">
        <f>SUMIFS('Leave Management'!$L:$L,'Leave Management'!$C:$C,Detail!$A561,'Leave Management'!$B:$B,Detail!C$1)</f>
        <v>0</v>
      </c>
      <c r="D561" s="7">
        <f>SUMIFS('Leave Management'!$L:$L,'Leave Management'!$C:$C,Detail!$A561,'Leave Management'!$B:$B,Detail!D$1)</f>
        <v>0</v>
      </c>
      <c r="E561" s="7">
        <f>SUMIFS('Leave Management'!$L:$L,'Leave Management'!$C:$C,Detail!$A561,'Leave Management'!$B:$B,Detail!E$1)</f>
        <v>0</v>
      </c>
      <c r="F561" s="7">
        <f>SUMIFS('Leave Management'!$L:$L,'Leave Management'!$C:$C,Detail!$A561,'Leave Management'!$B:$B,Detail!F$1)</f>
        <v>0</v>
      </c>
      <c r="G561" s="7">
        <f>SUMIFS('Leave Management'!$L:$L,'Leave Management'!$C:$C,Detail!$A561,'Leave Management'!$B:$B,Detail!G$1)</f>
        <v>0</v>
      </c>
      <c r="H561" s="7">
        <f>SUMIFS('Leave Management'!$L:$L,'Leave Management'!$C:$C,Detail!$A561,'Leave Management'!$B:$B,Detail!H$1)</f>
        <v>0</v>
      </c>
      <c r="I561" s="7">
        <f>SUMIFS('Leave Management'!$L:$L,'Leave Management'!$C:$C,Detail!$A561,'Leave Management'!$B:$B,Detail!I$1)</f>
        <v>0</v>
      </c>
      <c r="J561" s="7">
        <f>SUMIFS('Leave Management'!$L:$L,'Leave Management'!$C:$C,Detail!$A561,'Leave Management'!$B:$B,Detail!J$1)</f>
        <v>0</v>
      </c>
      <c r="K561" s="7">
        <f>SUMIFS('Leave Management'!$L:$L,'Leave Management'!$C:$C,Detail!$A561,'Leave Management'!$B:$B,Detail!K$1)</f>
        <v>0</v>
      </c>
      <c r="L561" s="7">
        <f>SUMIFS('Leave Management'!$L:$L,'Leave Management'!$C:$C,Detail!$A561,'Leave Management'!$B:$B,Detail!L$1)</f>
        <v>0</v>
      </c>
      <c r="M561" s="7">
        <f>SUMIFS('Leave Management'!$L:$L,'Leave Management'!$C:$C,Detail!$A561,'Leave Management'!$B:$B,Detail!M$1)</f>
        <v>0</v>
      </c>
      <c r="N561" s="7">
        <f>SUMIFS('Leave Management'!$L:$L,'Leave Management'!$C:$C,Detail!$A561,'Leave Management'!$B:$B,Detail!N$1)</f>
        <v>0</v>
      </c>
      <c r="O561" s="7">
        <f t="shared" si="20"/>
        <v>11</v>
      </c>
    </row>
    <row r="562" spans="1:15" x14ac:dyDescent="0.25">
      <c r="A562" s="24">
        <v>43660</v>
      </c>
      <c r="B562" s="2" t="str">
        <f t="shared" si="21"/>
        <v>Sun</v>
      </c>
      <c r="C562" s="7">
        <f>SUMIFS('Leave Management'!$L:$L,'Leave Management'!$C:$C,Detail!$A562,'Leave Management'!$B:$B,Detail!C$1)</f>
        <v>0</v>
      </c>
      <c r="D562" s="7">
        <f>SUMIFS('Leave Management'!$L:$L,'Leave Management'!$C:$C,Detail!$A562,'Leave Management'!$B:$B,Detail!D$1)</f>
        <v>0</v>
      </c>
      <c r="E562" s="7">
        <f>SUMIFS('Leave Management'!$L:$L,'Leave Management'!$C:$C,Detail!$A562,'Leave Management'!$B:$B,Detail!E$1)</f>
        <v>0</v>
      </c>
      <c r="F562" s="7">
        <f>SUMIFS('Leave Management'!$L:$L,'Leave Management'!$C:$C,Detail!$A562,'Leave Management'!$B:$B,Detail!F$1)</f>
        <v>0</v>
      </c>
      <c r="G562" s="7">
        <f>SUMIFS('Leave Management'!$L:$L,'Leave Management'!$C:$C,Detail!$A562,'Leave Management'!$B:$B,Detail!G$1)</f>
        <v>0</v>
      </c>
      <c r="H562" s="7">
        <f>SUMIFS('Leave Management'!$L:$L,'Leave Management'!$C:$C,Detail!$A562,'Leave Management'!$B:$B,Detail!H$1)</f>
        <v>0</v>
      </c>
      <c r="I562" s="7">
        <f>SUMIFS('Leave Management'!$L:$L,'Leave Management'!$C:$C,Detail!$A562,'Leave Management'!$B:$B,Detail!I$1)</f>
        <v>0</v>
      </c>
      <c r="J562" s="7">
        <f>SUMIFS('Leave Management'!$L:$L,'Leave Management'!$C:$C,Detail!$A562,'Leave Management'!$B:$B,Detail!J$1)</f>
        <v>0</v>
      </c>
      <c r="K562" s="7">
        <f>SUMIFS('Leave Management'!$L:$L,'Leave Management'!$C:$C,Detail!$A562,'Leave Management'!$B:$B,Detail!K$1)</f>
        <v>0</v>
      </c>
      <c r="L562" s="7">
        <f>SUMIFS('Leave Management'!$L:$L,'Leave Management'!$C:$C,Detail!$A562,'Leave Management'!$B:$B,Detail!L$1)</f>
        <v>0</v>
      </c>
      <c r="M562" s="7">
        <f>SUMIFS('Leave Management'!$L:$L,'Leave Management'!$C:$C,Detail!$A562,'Leave Management'!$B:$B,Detail!M$1)</f>
        <v>0</v>
      </c>
      <c r="N562" s="7">
        <f>SUMIFS('Leave Management'!$L:$L,'Leave Management'!$C:$C,Detail!$A562,'Leave Management'!$B:$B,Detail!N$1)</f>
        <v>0</v>
      </c>
      <c r="O562" s="7">
        <f t="shared" si="20"/>
        <v>11</v>
      </c>
    </row>
    <row r="563" spans="1:15" x14ac:dyDescent="0.25">
      <c r="A563" s="24">
        <v>43661</v>
      </c>
      <c r="B563" s="2" t="str">
        <f t="shared" si="21"/>
        <v>Mon</v>
      </c>
      <c r="C563" s="7">
        <f>SUMIFS('Leave Management'!$L:$L,'Leave Management'!$C:$C,Detail!$A563,'Leave Management'!$B:$B,Detail!C$1)</f>
        <v>0</v>
      </c>
      <c r="D563" s="7">
        <f>SUMIFS('Leave Management'!$L:$L,'Leave Management'!$C:$C,Detail!$A563,'Leave Management'!$B:$B,Detail!D$1)</f>
        <v>0</v>
      </c>
      <c r="E563" s="7">
        <f>SUMIFS('Leave Management'!$L:$L,'Leave Management'!$C:$C,Detail!$A563,'Leave Management'!$B:$B,Detail!E$1)</f>
        <v>1</v>
      </c>
      <c r="F563" s="7">
        <f>SUMIFS('Leave Management'!$L:$L,'Leave Management'!$C:$C,Detail!$A563,'Leave Management'!$B:$B,Detail!F$1)</f>
        <v>1</v>
      </c>
      <c r="G563" s="7">
        <f>SUMIFS('Leave Management'!$L:$L,'Leave Management'!$C:$C,Detail!$A563,'Leave Management'!$B:$B,Detail!G$1)</f>
        <v>0</v>
      </c>
      <c r="H563" s="7">
        <f>SUMIFS('Leave Management'!$L:$L,'Leave Management'!$C:$C,Detail!$A563,'Leave Management'!$B:$B,Detail!H$1)</f>
        <v>0</v>
      </c>
      <c r="I563" s="7">
        <f>SUMIFS('Leave Management'!$L:$L,'Leave Management'!$C:$C,Detail!$A563,'Leave Management'!$B:$B,Detail!I$1)</f>
        <v>0</v>
      </c>
      <c r="J563" s="7">
        <f>SUMIFS('Leave Management'!$L:$L,'Leave Management'!$C:$C,Detail!$A563,'Leave Management'!$B:$B,Detail!J$1)</f>
        <v>0</v>
      </c>
      <c r="K563" s="7">
        <f>SUMIFS('Leave Management'!$L:$L,'Leave Management'!$C:$C,Detail!$A563,'Leave Management'!$B:$B,Detail!K$1)</f>
        <v>0</v>
      </c>
      <c r="L563" s="7">
        <f>SUMIFS('Leave Management'!$L:$L,'Leave Management'!$C:$C,Detail!$A563,'Leave Management'!$B:$B,Detail!L$1)</f>
        <v>0</v>
      </c>
      <c r="M563" s="7">
        <f>SUMIFS('Leave Management'!$L:$L,'Leave Management'!$C:$C,Detail!$A563,'Leave Management'!$B:$B,Detail!M$1)</f>
        <v>0</v>
      </c>
      <c r="N563" s="7">
        <f>SUMIFS('Leave Management'!$L:$L,'Leave Management'!$C:$C,Detail!$A563,'Leave Management'!$B:$B,Detail!N$1)</f>
        <v>0</v>
      </c>
      <c r="O563" s="7">
        <f t="shared" si="20"/>
        <v>9</v>
      </c>
    </row>
    <row r="564" spans="1:15" x14ac:dyDescent="0.25">
      <c r="A564" s="24">
        <v>43662</v>
      </c>
      <c r="B564" s="2" t="str">
        <f t="shared" si="21"/>
        <v>Tue</v>
      </c>
      <c r="C564" s="7">
        <f>SUMIFS('Leave Management'!$L:$L,'Leave Management'!$C:$C,Detail!$A564,'Leave Management'!$B:$B,Detail!C$1)</f>
        <v>0</v>
      </c>
      <c r="D564" s="7">
        <f>SUMIFS('Leave Management'!$L:$L,'Leave Management'!$C:$C,Detail!$A564,'Leave Management'!$B:$B,Detail!D$1)</f>
        <v>0</v>
      </c>
      <c r="E564" s="7">
        <f>SUMIFS('Leave Management'!$L:$L,'Leave Management'!$C:$C,Detail!$A564,'Leave Management'!$B:$B,Detail!E$1)</f>
        <v>1</v>
      </c>
      <c r="F564" s="7">
        <f>SUMIFS('Leave Management'!$L:$L,'Leave Management'!$C:$C,Detail!$A564,'Leave Management'!$B:$B,Detail!F$1)</f>
        <v>1</v>
      </c>
      <c r="G564" s="7">
        <f>SUMIFS('Leave Management'!$L:$L,'Leave Management'!$C:$C,Detail!$A564,'Leave Management'!$B:$B,Detail!G$1)</f>
        <v>0</v>
      </c>
      <c r="H564" s="7">
        <f>SUMIFS('Leave Management'!$L:$L,'Leave Management'!$C:$C,Detail!$A564,'Leave Management'!$B:$B,Detail!H$1)</f>
        <v>0</v>
      </c>
      <c r="I564" s="7">
        <f>SUMIFS('Leave Management'!$L:$L,'Leave Management'!$C:$C,Detail!$A564,'Leave Management'!$B:$B,Detail!I$1)</f>
        <v>0</v>
      </c>
      <c r="J564" s="7">
        <f>SUMIFS('Leave Management'!$L:$L,'Leave Management'!$C:$C,Detail!$A564,'Leave Management'!$B:$B,Detail!J$1)</f>
        <v>0</v>
      </c>
      <c r="K564" s="7">
        <f>SUMIFS('Leave Management'!$L:$L,'Leave Management'!$C:$C,Detail!$A564,'Leave Management'!$B:$B,Detail!K$1)</f>
        <v>0</v>
      </c>
      <c r="L564" s="7">
        <f>SUMIFS('Leave Management'!$L:$L,'Leave Management'!$C:$C,Detail!$A564,'Leave Management'!$B:$B,Detail!L$1)</f>
        <v>0</v>
      </c>
      <c r="M564" s="7">
        <f>SUMIFS('Leave Management'!$L:$L,'Leave Management'!$C:$C,Detail!$A564,'Leave Management'!$B:$B,Detail!M$1)</f>
        <v>0</v>
      </c>
      <c r="N564" s="7">
        <f>SUMIFS('Leave Management'!$L:$L,'Leave Management'!$C:$C,Detail!$A564,'Leave Management'!$B:$B,Detail!N$1)</f>
        <v>0</v>
      </c>
      <c r="O564" s="7">
        <f t="shared" si="20"/>
        <v>9</v>
      </c>
    </row>
    <row r="565" spans="1:15" x14ac:dyDescent="0.25">
      <c r="A565" s="24">
        <v>43663</v>
      </c>
      <c r="B565" s="2" t="str">
        <f t="shared" si="21"/>
        <v>Wed</v>
      </c>
      <c r="C565" s="7">
        <f>SUMIFS('Leave Management'!$L:$L,'Leave Management'!$C:$C,Detail!$A565,'Leave Management'!$B:$B,Detail!C$1)</f>
        <v>0</v>
      </c>
      <c r="D565" s="7">
        <f>SUMIFS('Leave Management'!$L:$L,'Leave Management'!$C:$C,Detail!$A565,'Leave Management'!$B:$B,Detail!D$1)</f>
        <v>0</v>
      </c>
      <c r="E565" s="7">
        <f>SUMIFS('Leave Management'!$L:$L,'Leave Management'!$C:$C,Detail!$A565,'Leave Management'!$B:$B,Detail!E$1)</f>
        <v>0</v>
      </c>
      <c r="F565" s="7">
        <f>SUMIFS('Leave Management'!$L:$L,'Leave Management'!$C:$C,Detail!$A565,'Leave Management'!$B:$B,Detail!F$1)</f>
        <v>0</v>
      </c>
      <c r="G565" s="7">
        <f>SUMIFS('Leave Management'!$L:$L,'Leave Management'!$C:$C,Detail!$A565,'Leave Management'!$B:$B,Detail!G$1)</f>
        <v>0</v>
      </c>
      <c r="H565" s="7">
        <f>SUMIFS('Leave Management'!$L:$L,'Leave Management'!$C:$C,Detail!$A565,'Leave Management'!$B:$B,Detail!H$1)</f>
        <v>0</v>
      </c>
      <c r="I565" s="7">
        <f>SUMIFS('Leave Management'!$L:$L,'Leave Management'!$C:$C,Detail!$A565,'Leave Management'!$B:$B,Detail!I$1)</f>
        <v>0</v>
      </c>
      <c r="J565" s="7">
        <f>SUMIFS('Leave Management'!$L:$L,'Leave Management'!$C:$C,Detail!$A565,'Leave Management'!$B:$B,Detail!J$1)</f>
        <v>0</v>
      </c>
      <c r="K565" s="7">
        <f>SUMIFS('Leave Management'!$L:$L,'Leave Management'!$C:$C,Detail!$A565,'Leave Management'!$B:$B,Detail!K$1)</f>
        <v>0</v>
      </c>
      <c r="L565" s="7">
        <f>SUMIFS('Leave Management'!$L:$L,'Leave Management'!$C:$C,Detail!$A565,'Leave Management'!$B:$B,Detail!L$1)</f>
        <v>0</v>
      </c>
      <c r="M565" s="7">
        <f>SUMIFS('Leave Management'!$L:$L,'Leave Management'!$C:$C,Detail!$A565,'Leave Management'!$B:$B,Detail!M$1)</f>
        <v>0</v>
      </c>
      <c r="N565" s="7">
        <f>SUMIFS('Leave Management'!$L:$L,'Leave Management'!$C:$C,Detail!$A565,'Leave Management'!$B:$B,Detail!N$1)</f>
        <v>0</v>
      </c>
      <c r="O565" s="7">
        <f t="shared" si="20"/>
        <v>11</v>
      </c>
    </row>
    <row r="566" spans="1:15" x14ac:dyDescent="0.25">
      <c r="A566" s="24">
        <v>43664</v>
      </c>
      <c r="B566" s="2" t="str">
        <f t="shared" si="21"/>
        <v>Thu</v>
      </c>
      <c r="C566" s="7">
        <f>SUMIFS('Leave Management'!$L:$L,'Leave Management'!$C:$C,Detail!$A566,'Leave Management'!$B:$B,Detail!C$1)</f>
        <v>0</v>
      </c>
      <c r="D566" s="7">
        <f>SUMIFS('Leave Management'!$L:$L,'Leave Management'!$C:$C,Detail!$A566,'Leave Management'!$B:$B,Detail!D$1)</f>
        <v>0</v>
      </c>
      <c r="E566" s="7">
        <f>SUMIFS('Leave Management'!$L:$L,'Leave Management'!$C:$C,Detail!$A566,'Leave Management'!$B:$B,Detail!E$1)</f>
        <v>0</v>
      </c>
      <c r="F566" s="7">
        <f>SUMIFS('Leave Management'!$L:$L,'Leave Management'!$C:$C,Detail!$A566,'Leave Management'!$B:$B,Detail!F$1)</f>
        <v>0</v>
      </c>
      <c r="G566" s="7">
        <f>SUMIFS('Leave Management'!$L:$L,'Leave Management'!$C:$C,Detail!$A566,'Leave Management'!$B:$B,Detail!G$1)</f>
        <v>0</v>
      </c>
      <c r="H566" s="7">
        <f>SUMIFS('Leave Management'!$L:$L,'Leave Management'!$C:$C,Detail!$A566,'Leave Management'!$B:$B,Detail!H$1)</f>
        <v>0</v>
      </c>
      <c r="I566" s="7">
        <f>SUMIFS('Leave Management'!$L:$L,'Leave Management'!$C:$C,Detail!$A566,'Leave Management'!$B:$B,Detail!I$1)</f>
        <v>0</v>
      </c>
      <c r="J566" s="7">
        <f>SUMIFS('Leave Management'!$L:$L,'Leave Management'!$C:$C,Detail!$A566,'Leave Management'!$B:$B,Detail!J$1)</f>
        <v>0</v>
      </c>
      <c r="K566" s="7">
        <f>SUMIFS('Leave Management'!$L:$L,'Leave Management'!$C:$C,Detail!$A566,'Leave Management'!$B:$B,Detail!K$1)</f>
        <v>0</v>
      </c>
      <c r="L566" s="7">
        <f>SUMIFS('Leave Management'!$L:$L,'Leave Management'!$C:$C,Detail!$A566,'Leave Management'!$B:$B,Detail!L$1)</f>
        <v>0</v>
      </c>
      <c r="M566" s="7">
        <f>SUMIFS('Leave Management'!$L:$L,'Leave Management'!$C:$C,Detail!$A566,'Leave Management'!$B:$B,Detail!M$1)</f>
        <v>0</v>
      </c>
      <c r="N566" s="7">
        <f>SUMIFS('Leave Management'!$L:$L,'Leave Management'!$C:$C,Detail!$A566,'Leave Management'!$B:$B,Detail!N$1)</f>
        <v>0</v>
      </c>
      <c r="O566" s="7">
        <f t="shared" si="20"/>
        <v>11</v>
      </c>
    </row>
    <row r="567" spans="1:15" x14ac:dyDescent="0.25">
      <c r="A567" s="24">
        <v>43665</v>
      </c>
      <c r="B567" s="2" t="str">
        <f t="shared" si="21"/>
        <v>Fri</v>
      </c>
      <c r="C567" s="7">
        <f>SUMIFS('Leave Management'!$L:$L,'Leave Management'!$C:$C,Detail!$A567,'Leave Management'!$B:$B,Detail!C$1)</f>
        <v>0</v>
      </c>
      <c r="D567" s="7">
        <f>SUMIFS('Leave Management'!$L:$L,'Leave Management'!$C:$C,Detail!$A567,'Leave Management'!$B:$B,Detail!D$1)</f>
        <v>0</v>
      </c>
      <c r="E567" s="7">
        <f>SUMIFS('Leave Management'!$L:$L,'Leave Management'!$C:$C,Detail!$A567,'Leave Management'!$B:$B,Detail!E$1)</f>
        <v>0</v>
      </c>
      <c r="F567" s="7">
        <f>SUMIFS('Leave Management'!$L:$L,'Leave Management'!$C:$C,Detail!$A567,'Leave Management'!$B:$B,Detail!F$1)</f>
        <v>0</v>
      </c>
      <c r="G567" s="7">
        <f>SUMIFS('Leave Management'!$L:$L,'Leave Management'!$C:$C,Detail!$A567,'Leave Management'!$B:$B,Detail!G$1)</f>
        <v>0</v>
      </c>
      <c r="H567" s="7">
        <f>SUMIFS('Leave Management'!$L:$L,'Leave Management'!$C:$C,Detail!$A567,'Leave Management'!$B:$B,Detail!H$1)</f>
        <v>0</v>
      </c>
      <c r="I567" s="7">
        <f>SUMIFS('Leave Management'!$L:$L,'Leave Management'!$C:$C,Detail!$A567,'Leave Management'!$B:$B,Detail!I$1)</f>
        <v>1</v>
      </c>
      <c r="J567" s="7">
        <f>SUMIFS('Leave Management'!$L:$L,'Leave Management'!$C:$C,Detail!$A567,'Leave Management'!$B:$B,Detail!J$1)</f>
        <v>0</v>
      </c>
      <c r="K567" s="7">
        <f>SUMIFS('Leave Management'!$L:$L,'Leave Management'!$C:$C,Detail!$A567,'Leave Management'!$B:$B,Detail!K$1)</f>
        <v>0</v>
      </c>
      <c r="L567" s="7">
        <f>SUMIFS('Leave Management'!$L:$L,'Leave Management'!$C:$C,Detail!$A567,'Leave Management'!$B:$B,Detail!L$1)</f>
        <v>0</v>
      </c>
      <c r="M567" s="7">
        <f>SUMIFS('Leave Management'!$L:$L,'Leave Management'!$C:$C,Detail!$A567,'Leave Management'!$B:$B,Detail!M$1)</f>
        <v>0</v>
      </c>
      <c r="N567" s="7">
        <f>SUMIFS('Leave Management'!$L:$L,'Leave Management'!$C:$C,Detail!$A567,'Leave Management'!$B:$B,Detail!N$1)</f>
        <v>0</v>
      </c>
      <c r="O567" s="7">
        <f t="shared" si="20"/>
        <v>10</v>
      </c>
    </row>
    <row r="568" spans="1:15" x14ac:dyDescent="0.25">
      <c r="A568" s="24">
        <v>43666</v>
      </c>
      <c r="B568" s="2" t="str">
        <f t="shared" si="21"/>
        <v>Sat</v>
      </c>
      <c r="C568" s="7">
        <f>SUMIFS('Leave Management'!$L:$L,'Leave Management'!$C:$C,Detail!$A568,'Leave Management'!$B:$B,Detail!C$1)</f>
        <v>0</v>
      </c>
      <c r="D568" s="7">
        <f>SUMIFS('Leave Management'!$L:$L,'Leave Management'!$C:$C,Detail!$A568,'Leave Management'!$B:$B,Detail!D$1)</f>
        <v>0</v>
      </c>
      <c r="E568" s="7">
        <f>SUMIFS('Leave Management'!$L:$L,'Leave Management'!$C:$C,Detail!$A568,'Leave Management'!$B:$B,Detail!E$1)</f>
        <v>0</v>
      </c>
      <c r="F568" s="7">
        <f>SUMIFS('Leave Management'!$L:$L,'Leave Management'!$C:$C,Detail!$A568,'Leave Management'!$B:$B,Detail!F$1)</f>
        <v>0</v>
      </c>
      <c r="G568" s="7">
        <f>SUMIFS('Leave Management'!$L:$L,'Leave Management'!$C:$C,Detail!$A568,'Leave Management'!$B:$B,Detail!G$1)</f>
        <v>0</v>
      </c>
      <c r="H568" s="7">
        <f>SUMIFS('Leave Management'!$L:$L,'Leave Management'!$C:$C,Detail!$A568,'Leave Management'!$B:$B,Detail!H$1)</f>
        <v>0</v>
      </c>
      <c r="I568" s="7">
        <f>SUMIFS('Leave Management'!$L:$L,'Leave Management'!$C:$C,Detail!$A568,'Leave Management'!$B:$B,Detail!I$1)</f>
        <v>0</v>
      </c>
      <c r="J568" s="7">
        <f>SUMIFS('Leave Management'!$L:$L,'Leave Management'!$C:$C,Detail!$A568,'Leave Management'!$B:$B,Detail!J$1)</f>
        <v>0</v>
      </c>
      <c r="K568" s="7">
        <f>SUMIFS('Leave Management'!$L:$L,'Leave Management'!$C:$C,Detail!$A568,'Leave Management'!$B:$B,Detail!K$1)</f>
        <v>0</v>
      </c>
      <c r="L568" s="7">
        <f>SUMIFS('Leave Management'!$L:$L,'Leave Management'!$C:$C,Detail!$A568,'Leave Management'!$B:$B,Detail!L$1)</f>
        <v>0</v>
      </c>
      <c r="M568" s="7">
        <f>SUMIFS('Leave Management'!$L:$L,'Leave Management'!$C:$C,Detail!$A568,'Leave Management'!$B:$B,Detail!M$1)</f>
        <v>0</v>
      </c>
      <c r="N568" s="7">
        <f>SUMIFS('Leave Management'!$L:$L,'Leave Management'!$C:$C,Detail!$A568,'Leave Management'!$B:$B,Detail!N$1)</f>
        <v>0</v>
      </c>
      <c r="O568" s="7">
        <f t="shared" si="20"/>
        <v>11</v>
      </c>
    </row>
    <row r="569" spans="1:15" x14ac:dyDescent="0.25">
      <c r="A569" s="24">
        <v>43667</v>
      </c>
      <c r="B569" s="2" t="str">
        <f t="shared" si="21"/>
        <v>Sun</v>
      </c>
      <c r="C569" s="7">
        <f>SUMIFS('Leave Management'!$L:$L,'Leave Management'!$C:$C,Detail!$A569,'Leave Management'!$B:$B,Detail!C$1)</f>
        <v>0</v>
      </c>
      <c r="D569" s="7">
        <f>SUMIFS('Leave Management'!$L:$L,'Leave Management'!$C:$C,Detail!$A569,'Leave Management'!$B:$B,Detail!D$1)</f>
        <v>0</v>
      </c>
      <c r="E569" s="7">
        <f>SUMIFS('Leave Management'!$L:$L,'Leave Management'!$C:$C,Detail!$A569,'Leave Management'!$B:$B,Detail!E$1)</f>
        <v>0</v>
      </c>
      <c r="F569" s="7">
        <f>SUMIFS('Leave Management'!$L:$L,'Leave Management'!$C:$C,Detail!$A569,'Leave Management'!$B:$B,Detail!F$1)</f>
        <v>0</v>
      </c>
      <c r="G569" s="7">
        <f>SUMIFS('Leave Management'!$L:$L,'Leave Management'!$C:$C,Detail!$A569,'Leave Management'!$B:$B,Detail!G$1)</f>
        <v>0</v>
      </c>
      <c r="H569" s="7">
        <f>SUMIFS('Leave Management'!$L:$L,'Leave Management'!$C:$C,Detail!$A569,'Leave Management'!$B:$B,Detail!H$1)</f>
        <v>0</v>
      </c>
      <c r="I569" s="7">
        <f>SUMIFS('Leave Management'!$L:$L,'Leave Management'!$C:$C,Detail!$A569,'Leave Management'!$B:$B,Detail!I$1)</f>
        <v>0</v>
      </c>
      <c r="J569" s="7">
        <f>SUMIFS('Leave Management'!$L:$L,'Leave Management'!$C:$C,Detail!$A569,'Leave Management'!$B:$B,Detail!J$1)</f>
        <v>0</v>
      </c>
      <c r="K569" s="7">
        <f>SUMIFS('Leave Management'!$L:$L,'Leave Management'!$C:$C,Detail!$A569,'Leave Management'!$B:$B,Detail!K$1)</f>
        <v>0</v>
      </c>
      <c r="L569" s="7">
        <f>SUMIFS('Leave Management'!$L:$L,'Leave Management'!$C:$C,Detail!$A569,'Leave Management'!$B:$B,Detail!L$1)</f>
        <v>0</v>
      </c>
      <c r="M569" s="7">
        <f>SUMIFS('Leave Management'!$L:$L,'Leave Management'!$C:$C,Detail!$A569,'Leave Management'!$B:$B,Detail!M$1)</f>
        <v>0</v>
      </c>
      <c r="N569" s="7">
        <f>SUMIFS('Leave Management'!$L:$L,'Leave Management'!$C:$C,Detail!$A569,'Leave Management'!$B:$B,Detail!N$1)</f>
        <v>0</v>
      </c>
      <c r="O569" s="7">
        <f t="shared" si="20"/>
        <v>11</v>
      </c>
    </row>
    <row r="570" spans="1:15" x14ac:dyDescent="0.25">
      <c r="A570" s="24">
        <v>43668</v>
      </c>
      <c r="B570" s="2" t="str">
        <f t="shared" si="21"/>
        <v>Mon</v>
      </c>
      <c r="C570" s="7">
        <f>SUMIFS('Leave Management'!$L:$L,'Leave Management'!$C:$C,Detail!$A570,'Leave Management'!$B:$B,Detail!C$1)</f>
        <v>0</v>
      </c>
      <c r="D570" s="7">
        <f>SUMIFS('Leave Management'!$L:$L,'Leave Management'!$C:$C,Detail!$A570,'Leave Management'!$B:$B,Detail!D$1)</f>
        <v>0</v>
      </c>
      <c r="E570" s="7">
        <f>SUMIFS('Leave Management'!$L:$L,'Leave Management'!$C:$C,Detail!$A570,'Leave Management'!$B:$B,Detail!E$1)</f>
        <v>1</v>
      </c>
      <c r="F570" s="7">
        <f>SUMIFS('Leave Management'!$L:$L,'Leave Management'!$C:$C,Detail!$A570,'Leave Management'!$B:$B,Detail!F$1)</f>
        <v>0</v>
      </c>
      <c r="G570" s="7">
        <f>SUMIFS('Leave Management'!$L:$L,'Leave Management'!$C:$C,Detail!$A570,'Leave Management'!$B:$B,Detail!G$1)</f>
        <v>0</v>
      </c>
      <c r="H570" s="7">
        <f>SUMIFS('Leave Management'!$L:$L,'Leave Management'!$C:$C,Detail!$A570,'Leave Management'!$B:$B,Detail!H$1)</f>
        <v>0</v>
      </c>
      <c r="I570" s="7">
        <f>SUMIFS('Leave Management'!$L:$L,'Leave Management'!$C:$C,Detail!$A570,'Leave Management'!$B:$B,Detail!I$1)</f>
        <v>0</v>
      </c>
      <c r="J570" s="7">
        <f>SUMIFS('Leave Management'!$L:$L,'Leave Management'!$C:$C,Detail!$A570,'Leave Management'!$B:$B,Detail!J$1)</f>
        <v>0</v>
      </c>
      <c r="K570" s="7">
        <f>SUMIFS('Leave Management'!$L:$L,'Leave Management'!$C:$C,Detail!$A570,'Leave Management'!$B:$B,Detail!K$1)</f>
        <v>0</v>
      </c>
      <c r="L570" s="7">
        <f>SUMIFS('Leave Management'!$L:$L,'Leave Management'!$C:$C,Detail!$A570,'Leave Management'!$B:$B,Detail!L$1)</f>
        <v>0</v>
      </c>
      <c r="M570" s="7">
        <f>SUMIFS('Leave Management'!$L:$L,'Leave Management'!$C:$C,Detail!$A570,'Leave Management'!$B:$B,Detail!M$1)</f>
        <v>0</v>
      </c>
      <c r="N570" s="7">
        <f>SUMIFS('Leave Management'!$L:$L,'Leave Management'!$C:$C,Detail!$A570,'Leave Management'!$B:$B,Detail!N$1)</f>
        <v>0</v>
      </c>
      <c r="O570" s="7">
        <f t="shared" si="20"/>
        <v>10</v>
      </c>
    </row>
    <row r="571" spans="1:15" x14ac:dyDescent="0.25">
      <c r="A571" s="24">
        <v>43669</v>
      </c>
      <c r="B571" s="2" t="str">
        <f t="shared" si="21"/>
        <v>Tue</v>
      </c>
      <c r="C571" s="7">
        <f>SUMIFS('Leave Management'!$L:$L,'Leave Management'!$C:$C,Detail!$A571,'Leave Management'!$B:$B,Detail!C$1)</f>
        <v>0</v>
      </c>
      <c r="D571" s="7">
        <f>SUMIFS('Leave Management'!$L:$L,'Leave Management'!$C:$C,Detail!$A571,'Leave Management'!$B:$B,Detail!D$1)</f>
        <v>0</v>
      </c>
      <c r="E571" s="7">
        <f>SUMIFS('Leave Management'!$L:$L,'Leave Management'!$C:$C,Detail!$A571,'Leave Management'!$B:$B,Detail!E$1)</f>
        <v>0</v>
      </c>
      <c r="F571" s="7">
        <f>SUMIFS('Leave Management'!$L:$L,'Leave Management'!$C:$C,Detail!$A571,'Leave Management'!$B:$B,Detail!F$1)</f>
        <v>0</v>
      </c>
      <c r="G571" s="7">
        <f>SUMIFS('Leave Management'!$L:$L,'Leave Management'!$C:$C,Detail!$A571,'Leave Management'!$B:$B,Detail!G$1)</f>
        <v>0</v>
      </c>
      <c r="H571" s="7">
        <f>SUMIFS('Leave Management'!$L:$L,'Leave Management'!$C:$C,Detail!$A571,'Leave Management'!$B:$B,Detail!H$1)</f>
        <v>0</v>
      </c>
      <c r="I571" s="7">
        <f>SUMIFS('Leave Management'!$L:$L,'Leave Management'!$C:$C,Detail!$A571,'Leave Management'!$B:$B,Detail!I$1)</f>
        <v>0</v>
      </c>
      <c r="J571" s="7">
        <f>SUMIFS('Leave Management'!$L:$L,'Leave Management'!$C:$C,Detail!$A571,'Leave Management'!$B:$B,Detail!J$1)</f>
        <v>0</v>
      </c>
      <c r="K571" s="7">
        <f>SUMIFS('Leave Management'!$L:$L,'Leave Management'!$C:$C,Detail!$A571,'Leave Management'!$B:$B,Detail!K$1)</f>
        <v>0</v>
      </c>
      <c r="L571" s="7">
        <f>SUMIFS('Leave Management'!$L:$L,'Leave Management'!$C:$C,Detail!$A571,'Leave Management'!$B:$B,Detail!L$1)</f>
        <v>0</v>
      </c>
      <c r="M571" s="7">
        <f>SUMIFS('Leave Management'!$L:$L,'Leave Management'!$C:$C,Detail!$A571,'Leave Management'!$B:$B,Detail!M$1)</f>
        <v>0</v>
      </c>
      <c r="N571" s="7">
        <f>SUMIFS('Leave Management'!$L:$L,'Leave Management'!$C:$C,Detail!$A571,'Leave Management'!$B:$B,Detail!N$1)</f>
        <v>0</v>
      </c>
      <c r="O571" s="7">
        <f t="shared" si="20"/>
        <v>11</v>
      </c>
    </row>
    <row r="572" spans="1:15" x14ac:dyDescent="0.25">
      <c r="A572" s="24">
        <v>43670</v>
      </c>
      <c r="B572" s="2" t="str">
        <f t="shared" si="21"/>
        <v>Wed</v>
      </c>
      <c r="C572" s="7">
        <f>SUMIFS('Leave Management'!$L:$L,'Leave Management'!$C:$C,Detail!$A572,'Leave Management'!$B:$B,Detail!C$1)</f>
        <v>0</v>
      </c>
      <c r="D572" s="7">
        <f>SUMIFS('Leave Management'!$L:$L,'Leave Management'!$C:$C,Detail!$A572,'Leave Management'!$B:$B,Detail!D$1)</f>
        <v>0</v>
      </c>
      <c r="E572" s="7">
        <f>SUMIFS('Leave Management'!$L:$L,'Leave Management'!$C:$C,Detail!$A572,'Leave Management'!$B:$B,Detail!E$1)</f>
        <v>0</v>
      </c>
      <c r="F572" s="7">
        <f>SUMIFS('Leave Management'!$L:$L,'Leave Management'!$C:$C,Detail!$A572,'Leave Management'!$B:$B,Detail!F$1)</f>
        <v>0</v>
      </c>
      <c r="G572" s="7">
        <f>SUMIFS('Leave Management'!$L:$L,'Leave Management'!$C:$C,Detail!$A572,'Leave Management'!$B:$B,Detail!G$1)</f>
        <v>0</v>
      </c>
      <c r="H572" s="7">
        <f>SUMIFS('Leave Management'!$L:$L,'Leave Management'!$C:$C,Detail!$A572,'Leave Management'!$B:$B,Detail!H$1)</f>
        <v>0</v>
      </c>
      <c r="I572" s="7">
        <f>SUMIFS('Leave Management'!$L:$L,'Leave Management'!$C:$C,Detail!$A572,'Leave Management'!$B:$B,Detail!I$1)</f>
        <v>0</v>
      </c>
      <c r="J572" s="7">
        <f>SUMIFS('Leave Management'!$L:$L,'Leave Management'!$C:$C,Detail!$A572,'Leave Management'!$B:$B,Detail!J$1)</f>
        <v>0</v>
      </c>
      <c r="K572" s="7">
        <f>SUMIFS('Leave Management'!$L:$L,'Leave Management'!$C:$C,Detail!$A572,'Leave Management'!$B:$B,Detail!K$1)</f>
        <v>0</v>
      </c>
      <c r="L572" s="7">
        <f>SUMIFS('Leave Management'!$L:$L,'Leave Management'!$C:$C,Detail!$A572,'Leave Management'!$B:$B,Detail!L$1)</f>
        <v>0</v>
      </c>
      <c r="M572" s="7">
        <f>SUMIFS('Leave Management'!$L:$L,'Leave Management'!$C:$C,Detail!$A572,'Leave Management'!$B:$B,Detail!M$1)</f>
        <v>0</v>
      </c>
      <c r="N572" s="7">
        <f>SUMIFS('Leave Management'!$L:$L,'Leave Management'!$C:$C,Detail!$A572,'Leave Management'!$B:$B,Detail!N$1)</f>
        <v>0</v>
      </c>
      <c r="O572" s="7">
        <f t="shared" si="20"/>
        <v>11</v>
      </c>
    </row>
    <row r="573" spans="1:15" x14ac:dyDescent="0.25">
      <c r="A573" s="24">
        <v>43671</v>
      </c>
      <c r="B573" s="2" t="str">
        <f t="shared" si="21"/>
        <v>Thu</v>
      </c>
      <c r="C573" s="7">
        <f>SUMIFS('Leave Management'!$L:$L,'Leave Management'!$C:$C,Detail!$A573,'Leave Management'!$B:$B,Detail!C$1)</f>
        <v>0</v>
      </c>
      <c r="D573" s="7">
        <f>SUMIFS('Leave Management'!$L:$L,'Leave Management'!$C:$C,Detail!$A573,'Leave Management'!$B:$B,Detail!D$1)</f>
        <v>0</v>
      </c>
      <c r="E573" s="7">
        <f>SUMIFS('Leave Management'!$L:$L,'Leave Management'!$C:$C,Detail!$A573,'Leave Management'!$B:$B,Detail!E$1)</f>
        <v>0</v>
      </c>
      <c r="F573" s="7">
        <f>SUMIFS('Leave Management'!$L:$L,'Leave Management'!$C:$C,Detail!$A573,'Leave Management'!$B:$B,Detail!F$1)</f>
        <v>0</v>
      </c>
      <c r="G573" s="7">
        <f>SUMIFS('Leave Management'!$L:$L,'Leave Management'!$C:$C,Detail!$A573,'Leave Management'!$B:$B,Detail!G$1)</f>
        <v>0</v>
      </c>
      <c r="H573" s="7">
        <f>SUMIFS('Leave Management'!$L:$L,'Leave Management'!$C:$C,Detail!$A573,'Leave Management'!$B:$B,Detail!H$1)</f>
        <v>0</v>
      </c>
      <c r="I573" s="7">
        <f>SUMIFS('Leave Management'!$L:$L,'Leave Management'!$C:$C,Detail!$A573,'Leave Management'!$B:$B,Detail!I$1)</f>
        <v>0</v>
      </c>
      <c r="J573" s="7">
        <f>SUMIFS('Leave Management'!$L:$L,'Leave Management'!$C:$C,Detail!$A573,'Leave Management'!$B:$B,Detail!J$1)</f>
        <v>0</v>
      </c>
      <c r="K573" s="7">
        <f>SUMIFS('Leave Management'!$L:$L,'Leave Management'!$C:$C,Detail!$A573,'Leave Management'!$B:$B,Detail!K$1)</f>
        <v>0</v>
      </c>
      <c r="L573" s="7">
        <f>SUMIFS('Leave Management'!$L:$L,'Leave Management'!$C:$C,Detail!$A573,'Leave Management'!$B:$B,Detail!L$1)</f>
        <v>0</v>
      </c>
      <c r="M573" s="7">
        <f>SUMIFS('Leave Management'!$L:$L,'Leave Management'!$C:$C,Detail!$A573,'Leave Management'!$B:$B,Detail!M$1)</f>
        <v>0</v>
      </c>
      <c r="N573" s="7">
        <f>SUMIFS('Leave Management'!$L:$L,'Leave Management'!$C:$C,Detail!$A573,'Leave Management'!$B:$B,Detail!N$1)</f>
        <v>0</v>
      </c>
      <c r="O573" s="7">
        <f t="shared" si="20"/>
        <v>11</v>
      </c>
    </row>
    <row r="574" spans="1:15" x14ac:dyDescent="0.25">
      <c r="A574" s="24">
        <v>43672</v>
      </c>
      <c r="B574" s="2" t="str">
        <f t="shared" si="21"/>
        <v>Fri</v>
      </c>
      <c r="C574" s="7">
        <f>SUMIFS('Leave Management'!$L:$L,'Leave Management'!$C:$C,Detail!$A574,'Leave Management'!$B:$B,Detail!C$1)</f>
        <v>0</v>
      </c>
      <c r="D574" s="7">
        <f>SUMIFS('Leave Management'!$L:$L,'Leave Management'!$C:$C,Detail!$A574,'Leave Management'!$B:$B,Detail!D$1)</f>
        <v>0</v>
      </c>
      <c r="E574" s="7">
        <f>SUMIFS('Leave Management'!$L:$L,'Leave Management'!$C:$C,Detail!$A574,'Leave Management'!$B:$B,Detail!E$1)</f>
        <v>0</v>
      </c>
      <c r="F574" s="7">
        <f>SUMIFS('Leave Management'!$L:$L,'Leave Management'!$C:$C,Detail!$A574,'Leave Management'!$B:$B,Detail!F$1)</f>
        <v>0</v>
      </c>
      <c r="G574" s="7">
        <f>SUMIFS('Leave Management'!$L:$L,'Leave Management'!$C:$C,Detail!$A574,'Leave Management'!$B:$B,Detail!G$1)</f>
        <v>0</v>
      </c>
      <c r="H574" s="7">
        <f>SUMIFS('Leave Management'!$L:$L,'Leave Management'!$C:$C,Detail!$A574,'Leave Management'!$B:$B,Detail!H$1)</f>
        <v>0</v>
      </c>
      <c r="I574" s="7">
        <f>SUMIFS('Leave Management'!$L:$L,'Leave Management'!$C:$C,Detail!$A574,'Leave Management'!$B:$B,Detail!I$1)</f>
        <v>0</v>
      </c>
      <c r="J574" s="7">
        <f>SUMIFS('Leave Management'!$L:$L,'Leave Management'!$C:$C,Detail!$A574,'Leave Management'!$B:$B,Detail!J$1)</f>
        <v>0</v>
      </c>
      <c r="K574" s="7">
        <f>SUMIFS('Leave Management'!$L:$L,'Leave Management'!$C:$C,Detail!$A574,'Leave Management'!$B:$B,Detail!K$1)</f>
        <v>0</v>
      </c>
      <c r="L574" s="7">
        <f>SUMIFS('Leave Management'!$L:$L,'Leave Management'!$C:$C,Detail!$A574,'Leave Management'!$B:$B,Detail!L$1)</f>
        <v>0</v>
      </c>
      <c r="M574" s="7">
        <f>SUMIFS('Leave Management'!$L:$L,'Leave Management'!$C:$C,Detail!$A574,'Leave Management'!$B:$B,Detail!M$1)</f>
        <v>0</v>
      </c>
      <c r="N574" s="7">
        <f>SUMIFS('Leave Management'!$L:$L,'Leave Management'!$C:$C,Detail!$A574,'Leave Management'!$B:$B,Detail!N$1)</f>
        <v>0</v>
      </c>
      <c r="O574" s="7">
        <f t="shared" si="20"/>
        <v>11</v>
      </c>
    </row>
    <row r="575" spans="1:15" x14ac:dyDescent="0.25">
      <c r="A575" s="24">
        <v>43673</v>
      </c>
      <c r="B575" s="2" t="str">
        <f t="shared" si="21"/>
        <v>Sat</v>
      </c>
      <c r="C575" s="7">
        <f>SUMIFS('Leave Management'!$L:$L,'Leave Management'!$C:$C,Detail!$A575,'Leave Management'!$B:$B,Detail!C$1)</f>
        <v>0</v>
      </c>
      <c r="D575" s="7">
        <f>SUMIFS('Leave Management'!$L:$L,'Leave Management'!$C:$C,Detail!$A575,'Leave Management'!$B:$B,Detail!D$1)</f>
        <v>0</v>
      </c>
      <c r="E575" s="7">
        <f>SUMIFS('Leave Management'!$L:$L,'Leave Management'!$C:$C,Detail!$A575,'Leave Management'!$B:$B,Detail!E$1)</f>
        <v>0</v>
      </c>
      <c r="F575" s="7">
        <f>SUMIFS('Leave Management'!$L:$L,'Leave Management'!$C:$C,Detail!$A575,'Leave Management'!$B:$B,Detail!F$1)</f>
        <v>0</v>
      </c>
      <c r="G575" s="7">
        <f>SUMIFS('Leave Management'!$L:$L,'Leave Management'!$C:$C,Detail!$A575,'Leave Management'!$B:$B,Detail!G$1)</f>
        <v>0</v>
      </c>
      <c r="H575" s="7">
        <f>SUMIFS('Leave Management'!$L:$L,'Leave Management'!$C:$C,Detail!$A575,'Leave Management'!$B:$B,Detail!H$1)</f>
        <v>0</v>
      </c>
      <c r="I575" s="7">
        <f>SUMIFS('Leave Management'!$L:$L,'Leave Management'!$C:$C,Detail!$A575,'Leave Management'!$B:$B,Detail!I$1)</f>
        <v>0</v>
      </c>
      <c r="J575" s="7">
        <f>SUMIFS('Leave Management'!$L:$L,'Leave Management'!$C:$C,Detail!$A575,'Leave Management'!$B:$B,Detail!J$1)</f>
        <v>0</v>
      </c>
      <c r="K575" s="7">
        <f>SUMIFS('Leave Management'!$L:$L,'Leave Management'!$C:$C,Detail!$A575,'Leave Management'!$B:$B,Detail!K$1)</f>
        <v>0</v>
      </c>
      <c r="L575" s="7">
        <f>SUMIFS('Leave Management'!$L:$L,'Leave Management'!$C:$C,Detail!$A575,'Leave Management'!$B:$B,Detail!L$1)</f>
        <v>0</v>
      </c>
      <c r="M575" s="7">
        <f>SUMIFS('Leave Management'!$L:$L,'Leave Management'!$C:$C,Detail!$A575,'Leave Management'!$B:$B,Detail!M$1)</f>
        <v>0</v>
      </c>
      <c r="N575" s="7">
        <f>SUMIFS('Leave Management'!$L:$L,'Leave Management'!$C:$C,Detail!$A575,'Leave Management'!$B:$B,Detail!N$1)</f>
        <v>0</v>
      </c>
      <c r="O575" s="7">
        <f t="shared" si="20"/>
        <v>11</v>
      </c>
    </row>
    <row r="576" spans="1:15" x14ac:dyDescent="0.25">
      <c r="A576" s="24">
        <v>43674</v>
      </c>
      <c r="B576" s="2" t="str">
        <f t="shared" si="21"/>
        <v>Sun</v>
      </c>
      <c r="C576" s="7">
        <f>SUMIFS('Leave Management'!$L:$L,'Leave Management'!$C:$C,Detail!$A576,'Leave Management'!$B:$B,Detail!C$1)</f>
        <v>0</v>
      </c>
      <c r="D576" s="7">
        <f>SUMIFS('Leave Management'!$L:$L,'Leave Management'!$C:$C,Detail!$A576,'Leave Management'!$B:$B,Detail!D$1)</f>
        <v>0</v>
      </c>
      <c r="E576" s="7">
        <f>SUMIFS('Leave Management'!$L:$L,'Leave Management'!$C:$C,Detail!$A576,'Leave Management'!$B:$B,Detail!E$1)</f>
        <v>0</v>
      </c>
      <c r="F576" s="7">
        <f>SUMIFS('Leave Management'!$L:$L,'Leave Management'!$C:$C,Detail!$A576,'Leave Management'!$B:$B,Detail!F$1)</f>
        <v>0</v>
      </c>
      <c r="G576" s="7">
        <f>SUMIFS('Leave Management'!$L:$L,'Leave Management'!$C:$C,Detail!$A576,'Leave Management'!$B:$B,Detail!G$1)</f>
        <v>0</v>
      </c>
      <c r="H576" s="7">
        <f>SUMIFS('Leave Management'!$L:$L,'Leave Management'!$C:$C,Detail!$A576,'Leave Management'!$B:$B,Detail!H$1)</f>
        <v>0</v>
      </c>
      <c r="I576" s="7">
        <f>SUMIFS('Leave Management'!$L:$L,'Leave Management'!$C:$C,Detail!$A576,'Leave Management'!$B:$B,Detail!I$1)</f>
        <v>0</v>
      </c>
      <c r="J576" s="7">
        <f>SUMIFS('Leave Management'!$L:$L,'Leave Management'!$C:$C,Detail!$A576,'Leave Management'!$B:$B,Detail!J$1)</f>
        <v>0</v>
      </c>
      <c r="K576" s="7">
        <f>SUMIFS('Leave Management'!$L:$L,'Leave Management'!$C:$C,Detail!$A576,'Leave Management'!$B:$B,Detail!K$1)</f>
        <v>0</v>
      </c>
      <c r="L576" s="7">
        <f>SUMIFS('Leave Management'!$L:$L,'Leave Management'!$C:$C,Detail!$A576,'Leave Management'!$B:$B,Detail!L$1)</f>
        <v>0</v>
      </c>
      <c r="M576" s="7">
        <f>SUMIFS('Leave Management'!$L:$L,'Leave Management'!$C:$C,Detail!$A576,'Leave Management'!$B:$B,Detail!M$1)</f>
        <v>0</v>
      </c>
      <c r="N576" s="7">
        <f>SUMIFS('Leave Management'!$L:$L,'Leave Management'!$C:$C,Detail!$A576,'Leave Management'!$B:$B,Detail!N$1)</f>
        <v>0</v>
      </c>
      <c r="O576" s="7">
        <f t="shared" si="20"/>
        <v>11</v>
      </c>
    </row>
    <row r="577" spans="1:15" x14ac:dyDescent="0.25">
      <c r="A577" s="24">
        <v>43675</v>
      </c>
      <c r="B577" s="2" t="str">
        <f t="shared" si="21"/>
        <v>Mon</v>
      </c>
      <c r="C577" s="7">
        <f>SUMIFS('Leave Management'!$L:$L,'Leave Management'!$C:$C,Detail!$A577,'Leave Management'!$B:$B,Detail!C$1)</f>
        <v>0</v>
      </c>
      <c r="D577" s="7">
        <f>SUMIFS('Leave Management'!$L:$L,'Leave Management'!$C:$C,Detail!$A577,'Leave Management'!$B:$B,Detail!D$1)</f>
        <v>0</v>
      </c>
      <c r="E577" s="7">
        <f>SUMIFS('Leave Management'!$L:$L,'Leave Management'!$C:$C,Detail!$A577,'Leave Management'!$B:$B,Detail!E$1)</f>
        <v>0</v>
      </c>
      <c r="F577" s="7">
        <f>SUMIFS('Leave Management'!$L:$L,'Leave Management'!$C:$C,Detail!$A577,'Leave Management'!$B:$B,Detail!F$1)</f>
        <v>0</v>
      </c>
      <c r="G577" s="7">
        <f>SUMIFS('Leave Management'!$L:$L,'Leave Management'!$C:$C,Detail!$A577,'Leave Management'!$B:$B,Detail!G$1)</f>
        <v>0</v>
      </c>
      <c r="H577" s="7">
        <f>SUMIFS('Leave Management'!$L:$L,'Leave Management'!$C:$C,Detail!$A577,'Leave Management'!$B:$B,Detail!H$1)</f>
        <v>0</v>
      </c>
      <c r="I577" s="7">
        <f>SUMIFS('Leave Management'!$L:$L,'Leave Management'!$C:$C,Detail!$A577,'Leave Management'!$B:$B,Detail!I$1)</f>
        <v>0</v>
      </c>
      <c r="J577" s="7">
        <f>SUMIFS('Leave Management'!$L:$L,'Leave Management'!$C:$C,Detail!$A577,'Leave Management'!$B:$B,Detail!J$1)</f>
        <v>0</v>
      </c>
      <c r="K577" s="7">
        <f>SUMIFS('Leave Management'!$L:$L,'Leave Management'!$C:$C,Detail!$A577,'Leave Management'!$B:$B,Detail!K$1)</f>
        <v>0</v>
      </c>
      <c r="L577" s="7">
        <f>SUMIFS('Leave Management'!$L:$L,'Leave Management'!$C:$C,Detail!$A577,'Leave Management'!$B:$B,Detail!L$1)</f>
        <v>0</v>
      </c>
      <c r="M577" s="7">
        <f>SUMIFS('Leave Management'!$L:$L,'Leave Management'!$C:$C,Detail!$A577,'Leave Management'!$B:$B,Detail!M$1)</f>
        <v>0</v>
      </c>
      <c r="N577" s="7">
        <f>SUMIFS('Leave Management'!$L:$L,'Leave Management'!$C:$C,Detail!$A577,'Leave Management'!$B:$B,Detail!N$1)</f>
        <v>0</v>
      </c>
      <c r="O577" s="7">
        <f t="shared" si="20"/>
        <v>11</v>
      </c>
    </row>
    <row r="578" spans="1:15" x14ac:dyDescent="0.25">
      <c r="A578" s="24">
        <v>43676</v>
      </c>
      <c r="B578" s="2" t="str">
        <f t="shared" si="21"/>
        <v>Tue</v>
      </c>
      <c r="C578" s="7">
        <f>SUMIFS('Leave Management'!$L:$L,'Leave Management'!$C:$C,Detail!$A578,'Leave Management'!$B:$B,Detail!C$1)</f>
        <v>0</v>
      </c>
      <c r="D578" s="7">
        <f>SUMIFS('Leave Management'!$L:$L,'Leave Management'!$C:$C,Detail!$A578,'Leave Management'!$B:$B,Detail!D$1)</f>
        <v>0</v>
      </c>
      <c r="E578" s="7">
        <f>SUMIFS('Leave Management'!$L:$L,'Leave Management'!$C:$C,Detail!$A578,'Leave Management'!$B:$B,Detail!E$1)</f>
        <v>0</v>
      </c>
      <c r="F578" s="7">
        <f>SUMIFS('Leave Management'!$L:$L,'Leave Management'!$C:$C,Detail!$A578,'Leave Management'!$B:$B,Detail!F$1)</f>
        <v>0</v>
      </c>
      <c r="G578" s="7">
        <f>SUMIFS('Leave Management'!$L:$L,'Leave Management'!$C:$C,Detail!$A578,'Leave Management'!$B:$B,Detail!G$1)</f>
        <v>0</v>
      </c>
      <c r="H578" s="7">
        <f>SUMIFS('Leave Management'!$L:$L,'Leave Management'!$C:$C,Detail!$A578,'Leave Management'!$B:$B,Detail!H$1)</f>
        <v>0</v>
      </c>
      <c r="I578" s="7">
        <f>SUMIFS('Leave Management'!$L:$L,'Leave Management'!$C:$C,Detail!$A578,'Leave Management'!$B:$B,Detail!I$1)</f>
        <v>0</v>
      </c>
      <c r="J578" s="7">
        <f>SUMIFS('Leave Management'!$L:$L,'Leave Management'!$C:$C,Detail!$A578,'Leave Management'!$B:$B,Detail!J$1)</f>
        <v>0</v>
      </c>
      <c r="K578" s="7">
        <f>SUMIFS('Leave Management'!$L:$L,'Leave Management'!$C:$C,Detail!$A578,'Leave Management'!$B:$B,Detail!K$1)</f>
        <v>0</v>
      </c>
      <c r="L578" s="7">
        <f>SUMIFS('Leave Management'!$L:$L,'Leave Management'!$C:$C,Detail!$A578,'Leave Management'!$B:$B,Detail!L$1)</f>
        <v>0</v>
      </c>
      <c r="M578" s="7">
        <f>SUMIFS('Leave Management'!$L:$L,'Leave Management'!$C:$C,Detail!$A578,'Leave Management'!$B:$B,Detail!M$1)</f>
        <v>0</v>
      </c>
      <c r="N578" s="7">
        <f>SUMIFS('Leave Management'!$L:$L,'Leave Management'!$C:$C,Detail!$A578,'Leave Management'!$B:$B,Detail!N$1)</f>
        <v>0</v>
      </c>
      <c r="O578" s="7">
        <f t="shared" si="20"/>
        <v>11</v>
      </c>
    </row>
    <row r="579" spans="1:15" x14ac:dyDescent="0.25">
      <c r="A579" s="24">
        <v>43677</v>
      </c>
      <c r="B579" s="2" t="str">
        <f t="shared" si="21"/>
        <v>Wed</v>
      </c>
      <c r="C579" s="7">
        <f>SUMIFS('Leave Management'!$L:$L,'Leave Management'!$C:$C,Detail!$A579,'Leave Management'!$B:$B,Detail!C$1)</f>
        <v>0</v>
      </c>
      <c r="D579" s="7">
        <f>SUMIFS('Leave Management'!$L:$L,'Leave Management'!$C:$C,Detail!$A579,'Leave Management'!$B:$B,Detail!D$1)</f>
        <v>0</v>
      </c>
      <c r="E579" s="7">
        <f>SUMIFS('Leave Management'!$L:$L,'Leave Management'!$C:$C,Detail!$A579,'Leave Management'!$B:$B,Detail!E$1)</f>
        <v>0</v>
      </c>
      <c r="F579" s="7">
        <f>SUMIFS('Leave Management'!$L:$L,'Leave Management'!$C:$C,Detail!$A579,'Leave Management'!$B:$B,Detail!F$1)</f>
        <v>0</v>
      </c>
      <c r="G579" s="7">
        <f>SUMIFS('Leave Management'!$L:$L,'Leave Management'!$C:$C,Detail!$A579,'Leave Management'!$B:$B,Detail!G$1)</f>
        <v>0</v>
      </c>
      <c r="H579" s="7">
        <f>SUMIFS('Leave Management'!$L:$L,'Leave Management'!$C:$C,Detail!$A579,'Leave Management'!$B:$B,Detail!H$1)</f>
        <v>0</v>
      </c>
      <c r="I579" s="7">
        <f>SUMIFS('Leave Management'!$L:$L,'Leave Management'!$C:$C,Detail!$A579,'Leave Management'!$B:$B,Detail!I$1)</f>
        <v>0</v>
      </c>
      <c r="J579" s="7">
        <f>SUMIFS('Leave Management'!$L:$L,'Leave Management'!$C:$C,Detail!$A579,'Leave Management'!$B:$B,Detail!J$1)</f>
        <v>0</v>
      </c>
      <c r="K579" s="7">
        <f>SUMIFS('Leave Management'!$L:$L,'Leave Management'!$C:$C,Detail!$A579,'Leave Management'!$B:$B,Detail!K$1)</f>
        <v>0</v>
      </c>
      <c r="L579" s="7">
        <f>SUMIFS('Leave Management'!$L:$L,'Leave Management'!$C:$C,Detail!$A579,'Leave Management'!$B:$B,Detail!L$1)</f>
        <v>0</v>
      </c>
      <c r="M579" s="7">
        <f>SUMIFS('Leave Management'!$L:$L,'Leave Management'!$C:$C,Detail!$A579,'Leave Management'!$B:$B,Detail!M$1)</f>
        <v>0</v>
      </c>
      <c r="N579" s="7">
        <f>SUMIFS('Leave Management'!$L:$L,'Leave Management'!$C:$C,Detail!$A579,'Leave Management'!$B:$B,Detail!N$1)</f>
        <v>0</v>
      </c>
      <c r="O579" s="7">
        <f t="shared" si="20"/>
        <v>11</v>
      </c>
    </row>
    <row r="580" spans="1:15" x14ac:dyDescent="0.25">
      <c r="A580" s="24">
        <v>43678</v>
      </c>
      <c r="B580" s="2" t="str">
        <f t="shared" si="21"/>
        <v>Thu</v>
      </c>
      <c r="C580" s="7">
        <f>SUMIFS('Leave Management'!$L:$L,'Leave Management'!$C:$C,Detail!$A580,'Leave Management'!$B:$B,Detail!C$1)</f>
        <v>0</v>
      </c>
      <c r="D580" s="7">
        <f>SUMIFS('Leave Management'!$L:$L,'Leave Management'!$C:$C,Detail!$A580,'Leave Management'!$B:$B,Detail!D$1)</f>
        <v>0</v>
      </c>
      <c r="E580" s="7">
        <f>SUMIFS('Leave Management'!$L:$L,'Leave Management'!$C:$C,Detail!$A580,'Leave Management'!$B:$B,Detail!E$1)</f>
        <v>0</v>
      </c>
      <c r="F580" s="7">
        <f>SUMIFS('Leave Management'!$L:$L,'Leave Management'!$C:$C,Detail!$A580,'Leave Management'!$B:$B,Detail!F$1)</f>
        <v>0</v>
      </c>
      <c r="G580" s="7">
        <f>SUMIFS('Leave Management'!$L:$L,'Leave Management'!$C:$C,Detail!$A580,'Leave Management'!$B:$B,Detail!G$1)</f>
        <v>0</v>
      </c>
      <c r="H580" s="7">
        <f>SUMIFS('Leave Management'!$L:$L,'Leave Management'!$C:$C,Detail!$A580,'Leave Management'!$B:$B,Detail!H$1)</f>
        <v>0</v>
      </c>
      <c r="I580" s="7">
        <f>SUMIFS('Leave Management'!$L:$L,'Leave Management'!$C:$C,Detail!$A580,'Leave Management'!$B:$B,Detail!I$1)</f>
        <v>0</v>
      </c>
      <c r="J580" s="7">
        <f>SUMIFS('Leave Management'!$L:$L,'Leave Management'!$C:$C,Detail!$A580,'Leave Management'!$B:$B,Detail!J$1)</f>
        <v>0</v>
      </c>
      <c r="K580" s="7">
        <f>SUMIFS('Leave Management'!$L:$L,'Leave Management'!$C:$C,Detail!$A580,'Leave Management'!$B:$B,Detail!K$1)</f>
        <v>0</v>
      </c>
      <c r="L580" s="7">
        <f>SUMIFS('Leave Management'!$L:$L,'Leave Management'!$C:$C,Detail!$A580,'Leave Management'!$B:$B,Detail!L$1)</f>
        <v>0</v>
      </c>
      <c r="M580" s="7">
        <f>SUMIFS('Leave Management'!$L:$L,'Leave Management'!$C:$C,Detail!$A580,'Leave Management'!$B:$B,Detail!M$1)</f>
        <v>0</v>
      </c>
      <c r="N580" s="7">
        <f>SUMIFS('Leave Management'!$L:$L,'Leave Management'!$C:$C,Detail!$A580,'Leave Management'!$B:$B,Detail!N$1)</f>
        <v>0</v>
      </c>
      <c r="O580" s="7">
        <f t="shared" si="20"/>
        <v>11</v>
      </c>
    </row>
    <row r="581" spans="1:15" x14ac:dyDescent="0.25">
      <c r="A581" s="24">
        <v>43679</v>
      </c>
      <c r="B581" s="2" t="str">
        <f t="shared" si="21"/>
        <v>Fri</v>
      </c>
      <c r="C581" s="7">
        <f>SUMIFS('Leave Management'!$L:$L,'Leave Management'!$C:$C,Detail!$A581,'Leave Management'!$B:$B,Detail!C$1)</f>
        <v>0</v>
      </c>
      <c r="D581" s="7">
        <f>SUMIFS('Leave Management'!$L:$L,'Leave Management'!$C:$C,Detail!$A581,'Leave Management'!$B:$B,Detail!D$1)</f>
        <v>0</v>
      </c>
      <c r="E581" s="7">
        <f>SUMIFS('Leave Management'!$L:$L,'Leave Management'!$C:$C,Detail!$A581,'Leave Management'!$B:$B,Detail!E$1)</f>
        <v>0</v>
      </c>
      <c r="F581" s="7">
        <f>SUMIFS('Leave Management'!$L:$L,'Leave Management'!$C:$C,Detail!$A581,'Leave Management'!$B:$B,Detail!F$1)</f>
        <v>0</v>
      </c>
      <c r="G581" s="7">
        <f>SUMIFS('Leave Management'!$L:$L,'Leave Management'!$C:$C,Detail!$A581,'Leave Management'!$B:$B,Detail!G$1)</f>
        <v>0</v>
      </c>
      <c r="H581" s="7">
        <f>SUMIFS('Leave Management'!$L:$L,'Leave Management'!$C:$C,Detail!$A581,'Leave Management'!$B:$B,Detail!H$1)</f>
        <v>0</v>
      </c>
      <c r="I581" s="7">
        <f>SUMIFS('Leave Management'!$L:$L,'Leave Management'!$C:$C,Detail!$A581,'Leave Management'!$B:$B,Detail!I$1)</f>
        <v>0</v>
      </c>
      <c r="J581" s="7">
        <v>1</v>
      </c>
      <c r="K581" s="7">
        <f>SUMIFS('Leave Management'!$L:$L,'Leave Management'!$C:$C,Detail!$A581,'Leave Management'!$B:$B,Detail!K$1)</f>
        <v>0</v>
      </c>
      <c r="L581" s="7">
        <f>SUMIFS('Leave Management'!$L:$L,'Leave Management'!$C:$C,Detail!$A581,'Leave Management'!$B:$B,Detail!L$1)</f>
        <v>0</v>
      </c>
      <c r="M581" s="7">
        <f>SUMIFS('Leave Management'!$L:$L,'Leave Management'!$C:$C,Detail!$A581,'Leave Management'!$B:$B,Detail!M$1)</f>
        <v>0</v>
      </c>
      <c r="N581" s="7">
        <f>SUMIFS('Leave Management'!$L:$L,'Leave Management'!$C:$C,Detail!$A581,'Leave Management'!$B:$B,Detail!N$1)</f>
        <v>0</v>
      </c>
      <c r="O581" s="7">
        <f t="shared" si="20"/>
        <v>10</v>
      </c>
    </row>
    <row r="582" spans="1:15" x14ac:dyDescent="0.25">
      <c r="A582" s="24">
        <v>43680</v>
      </c>
      <c r="B582" s="2" t="str">
        <f t="shared" si="21"/>
        <v>Sat</v>
      </c>
      <c r="C582" s="7">
        <f>SUMIFS('Leave Management'!$L:$L,'Leave Management'!$C:$C,Detail!$A582,'Leave Management'!$B:$B,Detail!C$1)</f>
        <v>0</v>
      </c>
      <c r="D582" s="7">
        <f>SUMIFS('Leave Management'!$L:$L,'Leave Management'!$C:$C,Detail!$A582,'Leave Management'!$B:$B,Detail!D$1)</f>
        <v>0</v>
      </c>
      <c r="E582" s="7">
        <f>SUMIFS('Leave Management'!$L:$L,'Leave Management'!$C:$C,Detail!$A582,'Leave Management'!$B:$B,Detail!E$1)</f>
        <v>0</v>
      </c>
      <c r="F582" s="7">
        <f>SUMIFS('Leave Management'!$L:$L,'Leave Management'!$C:$C,Detail!$A582,'Leave Management'!$B:$B,Detail!F$1)</f>
        <v>0</v>
      </c>
      <c r="G582" s="7">
        <f>SUMIFS('Leave Management'!$L:$L,'Leave Management'!$C:$C,Detail!$A582,'Leave Management'!$B:$B,Detail!G$1)</f>
        <v>0</v>
      </c>
      <c r="H582" s="7">
        <f>SUMIFS('Leave Management'!$L:$L,'Leave Management'!$C:$C,Detail!$A582,'Leave Management'!$B:$B,Detail!H$1)</f>
        <v>0</v>
      </c>
      <c r="I582" s="7">
        <f>SUMIFS('Leave Management'!$L:$L,'Leave Management'!$C:$C,Detail!$A582,'Leave Management'!$B:$B,Detail!I$1)</f>
        <v>0</v>
      </c>
      <c r="J582" s="7">
        <f>SUMIFS('Leave Management'!$L:$L,'Leave Management'!$C:$C,Detail!$A582,'Leave Management'!$B:$B,Detail!J$1)</f>
        <v>0</v>
      </c>
      <c r="K582" s="7">
        <f>SUMIFS('Leave Management'!$L:$L,'Leave Management'!$C:$C,Detail!$A582,'Leave Management'!$B:$B,Detail!K$1)</f>
        <v>0</v>
      </c>
      <c r="L582" s="7">
        <f>SUMIFS('Leave Management'!$L:$L,'Leave Management'!$C:$C,Detail!$A582,'Leave Management'!$B:$B,Detail!L$1)</f>
        <v>0</v>
      </c>
      <c r="M582" s="7">
        <f>SUMIFS('Leave Management'!$L:$L,'Leave Management'!$C:$C,Detail!$A582,'Leave Management'!$B:$B,Detail!M$1)</f>
        <v>0</v>
      </c>
      <c r="N582" s="7">
        <f>SUMIFS('Leave Management'!$L:$L,'Leave Management'!$C:$C,Detail!$A582,'Leave Management'!$B:$B,Detail!N$1)</f>
        <v>0</v>
      </c>
      <c r="O582" s="7">
        <f t="shared" si="20"/>
        <v>11</v>
      </c>
    </row>
    <row r="583" spans="1:15" x14ac:dyDescent="0.25">
      <c r="A583" s="24">
        <v>43681</v>
      </c>
      <c r="B583" s="2" t="str">
        <f t="shared" ref="B583:B646" si="22">CHOOSE(WEEKDAY(A583),"Sun","Mon","Tue","Wed","Thu","Fri","Sat")</f>
        <v>Sun</v>
      </c>
      <c r="C583" s="7">
        <f>SUMIFS('Leave Management'!$L:$L,'Leave Management'!$C:$C,Detail!$A583,'Leave Management'!$B:$B,Detail!C$1)</f>
        <v>0</v>
      </c>
      <c r="D583" s="7">
        <f>SUMIFS('Leave Management'!$L:$L,'Leave Management'!$C:$C,Detail!$A583,'Leave Management'!$B:$B,Detail!D$1)</f>
        <v>0</v>
      </c>
      <c r="E583" s="7">
        <f>SUMIFS('Leave Management'!$L:$L,'Leave Management'!$C:$C,Detail!$A583,'Leave Management'!$B:$B,Detail!E$1)</f>
        <v>0</v>
      </c>
      <c r="F583" s="7">
        <f>SUMIFS('Leave Management'!$L:$L,'Leave Management'!$C:$C,Detail!$A583,'Leave Management'!$B:$B,Detail!F$1)</f>
        <v>0</v>
      </c>
      <c r="G583" s="7">
        <f>SUMIFS('Leave Management'!$L:$L,'Leave Management'!$C:$C,Detail!$A583,'Leave Management'!$B:$B,Detail!G$1)</f>
        <v>0</v>
      </c>
      <c r="H583" s="7">
        <f>SUMIFS('Leave Management'!$L:$L,'Leave Management'!$C:$C,Detail!$A583,'Leave Management'!$B:$B,Detail!H$1)</f>
        <v>0</v>
      </c>
      <c r="I583" s="7">
        <f>SUMIFS('Leave Management'!$L:$L,'Leave Management'!$C:$C,Detail!$A583,'Leave Management'!$B:$B,Detail!I$1)</f>
        <v>0</v>
      </c>
      <c r="J583" s="7">
        <f>SUMIFS('Leave Management'!$L:$L,'Leave Management'!$C:$C,Detail!$A583,'Leave Management'!$B:$B,Detail!J$1)</f>
        <v>0</v>
      </c>
      <c r="K583" s="7">
        <f>SUMIFS('Leave Management'!$L:$L,'Leave Management'!$C:$C,Detail!$A583,'Leave Management'!$B:$B,Detail!K$1)</f>
        <v>0</v>
      </c>
      <c r="L583" s="7">
        <f>SUMIFS('Leave Management'!$L:$L,'Leave Management'!$C:$C,Detail!$A583,'Leave Management'!$B:$B,Detail!L$1)</f>
        <v>0</v>
      </c>
      <c r="M583" s="7">
        <f>SUMIFS('Leave Management'!$L:$L,'Leave Management'!$C:$C,Detail!$A583,'Leave Management'!$B:$B,Detail!M$1)</f>
        <v>0</v>
      </c>
      <c r="N583" s="7">
        <f>SUMIFS('Leave Management'!$L:$L,'Leave Management'!$C:$C,Detail!$A583,'Leave Management'!$B:$B,Detail!N$1)</f>
        <v>0</v>
      </c>
      <c r="O583" s="7">
        <f t="shared" si="20"/>
        <v>11</v>
      </c>
    </row>
    <row r="584" spans="1:15" x14ac:dyDescent="0.25">
      <c r="A584" s="24">
        <v>43682</v>
      </c>
      <c r="B584" s="2" t="str">
        <f t="shared" si="22"/>
        <v>Mon</v>
      </c>
      <c r="C584" s="7">
        <f>SUMIFS('Leave Management'!$L:$L,'Leave Management'!$C:$C,Detail!$A584,'Leave Management'!$B:$B,Detail!C$1)</f>
        <v>0</v>
      </c>
      <c r="D584" s="7">
        <f>SUMIFS('Leave Management'!$L:$L,'Leave Management'!$C:$C,Detail!$A584,'Leave Management'!$B:$B,Detail!D$1)</f>
        <v>0</v>
      </c>
      <c r="E584" s="7">
        <f>SUMIFS('Leave Management'!$L:$L,'Leave Management'!$C:$C,Detail!$A584,'Leave Management'!$B:$B,Detail!E$1)</f>
        <v>0</v>
      </c>
      <c r="F584" s="7">
        <f>SUMIFS('Leave Management'!$L:$L,'Leave Management'!$C:$C,Detail!$A584,'Leave Management'!$B:$B,Detail!F$1)</f>
        <v>0</v>
      </c>
      <c r="G584" s="7">
        <f>SUMIFS('Leave Management'!$L:$L,'Leave Management'!$C:$C,Detail!$A584,'Leave Management'!$B:$B,Detail!G$1)</f>
        <v>0</v>
      </c>
      <c r="H584" s="7">
        <f>SUMIFS('Leave Management'!$L:$L,'Leave Management'!$C:$C,Detail!$A584,'Leave Management'!$B:$B,Detail!H$1)</f>
        <v>0</v>
      </c>
      <c r="I584" s="7">
        <f>SUMIFS('Leave Management'!$L:$L,'Leave Management'!$C:$C,Detail!$A584,'Leave Management'!$B:$B,Detail!I$1)</f>
        <v>0</v>
      </c>
      <c r="J584" s="7">
        <f>SUMIFS('Leave Management'!$L:$L,'Leave Management'!$C:$C,Detail!$A584,'Leave Management'!$B:$B,Detail!J$1)</f>
        <v>0</v>
      </c>
      <c r="K584" s="7">
        <f>SUMIFS('Leave Management'!$L:$L,'Leave Management'!$C:$C,Detail!$A584,'Leave Management'!$B:$B,Detail!K$1)</f>
        <v>0</v>
      </c>
      <c r="L584" s="7">
        <v>1</v>
      </c>
      <c r="M584" s="7">
        <f>SUMIFS('Leave Management'!$L:$L,'Leave Management'!$C:$C,Detail!$A584,'Leave Management'!$B:$B,Detail!M$1)</f>
        <v>0</v>
      </c>
      <c r="N584" s="7">
        <f>SUMIFS('Leave Management'!$L:$L,'Leave Management'!$C:$C,Detail!$A584,'Leave Management'!$B:$B,Detail!N$1)</f>
        <v>0</v>
      </c>
      <c r="O584" s="7">
        <f t="shared" si="20"/>
        <v>10</v>
      </c>
    </row>
    <row r="585" spans="1:15" x14ac:dyDescent="0.25">
      <c r="A585" s="24">
        <v>43683</v>
      </c>
      <c r="B585" s="2" t="str">
        <f t="shared" si="22"/>
        <v>Tue</v>
      </c>
      <c r="C585" s="7">
        <f>SUMIFS('Leave Management'!$L:$L,'Leave Management'!$C:$C,Detail!$A585,'Leave Management'!$B:$B,Detail!C$1)</f>
        <v>0</v>
      </c>
      <c r="D585" s="7">
        <f>SUMIFS('Leave Management'!$L:$L,'Leave Management'!$C:$C,Detail!$A585,'Leave Management'!$B:$B,Detail!D$1)</f>
        <v>0</v>
      </c>
      <c r="E585" s="7">
        <f>SUMIFS('Leave Management'!$L:$L,'Leave Management'!$C:$C,Detail!$A585,'Leave Management'!$B:$B,Detail!E$1)</f>
        <v>0</v>
      </c>
      <c r="F585" s="7">
        <f>SUMIFS('Leave Management'!$L:$L,'Leave Management'!$C:$C,Detail!$A585,'Leave Management'!$B:$B,Detail!F$1)</f>
        <v>0</v>
      </c>
      <c r="G585" s="7">
        <f>SUMIFS('Leave Management'!$L:$L,'Leave Management'!$C:$C,Detail!$A585,'Leave Management'!$B:$B,Detail!G$1)</f>
        <v>0</v>
      </c>
      <c r="H585" s="7">
        <f>SUMIFS('Leave Management'!$L:$L,'Leave Management'!$C:$C,Detail!$A585,'Leave Management'!$B:$B,Detail!H$1)</f>
        <v>0</v>
      </c>
      <c r="I585" s="7">
        <f>SUMIFS('Leave Management'!$L:$L,'Leave Management'!$C:$C,Detail!$A585,'Leave Management'!$B:$B,Detail!I$1)</f>
        <v>0</v>
      </c>
      <c r="J585" s="7">
        <f>SUMIFS('Leave Management'!$L:$L,'Leave Management'!$C:$C,Detail!$A585,'Leave Management'!$B:$B,Detail!J$1)</f>
        <v>0</v>
      </c>
      <c r="K585" s="7">
        <f>SUMIFS('Leave Management'!$L:$L,'Leave Management'!$C:$C,Detail!$A585,'Leave Management'!$B:$B,Detail!K$1)</f>
        <v>0</v>
      </c>
      <c r="L585" s="7">
        <f>SUMIFS('Leave Management'!$L:$L,'Leave Management'!$C:$C,Detail!$A585,'Leave Management'!$B:$B,Detail!L$1)</f>
        <v>0</v>
      </c>
      <c r="M585" s="7">
        <f>SUMIFS('Leave Management'!$L:$L,'Leave Management'!$C:$C,Detail!$A585,'Leave Management'!$B:$B,Detail!M$1)</f>
        <v>0</v>
      </c>
      <c r="N585" s="7">
        <f>SUMIFS('Leave Management'!$L:$L,'Leave Management'!$C:$C,Detail!$A585,'Leave Management'!$B:$B,Detail!N$1)</f>
        <v>0</v>
      </c>
      <c r="O585" s="7">
        <f t="shared" si="20"/>
        <v>11</v>
      </c>
    </row>
    <row r="586" spans="1:15" x14ac:dyDescent="0.25">
      <c r="A586" s="24">
        <v>43684</v>
      </c>
      <c r="B586" s="2" t="str">
        <f t="shared" si="22"/>
        <v>Wed</v>
      </c>
      <c r="C586" s="7">
        <f>SUMIFS('Leave Management'!$L:$L,'Leave Management'!$C:$C,Detail!$A586,'Leave Management'!$B:$B,Detail!C$1)</f>
        <v>0</v>
      </c>
      <c r="D586" s="7">
        <f>SUMIFS('Leave Management'!$L:$L,'Leave Management'!$C:$C,Detail!$A586,'Leave Management'!$B:$B,Detail!D$1)</f>
        <v>0</v>
      </c>
      <c r="E586" s="7">
        <f>SUMIFS('Leave Management'!$L:$L,'Leave Management'!$C:$C,Detail!$A586,'Leave Management'!$B:$B,Detail!E$1)</f>
        <v>0</v>
      </c>
      <c r="F586" s="7">
        <f>SUMIFS('Leave Management'!$L:$L,'Leave Management'!$C:$C,Detail!$A586,'Leave Management'!$B:$B,Detail!F$1)</f>
        <v>0</v>
      </c>
      <c r="G586" s="7">
        <f>SUMIFS('Leave Management'!$L:$L,'Leave Management'!$C:$C,Detail!$A586,'Leave Management'!$B:$B,Detail!G$1)</f>
        <v>0</v>
      </c>
      <c r="H586" s="7">
        <f>SUMIFS('Leave Management'!$L:$L,'Leave Management'!$C:$C,Detail!$A586,'Leave Management'!$B:$B,Detail!H$1)</f>
        <v>0</v>
      </c>
      <c r="I586" s="7">
        <f>SUMIFS('Leave Management'!$L:$L,'Leave Management'!$C:$C,Detail!$A586,'Leave Management'!$B:$B,Detail!I$1)</f>
        <v>0</v>
      </c>
      <c r="J586" s="7">
        <f>SUMIFS('Leave Management'!$L:$L,'Leave Management'!$C:$C,Detail!$A586,'Leave Management'!$B:$B,Detail!J$1)</f>
        <v>0</v>
      </c>
      <c r="K586" s="7">
        <f>SUMIFS('Leave Management'!$L:$L,'Leave Management'!$C:$C,Detail!$A586,'Leave Management'!$B:$B,Detail!K$1)</f>
        <v>0</v>
      </c>
      <c r="L586" s="7">
        <f>SUMIFS('Leave Management'!$L:$L,'Leave Management'!$C:$C,Detail!$A586,'Leave Management'!$B:$B,Detail!L$1)</f>
        <v>0</v>
      </c>
      <c r="M586" s="7">
        <f>SUMIFS('Leave Management'!$L:$L,'Leave Management'!$C:$C,Detail!$A586,'Leave Management'!$B:$B,Detail!M$1)</f>
        <v>0</v>
      </c>
      <c r="N586" s="7">
        <f>SUMIFS('Leave Management'!$L:$L,'Leave Management'!$C:$C,Detail!$A586,'Leave Management'!$B:$B,Detail!N$1)</f>
        <v>0</v>
      </c>
      <c r="O586" s="7">
        <f t="shared" si="20"/>
        <v>11</v>
      </c>
    </row>
    <row r="587" spans="1:15" x14ac:dyDescent="0.25">
      <c r="A587" s="24">
        <v>43685</v>
      </c>
      <c r="B587" s="2" t="str">
        <f t="shared" si="22"/>
        <v>Thu</v>
      </c>
      <c r="C587" s="7">
        <f>SUMIFS('Leave Management'!$L:$L,'Leave Management'!$C:$C,Detail!$A587,'Leave Management'!$B:$B,Detail!C$1)</f>
        <v>0</v>
      </c>
      <c r="D587" s="7">
        <f>SUMIFS('Leave Management'!$L:$L,'Leave Management'!$C:$C,Detail!$A587,'Leave Management'!$B:$B,Detail!D$1)</f>
        <v>0</v>
      </c>
      <c r="E587" s="7">
        <f>SUMIFS('Leave Management'!$L:$L,'Leave Management'!$C:$C,Detail!$A587,'Leave Management'!$B:$B,Detail!E$1)</f>
        <v>0</v>
      </c>
      <c r="F587" s="7">
        <f>SUMIFS('Leave Management'!$L:$L,'Leave Management'!$C:$C,Detail!$A587,'Leave Management'!$B:$B,Detail!F$1)</f>
        <v>0</v>
      </c>
      <c r="G587" s="7">
        <f>SUMIFS('Leave Management'!$L:$L,'Leave Management'!$C:$C,Detail!$A587,'Leave Management'!$B:$B,Detail!G$1)</f>
        <v>0</v>
      </c>
      <c r="H587" s="7">
        <f>SUMIFS('Leave Management'!$L:$L,'Leave Management'!$C:$C,Detail!$A587,'Leave Management'!$B:$B,Detail!H$1)</f>
        <v>0</v>
      </c>
      <c r="I587" s="7">
        <f>SUMIFS('Leave Management'!$L:$L,'Leave Management'!$C:$C,Detail!$A587,'Leave Management'!$B:$B,Detail!I$1)</f>
        <v>0</v>
      </c>
      <c r="J587" s="7">
        <f>SUMIFS('Leave Management'!$L:$L,'Leave Management'!$C:$C,Detail!$A587,'Leave Management'!$B:$B,Detail!J$1)</f>
        <v>0</v>
      </c>
      <c r="K587" s="7">
        <f>SUMIFS('Leave Management'!$L:$L,'Leave Management'!$C:$C,Detail!$A587,'Leave Management'!$B:$B,Detail!K$1)</f>
        <v>0</v>
      </c>
      <c r="L587" s="7">
        <f>SUMIFS('Leave Management'!$L:$L,'Leave Management'!$C:$C,Detail!$A587,'Leave Management'!$B:$B,Detail!L$1)</f>
        <v>0</v>
      </c>
      <c r="M587" s="7">
        <f>SUMIFS('Leave Management'!$L:$L,'Leave Management'!$C:$C,Detail!$A587,'Leave Management'!$B:$B,Detail!M$1)</f>
        <v>0</v>
      </c>
      <c r="N587" s="7">
        <f>SUMIFS('Leave Management'!$L:$L,'Leave Management'!$C:$C,Detail!$A587,'Leave Management'!$B:$B,Detail!N$1)</f>
        <v>0</v>
      </c>
      <c r="O587" s="7">
        <f t="shared" ref="O587:O650" si="23">COUNTA($D$1:$N$1)-SUM($C587:$N587)</f>
        <v>11</v>
      </c>
    </row>
    <row r="588" spans="1:15" x14ac:dyDescent="0.25">
      <c r="A588" s="24">
        <v>43686</v>
      </c>
      <c r="B588" s="2" t="str">
        <f t="shared" si="22"/>
        <v>Fri</v>
      </c>
      <c r="C588" s="7">
        <f>SUMIFS('Leave Management'!$L:$L,'Leave Management'!$C:$C,Detail!$A588,'Leave Management'!$B:$B,Detail!C$1)</f>
        <v>0</v>
      </c>
      <c r="D588" s="7">
        <v>1</v>
      </c>
      <c r="E588" s="7">
        <f>SUMIFS('Leave Management'!$L:$L,'Leave Management'!$C:$C,Detail!$A588,'Leave Management'!$B:$B,Detail!E$1)</f>
        <v>0</v>
      </c>
      <c r="F588" s="7">
        <f>SUMIFS('Leave Management'!$L:$L,'Leave Management'!$C:$C,Detail!$A588,'Leave Management'!$B:$B,Detail!F$1)</f>
        <v>0</v>
      </c>
      <c r="G588" s="7">
        <f>SUMIFS('Leave Management'!$L:$L,'Leave Management'!$C:$C,Detail!$A588,'Leave Management'!$B:$B,Detail!G$1)</f>
        <v>0</v>
      </c>
      <c r="H588" s="7">
        <f>SUMIFS('Leave Management'!$L:$L,'Leave Management'!$C:$C,Detail!$A588,'Leave Management'!$B:$B,Detail!H$1)</f>
        <v>0</v>
      </c>
      <c r="I588" s="7">
        <f>SUMIFS('Leave Management'!$L:$L,'Leave Management'!$C:$C,Detail!$A588,'Leave Management'!$B:$B,Detail!I$1)</f>
        <v>0</v>
      </c>
      <c r="J588" s="7">
        <f>SUMIFS('Leave Management'!$L:$L,'Leave Management'!$C:$C,Detail!$A588,'Leave Management'!$B:$B,Detail!J$1)</f>
        <v>0</v>
      </c>
      <c r="K588" s="7">
        <f>SUMIFS('Leave Management'!$L:$L,'Leave Management'!$C:$C,Detail!$A588,'Leave Management'!$B:$B,Detail!K$1)</f>
        <v>0</v>
      </c>
      <c r="L588" s="7">
        <f>SUMIFS('Leave Management'!$L:$L,'Leave Management'!$C:$C,Detail!$A588,'Leave Management'!$B:$B,Detail!L$1)</f>
        <v>0</v>
      </c>
      <c r="M588" s="7">
        <f>SUMIFS('Leave Management'!$L:$L,'Leave Management'!$C:$C,Detail!$A588,'Leave Management'!$B:$B,Detail!M$1)</f>
        <v>0</v>
      </c>
      <c r="N588" s="7">
        <f>SUMIFS('Leave Management'!$L:$L,'Leave Management'!$C:$C,Detail!$A588,'Leave Management'!$B:$B,Detail!N$1)</f>
        <v>0</v>
      </c>
      <c r="O588" s="7">
        <f t="shared" si="23"/>
        <v>10</v>
      </c>
    </row>
    <row r="589" spans="1:15" x14ac:dyDescent="0.25">
      <c r="A589" s="24">
        <v>43687</v>
      </c>
      <c r="B589" s="2" t="str">
        <f t="shared" si="22"/>
        <v>Sat</v>
      </c>
      <c r="C589" s="7">
        <f>SUMIFS('Leave Management'!$L:$L,'Leave Management'!$C:$C,Detail!$A589,'Leave Management'!$B:$B,Detail!C$1)</f>
        <v>0</v>
      </c>
      <c r="D589" s="7">
        <f>SUMIFS('Leave Management'!$L:$L,'Leave Management'!$C:$C,Detail!$A589,'Leave Management'!$B:$B,Detail!D$1)</f>
        <v>0</v>
      </c>
      <c r="E589" s="7">
        <f>SUMIFS('Leave Management'!$L:$L,'Leave Management'!$C:$C,Detail!$A589,'Leave Management'!$B:$B,Detail!E$1)</f>
        <v>0</v>
      </c>
      <c r="F589" s="7">
        <f>SUMIFS('Leave Management'!$L:$L,'Leave Management'!$C:$C,Detail!$A589,'Leave Management'!$B:$B,Detail!F$1)</f>
        <v>0</v>
      </c>
      <c r="G589" s="7">
        <f>SUMIFS('Leave Management'!$L:$L,'Leave Management'!$C:$C,Detail!$A589,'Leave Management'!$B:$B,Detail!G$1)</f>
        <v>0</v>
      </c>
      <c r="H589" s="7">
        <f>SUMIFS('Leave Management'!$L:$L,'Leave Management'!$C:$C,Detail!$A589,'Leave Management'!$B:$B,Detail!H$1)</f>
        <v>0</v>
      </c>
      <c r="I589" s="7">
        <f>SUMIFS('Leave Management'!$L:$L,'Leave Management'!$C:$C,Detail!$A589,'Leave Management'!$B:$B,Detail!I$1)</f>
        <v>0</v>
      </c>
      <c r="J589" s="7">
        <f>SUMIFS('Leave Management'!$L:$L,'Leave Management'!$C:$C,Detail!$A589,'Leave Management'!$B:$B,Detail!J$1)</f>
        <v>0</v>
      </c>
      <c r="K589" s="7">
        <f>SUMIFS('Leave Management'!$L:$L,'Leave Management'!$C:$C,Detail!$A589,'Leave Management'!$B:$B,Detail!K$1)</f>
        <v>0</v>
      </c>
      <c r="L589" s="7">
        <f>SUMIFS('Leave Management'!$L:$L,'Leave Management'!$C:$C,Detail!$A589,'Leave Management'!$B:$B,Detail!L$1)</f>
        <v>0</v>
      </c>
      <c r="M589" s="7">
        <f>SUMIFS('Leave Management'!$L:$L,'Leave Management'!$C:$C,Detail!$A589,'Leave Management'!$B:$B,Detail!M$1)</f>
        <v>0</v>
      </c>
      <c r="N589" s="7">
        <f>SUMIFS('Leave Management'!$L:$L,'Leave Management'!$C:$C,Detail!$A589,'Leave Management'!$B:$B,Detail!N$1)</f>
        <v>0</v>
      </c>
      <c r="O589" s="7">
        <f t="shared" si="23"/>
        <v>11</v>
      </c>
    </row>
    <row r="590" spans="1:15" x14ac:dyDescent="0.25">
      <c r="A590" s="24">
        <v>43688</v>
      </c>
      <c r="B590" s="2" t="str">
        <f t="shared" si="22"/>
        <v>Sun</v>
      </c>
      <c r="C590" s="7">
        <f>SUMIFS('Leave Management'!$L:$L,'Leave Management'!$C:$C,Detail!$A590,'Leave Management'!$B:$B,Detail!C$1)</f>
        <v>0</v>
      </c>
      <c r="D590" s="7">
        <f>SUMIFS('Leave Management'!$L:$L,'Leave Management'!$C:$C,Detail!$A590,'Leave Management'!$B:$B,Detail!D$1)</f>
        <v>0</v>
      </c>
      <c r="E590" s="7">
        <f>SUMIFS('Leave Management'!$L:$L,'Leave Management'!$C:$C,Detail!$A590,'Leave Management'!$B:$B,Detail!E$1)</f>
        <v>0</v>
      </c>
      <c r="F590" s="7">
        <f>SUMIFS('Leave Management'!$L:$L,'Leave Management'!$C:$C,Detail!$A590,'Leave Management'!$B:$B,Detail!F$1)</f>
        <v>0</v>
      </c>
      <c r="G590" s="7">
        <f>SUMIFS('Leave Management'!$L:$L,'Leave Management'!$C:$C,Detail!$A590,'Leave Management'!$B:$B,Detail!G$1)</f>
        <v>0</v>
      </c>
      <c r="H590" s="7">
        <f>SUMIFS('Leave Management'!$L:$L,'Leave Management'!$C:$C,Detail!$A590,'Leave Management'!$B:$B,Detail!H$1)</f>
        <v>0</v>
      </c>
      <c r="I590" s="7">
        <f>SUMIFS('Leave Management'!$L:$L,'Leave Management'!$C:$C,Detail!$A590,'Leave Management'!$B:$B,Detail!I$1)</f>
        <v>0</v>
      </c>
      <c r="J590" s="7">
        <f>SUMIFS('Leave Management'!$L:$L,'Leave Management'!$C:$C,Detail!$A590,'Leave Management'!$B:$B,Detail!J$1)</f>
        <v>0</v>
      </c>
      <c r="K590" s="7">
        <f>SUMIFS('Leave Management'!$L:$L,'Leave Management'!$C:$C,Detail!$A590,'Leave Management'!$B:$B,Detail!K$1)</f>
        <v>0</v>
      </c>
      <c r="L590" s="7">
        <f>SUMIFS('Leave Management'!$L:$L,'Leave Management'!$C:$C,Detail!$A590,'Leave Management'!$B:$B,Detail!L$1)</f>
        <v>0</v>
      </c>
      <c r="M590" s="7">
        <f>SUMIFS('Leave Management'!$L:$L,'Leave Management'!$C:$C,Detail!$A590,'Leave Management'!$B:$B,Detail!M$1)</f>
        <v>0</v>
      </c>
      <c r="N590" s="7">
        <f>SUMIFS('Leave Management'!$L:$L,'Leave Management'!$C:$C,Detail!$A590,'Leave Management'!$B:$B,Detail!N$1)</f>
        <v>0</v>
      </c>
      <c r="O590" s="7">
        <f t="shared" si="23"/>
        <v>11</v>
      </c>
    </row>
    <row r="591" spans="1:15" x14ac:dyDescent="0.25">
      <c r="A591" s="24">
        <v>43689</v>
      </c>
      <c r="B591" s="2" t="str">
        <f t="shared" si="22"/>
        <v>Mon</v>
      </c>
      <c r="C591" s="7">
        <f>SUMIFS('Leave Management'!$L:$L,'Leave Management'!$C:$C,Detail!$A591,'Leave Management'!$B:$B,Detail!C$1)</f>
        <v>0</v>
      </c>
      <c r="D591" s="7">
        <v>1</v>
      </c>
      <c r="E591" s="7">
        <f>SUMIFS('Leave Management'!$L:$L,'Leave Management'!$C:$C,Detail!$A591,'Leave Management'!$B:$B,Detail!E$1)</f>
        <v>0</v>
      </c>
      <c r="F591" s="7">
        <f>SUMIFS('Leave Management'!$L:$L,'Leave Management'!$C:$C,Detail!$A591,'Leave Management'!$B:$B,Detail!F$1)</f>
        <v>0</v>
      </c>
      <c r="G591" s="7">
        <f>SUMIFS('Leave Management'!$L:$L,'Leave Management'!$C:$C,Detail!$A591,'Leave Management'!$B:$B,Detail!G$1)</f>
        <v>0</v>
      </c>
      <c r="H591" s="7">
        <f>SUMIFS('Leave Management'!$L:$L,'Leave Management'!$C:$C,Detail!$A591,'Leave Management'!$B:$B,Detail!H$1)</f>
        <v>0</v>
      </c>
      <c r="I591" s="7">
        <f>SUMIFS('Leave Management'!$L:$L,'Leave Management'!$C:$C,Detail!$A591,'Leave Management'!$B:$B,Detail!I$1)</f>
        <v>0</v>
      </c>
      <c r="J591" s="7">
        <f>SUMIFS('Leave Management'!$L:$L,'Leave Management'!$C:$C,Detail!$A591,'Leave Management'!$B:$B,Detail!J$1)</f>
        <v>0</v>
      </c>
      <c r="K591" s="7">
        <f>SUMIFS('Leave Management'!$L:$L,'Leave Management'!$C:$C,Detail!$A591,'Leave Management'!$B:$B,Detail!K$1)</f>
        <v>0</v>
      </c>
      <c r="L591" s="7">
        <f>SUMIFS('Leave Management'!$L:$L,'Leave Management'!$C:$C,Detail!$A591,'Leave Management'!$B:$B,Detail!L$1)</f>
        <v>0</v>
      </c>
      <c r="M591" s="7">
        <f>SUMIFS('Leave Management'!$L:$L,'Leave Management'!$C:$C,Detail!$A591,'Leave Management'!$B:$B,Detail!M$1)</f>
        <v>0</v>
      </c>
      <c r="N591" s="7">
        <f>SUMIFS('Leave Management'!$L:$L,'Leave Management'!$C:$C,Detail!$A591,'Leave Management'!$B:$B,Detail!N$1)</f>
        <v>0</v>
      </c>
      <c r="O591" s="7">
        <f t="shared" si="23"/>
        <v>10</v>
      </c>
    </row>
    <row r="592" spans="1:15" x14ac:dyDescent="0.25">
      <c r="A592" s="24">
        <v>43690</v>
      </c>
      <c r="B592" s="2" t="str">
        <f t="shared" si="22"/>
        <v>Tue</v>
      </c>
      <c r="C592" s="7">
        <f>SUMIFS('Leave Management'!$L:$L,'Leave Management'!$C:$C,Detail!$A592,'Leave Management'!$B:$B,Detail!C$1)</f>
        <v>0</v>
      </c>
      <c r="D592" s="7">
        <f>SUMIFS('Leave Management'!$L:$L,'Leave Management'!$C:$C,Detail!$A592,'Leave Management'!$B:$B,Detail!D$1)</f>
        <v>0</v>
      </c>
      <c r="E592" s="7">
        <f>SUMIFS('Leave Management'!$L:$L,'Leave Management'!$C:$C,Detail!$A592,'Leave Management'!$B:$B,Detail!E$1)</f>
        <v>0</v>
      </c>
      <c r="F592" s="7">
        <f>SUMIFS('Leave Management'!$L:$L,'Leave Management'!$C:$C,Detail!$A592,'Leave Management'!$B:$B,Detail!F$1)</f>
        <v>0</v>
      </c>
      <c r="G592" s="7">
        <f>SUMIFS('Leave Management'!$L:$L,'Leave Management'!$C:$C,Detail!$A592,'Leave Management'!$B:$B,Detail!G$1)</f>
        <v>0</v>
      </c>
      <c r="H592" s="7">
        <f>SUMIFS('Leave Management'!$L:$L,'Leave Management'!$C:$C,Detail!$A592,'Leave Management'!$B:$B,Detail!H$1)</f>
        <v>0</v>
      </c>
      <c r="I592" s="7">
        <f>SUMIFS('Leave Management'!$L:$L,'Leave Management'!$C:$C,Detail!$A592,'Leave Management'!$B:$B,Detail!I$1)</f>
        <v>0</v>
      </c>
      <c r="J592" s="7">
        <f>SUMIFS('Leave Management'!$L:$L,'Leave Management'!$C:$C,Detail!$A592,'Leave Management'!$B:$B,Detail!J$1)</f>
        <v>0</v>
      </c>
      <c r="K592" s="7">
        <f>SUMIFS('Leave Management'!$L:$L,'Leave Management'!$C:$C,Detail!$A592,'Leave Management'!$B:$B,Detail!K$1)</f>
        <v>0</v>
      </c>
      <c r="L592" s="7">
        <f>SUMIFS('Leave Management'!$L:$L,'Leave Management'!$C:$C,Detail!$A592,'Leave Management'!$B:$B,Detail!L$1)</f>
        <v>0</v>
      </c>
      <c r="M592" s="7">
        <f>SUMIFS('Leave Management'!$L:$L,'Leave Management'!$C:$C,Detail!$A592,'Leave Management'!$B:$B,Detail!M$1)</f>
        <v>0</v>
      </c>
      <c r="N592" s="7">
        <f>SUMIFS('Leave Management'!$L:$L,'Leave Management'!$C:$C,Detail!$A592,'Leave Management'!$B:$B,Detail!N$1)</f>
        <v>0</v>
      </c>
      <c r="O592" s="7">
        <f t="shared" si="23"/>
        <v>11</v>
      </c>
    </row>
    <row r="593" spans="1:15" x14ac:dyDescent="0.25">
      <c r="A593" s="24">
        <v>43691</v>
      </c>
      <c r="B593" s="2" t="str">
        <f t="shared" si="22"/>
        <v>Wed</v>
      </c>
      <c r="C593" s="7">
        <f>SUMIFS('Leave Management'!$L:$L,'Leave Management'!$C:$C,Detail!$A593,'Leave Management'!$B:$B,Detail!C$1)</f>
        <v>0</v>
      </c>
      <c r="D593" s="7">
        <f>SUMIFS('Leave Management'!$L:$L,'Leave Management'!$C:$C,Detail!$A593,'Leave Management'!$B:$B,Detail!D$1)</f>
        <v>0</v>
      </c>
      <c r="E593" s="7">
        <f>SUMIFS('Leave Management'!$L:$L,'Leave Management'!$C:$C,Detail!$A593,'Leave Management'!$B:$B,Detail!E$1)</f>
        <v>0</v>
      </c>
      <c r="F593" s="7">
        <f>SUMIFS('Leave Management'!$L:$L,'Leave Management'!$C:$C,Detail!$A593,'Leave Management'!$B:$B,Detail!F$1)</f>
        <v>0</v>
      </c>
      <c r="G593" s="7">
        <f>SUMIFS('Leave Management'!$L:$L,'Leave Management'!$C:$C,Detail!$A593,'Leave Management'!$B:$B,Detail!G$1)</f>
        <v>0</v>
      </c>
      <c r="H593" s="7">
        <f>SUMIFS('Leave Management'!$L:$L,'Leave Management'!$C:$C,Detail!$A593,'Leave Management'!$B:$B,Detail!H$1)</f>
        <v>0</v>
      </c>
      <c r="I593" s="7">
        <f>SUMIFS('Leave Management'!$L:$L,'Leave Management'!$C:$C,Detail!$A593,'Leave Management'!$B:$B,Detail!I$1)</f>
        <v>0</v>
      </c>
      <c r="J593" s="7">
        <f>SUMIFS('Leave Management'!$L:$L,'Leave Management'!$C:$C,Detail!$A593,'Leave Management'!$B:$B,Detail!J$1)</f>
        <v>0</v>
      </c>
      <c r="K593" s="7">
        <f>SUMIFS('Leave Management'!$L:$L,'Leave Management'!$C:$C,Detail!$A593,'Leave Management'!$B:$B,Detail!K$1)</f>
        <v>0</v>
      </c>
      <c r="L593" s="7">
        <f>SUMIFS('Leave Management'!$L:$L,'Leave Management'!$C:$C,Detail!$A593,'Leave Management'!$B:$B,Detail!L$1)</f>
        <v>0</v>
      </c>
      <c r="M593" s="7">
        <f>SUMIFS('Leave Management'!$L:$L,'Leave Management'!$C:$C,Detail!$A593,'Leave Management'!$B:$B,Detail!M$1)</f>
        <v>0</v>
      </c>
      <c r="N593" s="7">
        <f>SUMIFS('Leave Management'!$L:$L,'Leave Management'!$C:$C,Detail!$A593,'Leave Management'!$B:$B,Detail!N$1)</f>
        <v>0</v>
      </c>
      <c r="O593" s="7">
        <f t="shared" si="23"/>
        <v>11</v>
      </c>
    </row>
    <row r="594" spans="1:15" x14ac:dyDescent="0.25">
      <c r="A594" s="24">
        <v>43692</v>
      </c>
      <c r="B594" s="2" t="str">
        <f t="shared" si="22"/>
        <v>Thu</v>
      </c>
      <c r="C594" s="7">
        <f>SUMIFS('Leave Management'!$L:$L,'Leave Management'!$C:$C,Detail!$A594,'Leave Management'!$B:$B,Detail!C$1)</f>
        <v>0</v>
      </c>
      <c r="D594" s="7">
        <f>SUMIFS('Leave Management'!$L:$L,'Leave Management'!$C:$C,Detail!$A594,'Leave Management'!$B:$B,Detail!D$1)</f>
        <v>0</v>
      </c>
      <c r="E594" s="7">
        <f>SUMIFS('Leave Management'!$L:$L,'Leave Management'!$C:$C,Detail!$A594,'Leave Management'!$B:$B,Detail!E$1)</f>
        <v>0</v>
      </c>
      <c r="F594" s="7">
        <f>SUMIFS('Leave Management'!$L:$L,'Leave Management'!$C:$C,Detail!$A594,'Leave Management'!$B:$B,Detail!F$1)</f>
        <v>0</v>
      </c>
      <c r="G594" s="7">
        <f>SUMIFS('Leave Management'!$L:$L,'Leave Management'!$C:$C,Detail!$A594,'Leave Management'!$B:$B,Detail!G$1)</f>
        <v>0</v>
      </c>
      <c r="H594" s="7">
        <f>SUMIFS('Leave Management'!$L:$L,'Leave Management'!$C:$C,Detail!$A594,'Leave Management'!$B:$B,Detail!H$1)</f>
        <v>0</v>
      </c>
      <c r="I594" s="7">
        <f>SUMIFS('Leave Management'!$L:$L,'Leave Management'!$C:$C,Detail!$A594,'Leave Management'!$B:$B,Detail!I$1)</f>
        <v>0</v>
      </c>
      <c r="J594" s="7">
        <f>SUMIFS('Leave Management'!$L:$L,'Leave Management'!$C:$C,Detail!$A594,'Leave Management'!$B:$B,Detail!J$1)</f>
        <v>0</v>
      </c>
      <c r="K594" s="7">
        <f>SUMIFS('Leave Management'!$L:$L,'Leave Management'!$C:$C,Detail!$A594,'Leave Management'!$B:$B,Detail!K$1)</f>
        <v>0</v>
      </c>
      <c r="L594" s="7">
        <f>SUMIFS('Leave Management'!$L:$L,'Leave Management'!$C:$C,Detail!$A594,'Leave Management'!$B:$B,Detail!L$1)</f>
        <v>0</v>
      </c>
      <c r="M594" s="7">
        <f>SUMIFS('Leave Management'!$L:$L,'Leave Management'!$C:$C,Detail!$A594,'Leave Management'!$B:$B,Detail!M$1)</f>
        <v>0</v>
      </c>
      <c r="N594" s="7">
        <f>SUMIFS('Leave Management'!$L:$L,'Leave Management'!$C:$C,Detail!$A594,'Leave Management'!$B:$B,Detail!N$1)</f>
        <v>0</v>
      </c>
      <c r="O594" s="7">
        <f t="shared" si="23"/>
        <v>11</v>
      </c>
    </row>
    <row r="595" spans="1:15" x14ac:dyDescent="0.25">
      <c r="A595" s="24">
        <v>43693</v>
      </c>
      <c r="B595" s="2" t="str">
        <f t="shared" si="22"/>
        <v>Fri</v>
      </c>
      <c r="C595" s="7">
        <f>SUMIFS('Leave Management'!$L:$L,'Leave Management'!$C:$C,Detail!$A595,'Leave Management'!$B:$B,Detail!C$1)</f>
        <v>0</v>
      </c>
      <c r="D595" s="7">
        <f>SUMIFS('Leave Management'!$L:$L,'Leave Management'!$C:$C,Detail!$A595,'Leave Management'!$B:$B,Detail!D$1)</f>
        <v>0</v>
      </c>
      <c r="E595" s="7">
        <v>1</v>
      </c>
      <c r="F595" s="7">
        <f>SUMIFS('Leave Management'!$L:$L,'Leave Management'!$C:$C,Detail!$A595,'Leave Management'!$B:$B,Detail!F$1)</f>
        <v>0</v>
      </c>
      <c r="G595" s="7">
        <f>SUMIFS('Leave Management'!$L:$L,'Leave Management'!$C:$C,Detail!$A595,'Leave Management'!$B:$B,Detail!G$1)</f>
        <v>0</v>
      </c>
      <c r="H595" s="7">
        <f>SUMIFS('Leave Management'!$L:$L,'Leave Management'!$C:$C,Detail!$A595,'Leave Management'!$B:$B,Detail!H$1)</f>
        <v>0</v>
      </c>
      <c r="I595" s="7">
        <f>SUMIFS('Leave Management'!$L:$L,'Leave Management'!$C:$C,Detail!$A595,'Leave Management'!$B:$B,Detail!I$1)</f>
        <v>0</v>
      </c>
      <c r="J595" s="7">
        <f>SUMIFS('Leave Management'!$L:$L,'Leave Management'!$C:$C,Detail!$A595,'Leave Management'!$B:$B,Detail!J$1)</f>
        <v>0</v>
      </c>
      <c r="K595" s="7">
        <f>SUMIFS('Leave Management'!$L:$L,'Leave Management'!$C:$C,Detail!$A595,'Leave Management'!$B:$B,Detail!K$1)</f>
        <v>0</v>
      </c>
      <c r="L595" s="7">
        <f>SUMIFS('Leave Management'!$L:$L,'Leave Management'!$C:$C,Detail!$A595,'Leave Management'!$B:$B,Detail!L$1)</f>
        <v>0</v>
      </c>
      <c r="M595" s="7">
        <f>SUMIFS('Leave Management'!$L:$L,'Leave Management'!$C:$C,Detail!$A595,'Leave Management'!$B:$B,Detail!M$1)</f>
        <v>0</v>
      </c>
      <c r="N595" s="7">
        <f>SUMIFS('Leave Management'!$L:$L,'Leave Management'!$C:$C,Detail!$A595,'Leave Management'!$B:$B,Detail!N$1)</f>
        <v>0</v>
      </c>
      <c r="O595" s="7">
        <f t="shared" si="23"/>
        <v>10</v>
      </c>
    </row>
    <row r="596" spans="1:15" x14ac:dyDescent="0.25">
      <c r="A596" s="24">
        <v>43694</v>
      </c>
      <c r="B596" s="2" t="str">
        <f t="shared" si="22"/>
        <v>Sat</v>
      </c>
      <c r="C596" s="7">
        <f>SUMIFS('Leave Management'!$L:$L,'Leave Management'!$C:$C,Detail!$A596,'Leave Management'!$B:$B,Detail!C$1)</f>
        <v>0</v>
      </c>
      <c r="D596" s="7">
        <f>SUMIFS('Leave Management'!$L:$L,'Leave Management'!$C:$C,Detail!$A596,'Leave Management'!$B:$B,Detail!D$1)</f>
        <v>0</v>
      </c>
      <c r="E596" s="7">
        <f>SUMIFS('Leave Management'!$L:$L,'Leave Management'!$C:$C,Detail!$A596,'Leave Management'!$B:$B,Detail!E$1)</f>
        <v>0</v>
      </c>
      <c r="F596" s="7">
        <f>SUMIFS('Leave Management'!$L:$L,'Leave Management'!$C:$C,Detail!$A596,'Leave Management'!$B:$B,Detail!F$1)</f>
        <v>0</v>
      </c>
      <c r="G596" s="7">
        <f>SUMIFS('Leave Management'!$L:$L,'Leave Management'!$C:$C,Detail!$A596,'Leave Management'!$B:$B,Detail!G$1)</f>
        <v>0</v>
      </c>
      <c r="H596" s="7">
        <f>SUMIFS('Leave Management'!$L:$L,'Leave Management'!$C:$C,Detail!$A596,'Leave Management'!$B:$B,Detail!H$1)</f>
        <v>0</v>
      </c>
      <c r="I596" s="7">
        <f>SUMIFS('Leave Management'!$L:$L,'Leave Management'!$C:$C,Detail!$A596,'Leave Management'!$B:$B,Detail!I$1)</f>
        <v>0</v>
      </c>
      <c r="J596" s="7">
        <f>SUMIFS('Leave Management'!$L:$L,'Leave Management'!$C:$C,Detail!$A596,'Leave Management'!$B:$B,Detail!J$1)</f>
        <v>0</v>
      </c>
      <c r="K596" s="7">
        <f>SUMIFS('Leave Management'!$L:$L,'Leave Management'!$C:$C,Detail!$A596,'Leave Management'!$B:$B,Detail!K$1)</f>
        <v>0</v>
      </c>
      <c r="L596" s="7">
        <f>SUMIFS('Leave Management'!$L:$L,'Leave Management'!$C:$C,Detail!$A596,'Leave Management'!$B:$B,Detail!L$1)</f>
        <v>0</v>
      </c>
      <c r="M596" s="7">
        <f>SUMIFS('Leave Management'!$L:$L,'Leave Management'!$C:$C,Detail!$A596,'Leave Management'!$B:$B,Detail!M$1)</f>
        <v>0</v>
      </c>
      <c r="N596" s="7">
        <f>SUMIFS('Leave Management'!$L:$L,'Leave Management'!$C:$C,Detail!$A596,'Leave Management'!$B:$B,Detail!N$1)</f>
        <v>0</v>
      </c>
      <c r="O596" s="7">
        <f t="shared" si="23"/>
        <v>11</v>
      </c>
    </row>
    <row r="597" spans="1:15" x14ac:dyDescent="0.25">
      <c r="A597" s="24">
        <v>43695</v>
      </c>
      <c r="B597" s="2" t="str">
        <f t="shared" si="22"/>
        <v>Sun</v>
      </c>
      <c r="C597" s="7">
        <f>SUMIFS('Leave Management'!$L:$L,'Leave Management'!$C:$C,Detail!$A597,'Leave Management'!$B:$B,Detail!C$1)</f>
        <v>0</v>
      </c>
      <c r="D597" s="7">
        <f>SUMIFS('Leave Management'!$L:$L,'Leave Management'!$C:$C,Detail!$A597,'Leave Management'!$B:$B,Detail!D$1)</f>
        <v>0</v>
      </c>
      <c r="E597" s="7">
        <f>SUMIFS('Leave Management'!$L:$L,'Leave Management'!$C:$C,Detail!$A597,'Leave Management'!$B:$B,Detail!E$1)</f>
        <v>0</v>
      </c>
      <c r="F597" s="7">
        <f>SUMIFS('Leave Management'!$L:$L,'Leave Management'!$C:$C,Detail!$A597,'Leave Management'!$B:$B,Detail!F$1)</f>
        <v>0</v>
      </c>
      <c r="G597" s="7">
        <f>SUMIFS('Leave Management'!$L:$L,'Leave Management'!$C:$C,Detail!$A597,'Leave Management'!$B:$B,Detail!G$1)</f>
        <v>0</v>
      </c>
      <c r="H597" s="7">
        <f>SUMIFS('Leave Management'!$L:$L,'Leave Management'!$C:$C,Detail!$A597,'Leave Management'!$B:$B,Detail!H$1)</f>
        <v>0</v>
      </c>
      <c r="I597" s="7">
        <f>SUMIFS('Leave Management'!$L:$L,'Leave Management'!$C:$C,Detail!$A597,'Leave Management'!$B:$B,Detail!I$1)</f>
        <v>0</v>
      </c>
      <c r="J597" s="7">
        <f>SUMIFS('Leave Management'!$L:$L,'Leave Management'!$C:$C,Detail!$A597,'Leave Management'!$B:$B,Detail!J$1)</f>
        <v>0</v>
      </c>
      <c r="K597" s="7">
        <f>SUMIFS('Leave Management'!$L:$L,'Leave Management'!$C:$C,Detail!$A597,'Leave Management'!$B:$B,Detail!K$1)</f>
        <v>0</v>
      </c>
      <c r="L597" s="7">
        <f>SUMIFS('Leave Management'!$L:$L,'Leave Management'!$C:$C,Detail!$A597,'Leave Management'!$B:$B,Detail!L$1)</f>
        <v>0</v>
      </c>
      <c r="M597" s="7">
        <f>SUMIFS('Leave Management'!$L:$L,'Leave Management'!$C:$C,Detail!$A597,'Leave Management'!$B:$B,Detail!M$1)</f>
        <v>0</v>
      </c>
      <c r="N597" s="7">
        <f>SUMIFS('Leave Management'!$L:$L,'Leave Management'!$C:$C,Detail!$A597,'Leave Management'!$B:$B,Detail!N$1)</f>
        <v>0</v>
      </c>
      <c r="O597" s="7">
        <f t="shared" si="23"/>
        <v>11</v>
      </c>
    </row>
    <row r="598" spans="1:15" x14ac:dyDescent="0.25">
      <c r="A598" s="24">
        <v>43696</v>
      </c>
      <c r="B598" s="2" t="str">
        <f t="shared" si="22"/>
        <v>Mon</v>
      </c>
      <c r="C598" s="7">
        <f>SUMIFS('Leave Management'!$L:$L,'Leave Management'!$C:$C,Detail!$A598,'Leave Management'!$B:$B,Detail!C$1)</f>
        <v>0</v>
      </c>
      <c r="D598" s="7">
        <f>SUMIFS('Leave Management'!$L:$L,'Leave Management'!$C:$C,Detail!$A598,'Leave Management'!$B:$B,Detail!D$1)</f>
        <v>0</v>
      </c>
      <c r="E598" s="7">
        <f>SUMIFS('Leave Management'!$L:$L,'Leave Management'!$C:$C,Detail!$A598,'Leave Management'!$B:$B,Detail!E$1)</f>
        <v>0</v>
      </c>
      <c r="F598" s="7">
        <f>SUMIFS('Leave Management'!$L:$L,'Leave Management'!$C:$C,Detail!$A598,'Leave Management'!$B:$B,Detail!F$1)</f>
        <v>0</v>
      </c>
      <c r="G598" s="7">
        <f>SUMIFS('Leave Management'!$L:$L,'Leave Management'!$C:$C,Detail!$A598,'Leave Management'!$B:$B,Detail!G$1)</f>
        <v>0</v>
      </c>
      <c r="H598" s="7">
        <f>SUMIFS('Leave Management'!$L:$L,'Leave Management'!$C:$C,Detail!$A598,'Leave Management'!$B:$B,Detail!H$1)</f>
        <v>0</v>
      </c>
      <c r="I598" s="7">
        <f>SUMIFS('Leave Management'!$L:$L,'Leave Management'!$C:$C,Detail!$A598,'Leave Management'!$B:$B,Detail!I$1)</f>
        <v>0</v>
      </c>
      <c r="J598" s="7">
        <f>SUMIFS('Leave Management'!$L:$L,'Leave Management'!$C:$C,Detail!$A598,'Leave Management'!$B:$B,Detail!J$1)</f>
        <v>0</v>
      </c>
      <c r="K598" s="7">
        <f>SUMIFS('Leave Management'!$L:$L,'Leave Management'!$C:$C,Detail!$A598,'Leave Management'!$B:$B,Detail!K$1)</f>
        <v>0</v>
      </c>
      <c r="L598" s="7">
        <f>SUMIFS('Leave Management'!$L:$L,'Leave Management'!$C:$C,Detail!$A598,'Leave Management'!$B:$B,Detail!L$1)</f>
        <v>0</v>
      </c>
      <c r="M598" s="7">
        <f>SUMIFS('Leave Management'!$L:$L,'Leave Management'!$C:$C,Detail!$A598,'Leave Management'!$B:$B,Detail!M$1)</f>
        <v>0</v>
      </c>
      <c r="N598" s="7">
        <f>SUMIFS('Leave Management'!$L:$L,'Leave Management'!$C:$C,Detail!$A598,'Leave Management'!$B:$B,Detail!N$1)</f>
        <v>0</v>
      </c>
      <c r="O598" s="7">
        <f t="shared" si="23"/>
        <v>11</v>
      </c>
    </row>
    <row r="599" spans="1:15" x14ac:dyDescent="0.25">
      <c r="A599" s="24">
        <v>43697</v>
      </c>
      <c r="B599" s="2" t="str">
        <f t="shared" si="22"/>
        <v>Tue</v>
      </c>
      <c r="C599" s="7">
        <f>SUMIFS('Leave Management'!$L:$L,'Leave Management'!$C:$C,Detail!$A599,'Leave Management'!$B:$B,Detail!C$1)</f>
        <v>0</v>
      </c>
      <c r="D599" s="7">
        <f>SUMIFS('Leave Management'!$L:$L,'Leave Management'!$C:$C,Detail!$A599,'Leave Management'!$B:$B,Detail!D$1)</f>
        <v>0</v>
      </c>
      <c r="E599" s="7">
        <f>SUMIFS('Leave Management'!$L:$L,'Leave Management'!$C:$C,Detail!$A599,'Leave Management'!$B:$B,Detail!E$1)</f>
        <v>0</v>
      </c>
      <c r="F599" s="7">
        <f>SUMIFS('Leave Management'!$L:$L,'Leave Management'!$C:$C,Detail!$A599,'Leave Management'!$B:$B,Detail!F$1)</f>
        <v>0</v>
      </c>
      <c r="G599" s="7">
        <f>SUMIFS('Leave Management'!$L:$L,'Leave Management'!$C:$C,Detail!$A599,'Leave Management'!$B:$B,Detail!G$1)</f>
        <v>0</v>
      </c>
      <c r="H599" s="7">
        <f>SUMIFS('Leave Management'!$L:$L,'Leave Management'!$C:$C,Detail!$A599,'Leave Management'!$B:$B,Detail!H$1)</f>
        <v>0</v>
      </c>
      <c r="I599" s="7">
        <f>SUMIFS('Leave Management'!$L:$L,'Leave Management'!$C:$C,Detail!$A599,'Leave Management'!$B:$B,Detail!I$1)</f>
        <v>0</v>
      </c>
      <c r="J599" s="7">
        <f>SUMIFS('Leave Management'!$L:$L,'Leave Management'!$C:$C,Detail!$A599,'Leave Management'!$B:$B,Detail!J$1)</f>
        <v>0</v>
      </c>
      <c r="K599" s="7">
        <f>SUMIFS('Leave Management'!$L:$L,'Leave Management'!$C:$C,Detail!$A599,'Leave Management'!$B:$B,Detail!K$1)</f>
        <v>0</v>
      </c>
      <c r="L599" s="7">
        <f>SUMIFS('Leave Management'!$L:$L,'Leave Management'!$C:$C,Detail!$A599,'Leave Management'!$B:$B,Detail!L$1)</f>
        <v>0</v>
      </c>
      <c r="M599" s="7">
        <f>SUMIFS('Leave Management'!$L:$L,'Leave Management'!$C:$C,Detail!$A599,'Leave Management'!$B:$B,Detail!M$1)</f>
        <v>0</v>
      </c>
      <c r="N599" s="7">
        <f>SUMIFS('Leave Management'!$L:$L,'Leave Management'!$C:$C,Detail!$A599,'Leave Management'!$B:$B,Detail!N$1)</f>
        <v>0</v>
      </c>
      <c r="O599" s="7">
        <f t="shared" si="23"/>
        <v>11</v>
      </c>
    </row>
    <row r="600" spans="1:15" x14ac:dyDescent="0.25">
      <c r="A600" s="24">
        <v>43698</v>
      </c>
      <c r="B600" s="2" t="str">
        <f t="shared" si="22"/>
        <v>Wed</v>
      </c>
      <c r="C600" s="7">
        <f>SUMIFS('Leave Management'!$L:$L,'Leave Management'!$C:$C,Detail!$A600,'Leave Management'!$B:$B,Detail!C$1)</f>
        <v>0</v>
      </c>
      <c r="D600" s="7">
        <f>SUMIFS('Leave Management'!$L:$L,'Leave Management'!$C:$C,Detail!$A600,'Leave Management'!$B:$B,Detail!D$1)</f>
        <v>0</v>
      </c>
      <c r="E600" s="7">
        <f>SUMIFS('Leave Management'!$L:$L,'Leave Management'!$C:$C,Detail!$A600,'Leave Management'!$B:$B,Detail!E$1)</f>
        <v>0</v>
      </c>
      <c r="F600" s="7">
        <f>SUMIFS('Leave Management'!$L:$L,'Leave Management'!$C:$C,Detail!$A600,'Leave Management'!$B:$B,Detail!F$1)</f>
        <v>0</v>
      </c>
      <c r="G600" s="7">
        <f>SUMIFS('Leave Management'!$L:$L,'Leave Management'!$C:$C,Detail!$A600,'Leave Management'!$B:$B,Detail!G$1)</f>
        <v>0</v>
      </c>
      <c r="H600" s="7">
        <f>SUMIFS('Leave Management'!$L:$L,'Leave Management'!$C:$C,Detail!$A600,'Leave Management'!$B:$B,Detail!H$1)</f>
        <v>0</v>
      </c>
      <c r="I600" s="7">
        <f>SUMIFS('Leave Management'!$L:$L,'Leave Management'!$C:$C,Detail!$A600,'Leave Management'!$B:$B,Detail!I$1)</f>
        <v>0</v>
      </c>
      <c r="J600" s="7">
        <f>SUMIFS('Leave Management'!$L:$L,'Leave Management'!$C:$C,Detail!$A600,'Leave Management'!$B:$B,Detail!J$1)</f>
        <v>0</v>
      </c>
      <c r="K600" s="7">
        <f>SUMIFS('Leave Management'!$L:$L,'Leave Management'!$C:$C,Detail!$A600,'Leave Management'!$B:$B,Detail!K$1)</f>
        <v>0</v>
      </c>
      <c r="L600" s="7">
        <f>SUMIFS('Leave Management'!$L:$L,'Leave Management'!$C:$C,Detail!$A600,'Leave Management'!$B:$B,Detail!L$1)</f>
        <v>0</v>
      </c>
      <c r="M600" s="7">
        <f>SUMIFS('Leave Management'!$L:$L,'Leave Management'!$C:$C,Detail!$A600,'Leave Management'!$B:$B,Detail!M$1)</f>
        <v>0</v>
      </c>
      <c r="N600" s="7">
        <f>SUMIFS('Leave Management'!$L:$L,'Leave Management'!$C:$C,Detail!$A600,'Leave Management'!$B:$B,Detail!N$1)</f>
        <v>0</v>
      </c>
      <c r="O600" s="7">
        <f t="shared" si="23"/>
        <v>11</v>
      </c>
    </row>
    <row r="601" spans="1:15" x14ac:dyDescent="0.25">
      <c r="A601" s="24">
        <v>43699</v>
      </c>
      <c r="B601" s="2" t="str">
        <f t="shared" si="22"/>
        <v>Thu</v>
      </c>
      <c r="C601" s="7">
        <f>SUMIFS('Leave Management'!$L:$L,'Leave Management'!$C:$C,Detail!$A601,'Leave Management'!$B:$B,Detail!C$1)</f>
        <v>0</v>
      </c>
      <c r="D601" s="7">
        <f>SUMIFS('Leave Management'!$L:$L,'Leave Management'!$C:$C,Detail!$A601,'Leave Management'!$B:$B,Detail!D$1)</f>
        <v>0</v>
      </c>
      <c r="E601" s="7">
        <f>SUMIFS('Leave Management'!$L:$L,'Leave Management'!$C:$C,Detail!$A601,'Leave Management'!$B:$B,Detail!E$1)</f>
        <v>0</v>
      </c>
      <c r="F601" s="7">
        <f>SUMIFS('Leave Management'!$L:$L,'Leave Management'!$C:$C,Detail!$A601,'Leave Management'!$B:$B,Detail!F$1)</f>
        <v>0</v>
      </c>
      <c r="G601" s="7">
        <f>SUMIFS('Leave Management'!$L:$L,'Leave Management'!$C:$C,Detail!$A601,'Leave Management'!$B:$B,Detail!G$1)</f>
        <v>0</v>
      </c>
      <c r="H601" s="7">
        <f>SUMIFS('Leave Management'!$L:$L,'Leave Management'!$C:$C,Detail!$A601,'Leave Management'!$B:$B,Detail!H$1)</f>
        <v>0</v>
      </c>
      <c r="I601" s="7">
        <f>SUMIFS('Leave Management'!$L:$L,'Leave Management'!$C:$C,Detail!$A601,'Leave Management'!$B:$B,Detail!I$1)</f>
        <v>0</v>
      </c>
      <c r="J601" s="7">
        <f>SUMIFS('Leave Management'!$L:$L,'Leave Management'!$C:$C,Detail!$A601,'Leave Management'!$B:$B,Detail!J$1)</f>
        <v>0</v>
      </c>
      <c r="K601" s="7">
        <v>1</v>
      </c>
      <c r="L601" s="7">
        <f>SUMIFS('Leave Management'!$L:$L,'Leave Management'!$C:$C,Detail!$A601,'Leave Management'!$B:$B,Detail!L$1)</f>
        <v>0</v>
      </c>
      <c r="M601" s="7">
        <f>SUMIFS('Leave Management'!$L:$L,'Leave Management'!$C:$C,Detail!$A601,'Leave Management'!$B:$B,Detail!M$1)</f>
        <v>0</v>
      </c>
      <c r="N601" s="7">
        <f>SUMIFS('Leave Management'!$L:$L,'Leave Management'!$C:$C,Detail!$A601,'Leave Management'!$B:$B,Detail!N$1)</f>
        <v>0</v>
      </c>
      <c r="O601" s="7">
        <f t="shared" si="23"/>
        <v>10</v>
      </c>
    </row>
    <row r="602" spans="1:15" x14ac:dyDescent="0.25">
      <c r="A602" s="24">
        <v>43700</v>
      </c>
      <c r="B602" s="2" t="str">
        <f t="shared" si="22"/>
        <v>Fri</v>
      </c>
      <c r="C602" s="7">
        <f>SUMIFS('Leave Management'!$L:$L,'Leave Management'!$C:$C,Detail!$A602,'Leave Management'!$B:$B,Detail!C$1)</f>
        <v>0</v>
      </c>
      <c r="D602" s="7">
        <f>SUMIFS('Leave Management'!$L:$L,'Leave Management'!$C:$C,Detail!$A602,'Leave Management'!$B:$B,Detail!D$1)</f>
        <v>0</v>
      </c>
      <c r="F602" s="7">
        <f>SUMIFS('Leave Management'!$L:$L,'Leave Management'!$C:$C,Detail!$A602,'Leave Management'!$B:$B,Detail!F$1)</f>
        <v>0</v>
      </c>
      <c r="G602" s="7">
        <f>SUMIFS('Leave Management'!$L:$L,'Leave Management'!$C:$C,Detail!$A602,'Leave Management'!$B:$B,Detail!G$1)</f>
        <v>0</v>
      </c>
      <c r="H602" s="7">
        <f>SUMIFS('Leave Management'!$L:$L,'Leave Management'!$C:$C,Detail!$A602,'Leave Management'!$B:$B,Detail!H$1)</f>
        <v>0</v>
      </c>
      <c r="I602" s="7">
        <f>SUMIFS('Leave Management'!$L:$L,'Leave Management'!$C:$C,Detail!$A602,'Leave Management'!$B:$B,Detail!I$1)</f>
        <v>0</v>
      </c>
      <c r="J602" s="7">
        <f>SUMIFS('Leave Management'!$L:$L,'Leave Management'!$C:$C,Detail!$A602,'Leave Management'!$B:$B,Detail!J$1)</f>
        <v>0</v>
      </c>
      <c r="K602" s="7">
        <f>SUMIFS('Leave Management'!$L:$L,'Leave Management'!$C:$C,Detail!$A602,'Leave Management'!$B:$B,Detail!E$1)</f>
        <v>1</v>
      </c>
      <c r="L602" s="7">
        <f>SUMIFS('Leave Management'!$L:$L,'Leave Management'!$C:$C,Detail!$A602,'Leave Management'!$B:$B,Detail!L$1)</f>
        <v>0</v>
      </c>
      <c r="M602" s="7">
        <f>SUMIFS('Leave Management'!$L:$L,'Leave Management'!$C:$C,Detail!$A602,'Leave Management'!$B:$B,Detail!M$1)</f>
        <v>0</v>
      </c>
      <c r="N602" s="7">
        <f>SUMIFS('Leave Management'!$L:$L,'Leave Management'!$C:$C,Detail!$A602,'Leave Management'!$B:$B,Detail!N$1)</f>
        <v>0</v>
      </c>
      <c r="O602" s="7">
        <f t="shared" si="23"/>
        <v>10</v>
      </c>
    </row>
    <row r="603" spans="1:15" x14ac:dyDescent="0.25">
      <c r="A603" s="24">
        <v>43701</v>
      </c>
      <c r="B603" s="2" t="str">
        <f t="shared" si="22"/>
        <v>Sat</v>
      </c>
      <c r="C603" s="7">
        <f>SUMIFS('Leave Management'!$L:$L,'Leave Management'!$C:$C,Detail!$A603,'Leave Management'!$B:$B,Detail!C$1)</f>
        <v>0</v>
      </c>
      <c r="D603" s="7">
        <f>SUMIFS('Leave Management'!$L:$L,'Leave Management'!$C:$C,Detail!$A603,'Leave Management'!$B:$B,Detail!D$1)</f>
        <v>0</v>
      </c>
      <c r="E603" s="7">
        <f>SUMIFS('Leave Management'!$L:$L,'Leave Management'!$C:$C,Detail!$A603,'Leave Management'!$B:$B,Detail!E$1)</f>
        <v>0</v>
      </c>
      <c r="F603" s="7">
        <f>SUMIFS('Leave Management'!$L:$L,'Leave Management'!$C:$C,Detail!$A603,'Leave Management'!$B:$B,Detail!F$1)</f>
        <v>0</v>
      </c>
      <c r="G603" s="7">
        <f>SUMIFS('Leave Management'!$L:$L,'Leave Management'!$C:$C,Detail!$A603,'Leave Management'!$B:$B,Detail!G$1)</f>
        <v>0</v>
      </c>
      <c r="H603" s="7">
        <f>SUMIFS('Leave Management'!$L:$L,'Leave Management'!$C:$C,Detail!$A603,'Leave Management'!$B:$B,Detail!H$1)</f>
        <v>0</v>
      </c>
      <c r="I603" s="7">
        <f>SUMIFS('Leave Management'!$L:$L,'Leave Management'!$C:$C,Detail!$A603,'Leave Management'!$B:$B,Detail!I$1)</f>
        <v>0</v>
      </c>
      <c r="J603" s="7">
        <f>SUMIFS('Leave Management'!$L:$L,'Leave Management'!$C:$C,Detail!$A603,'Leave Management'!$B:$B,Detail!J$1)</f>
        <v>0</v>
      </c>
      <c r="K603" s="7">
        <f>SUMIFS('Leave Management'!$L:$L,'Leave Management'!$C:$C,Detail!$A603,'Leave Management'!$B:$B,Detail!K$1)</f>
        <v>0</v>
      </c>
      <c r="L603" s="7">
        <f>SUMIFS('Leave Management'!$L:$L,'Leave Management'!$C:$C,Detail!$A603,'Leave Management'!$B:$B,Detail!L$1)</f>
        <v>0</v>
      </c>
      <c r="M603" s="7">
        <f>SUMIFS('Leave Management'!$L:$L,'Leave Management'!$C:$C,Detail!$A603,'Leave Management'!$B:$B,Detail!M$1)</f>
        <v>0</v>
      </c>
      <c r="N603" s="7">
        <f>SUMIFS('Leave Management'!$L:$L,'Leave Management'!$C:$C,Detail!$A603,'Leave Management'!$B:$B,Detail!N$1)</f>
        <v>0</v>
      </c>
      <c r="O603" s="7">
        <f t="shared" si="23"/>
        <v>11</v>
      </c>
    </row>
    <row r="604" spans="1:15" x14ac:dyDescent="0.25">
      <c r="A604" s="24">
        <v>43702</v>
      </c>
      <c r="B604" s="2" t="str">
        <f t="shared" si="22"/>
        <v>Sun</v>
      </c>
      <c r="C604" s="7">
        <f>SUMIFS('Leave Management'!$L:$L,'Leave Management'!$C:$C,Detail!$A604,'Leave Management'!$B:$B,Detail!C$1)</f>
        <v>0</v>
      </c>
      <c r="D604" s="7">
        <f>SUMIFS('Leave Management'!$L:$L,'Leave Management'!$C:$C,Detail!$A604,'Leave Management'!$B:$B,Detail!D$1)</f>
        <v>0</v>
      </c>
      <c r="E604" s="7">
        <f>SUMIFS('Leave Management'!$L:$L,'Leave Management'!$C:$C,Detail!$A604,'Leave Management'!$B:$B,Detail!E$1)</f>
        <v>0</v>
      </c>
      <c r="F604" s="7">
        <f>SUMIFS('Leave Management'!$L:$L,'Leave Management'!$C:$C,Detail!$A604,'Leave Management'!$B:$B,Detail!F$1)</f>
        <v>0</v>
      </c>
      <c r="G604" s="7">
        <f>SUMIFS('Leave Management'!$L:$L,'Leave Management'!$C:$C,Detail!$A604,'Leave Management'!$B:$B,Detail!G$1)</f>
        <v>0</v>
      </c>
      <c r="H604" s="7">
        <f>SUMIFS('Leave Management'!$L:$L,'Leave Management'!$C:$C,Detail!$A604,'Leave Management'!$B:$B,Detail!H$1)</f>
        <v>0</v>
      </c>
      <c r="I604" s="7">
        <f>SUMIFS('Leave Management'!$L:$L,'Leave Management'!$C:$C,Detail!$A604,'Leave Management'!$B:$B,Detail!I$1)</f>
        <v>0</v>
      </c>
      <c r="J604" s="7">
        <f>SUMIFS('Leave Management'!$L:$L,'Leave Management'!$C:$C,Detail!$A604,'Leave Management'!$B:$B,Detail!J$1)</f>
        <v>0</v>
      </c>
      <c r="K604" s="7">
        <f>SUMIFS('Leave Management'!$L:$L,'Leave Management'!$C:$C,Detail!$A604,'Leave Management'!$B:$B,Detail!K$1)</f>
        <v>0</v>
      </c>
      <c r="L604" s="7">
        <f>SUMIFS('Leave Management'!$L:$L,'Leave Management'!$C:$C,Detail!$A604,'Leave Management'!$B:$B,Detail!L$1)</f>
        <v>0</v>
      </c>
      <c r="M604" s="7">
        <f>SUMIFS('Leave Management'!$L:$L,'Leave Management'!$C:$C,Detail!$A604,'Leave Management'!$B:$B,Detail!M$1)</f>
        <v>0</v>
      </c>
      <c r="N604" s="7">
        <f>SUMIFS('Leave Management'!$L:$L,'Leave Management'!$C:$C,Detail!$A604,'Leave Management'!$B:$B,Detail!N$1)</f>
        <v>0</v>
      </c>
      <c r="O604" s="7">
        <f t="shared" si="23"/>
        <v>11</v>
      </c>
    </row>
    <row r="605" spans="1:15" x14ac:dyDescent="0.25">
      <c r="A605" s="24">
        <v>43703</v>
      </c>
      <c r="B605" s="2" t="str">
        <f t="shared" si="22"/>
        <v>Mon</v>
      </c>
      <c r="C605" s="7">
        <f>SUMIFS('Leave Management'!$L:$L,'Leave Management'!$C:$C,Detail!$A605,'Leave Management'!$B:$B,Detail!C$1)</f>
        <v>0</v>
      </c>
      <c r="D605" s="7">
        <f>SUMIFS('Leave Management'!$L:$L,'Leave Management'!$C:$C,Detail!$A605,'Leave Management'!$B:$B,Detail!D$1)</f>
        <v>0</v>
      </c>
      <c r="E605" s="7">
        <f>SUMIFS('Leave Management'!$L:$L,'Leave Management'!$C:$C,Detail!$A605,'Leave Management'!$B:$B,Detail!E$1)</f>
        <v>0</v>
      </c>
      <c r="F605" s="7">
        <f>SUMIFS('Leave Management'!$L:$L,'Leave Management'!$C:$C,Detail!$A605,'Leave Management'!$B:$B,Detail!F$1)</f>
        <v>0</v>
      </c>
      <c r="G605" s="7">
        <f>SUMIFS('Leave Management'!$L:$L,'Leave Management'!$C:$C,Detail!$A605,'Leave Management'!$B:$B,Detail!G$1)</f>
        <v>0</v>
      </c>
      <c r="H605" s="7">
        <f>SUMIFS('Leave Management'!$L:$L,'Leave Management'!$C:$C,Detail!$A605,'Leave Management'!$B:$B,Detail!H$1)</f>
        <v>0</v>
      </c>
      <c r="I605" s="7">
        <f>SUMIFS('Leave Management'!$L:$L,'Leave Management'!$C:$C,Detail!$A605,'Leave Management'!$B:$B,Detail!I$1)</f>
        <v>0</v>
      </c>
      <c r="J605" s="7">
        <f>SUMIFS('Leave Management'!$L:$L,'Leave Management'!$C:$C,Detail!$A605,'Leave Management'!$B:$B,Detail!J$1)</f>
        <v>0</v>
      </c>
      <c r="K605" s="7">
        <f>SUMIFS('Leave Management'!$L:$L,'Leave Management'!$C:$C,Detail!$A605,'Leave Management'!$B:$B,Detail!K$1)</f>
        <v>0</v>
      </c>
      <c r="L605" s="7">
        <f>SUMIFS('Leave Management'!$L:$L,'Leave Management'!$C:$C,Detail!$A605,'Leave Management'!$B:$B,Detail!L$1)</f>
        <v>0</v>
      </c>
      <c r="M605" s="7">
        <f>SUMIFS('Leave Management'!$L:$L,'Leave Management'!$C:$C,Detail!$A605,'Leave Management'!$B:$B,Detail!M$1)</f>
        <v>0</v>
      </c>
      <c r="N605" s="7">
        <f>SUMIFS('Leave Management'!$L:$L,'Leave Management'!$C:$C,Detail!$A605,'Leave Management'!$B:$B,Detail!N$1)</f>
        <v>0</v>
      </c>
      <c r="O605" s="7">
        <f t="shared" si="23"/>
        <v>11</v>
      </c>
    </row>
    <row r="606" spans="1:15" x14ac:dyDescent="0.25">
      <c r="A606" s="24">
        <v>43704</v>
      </c>
      <c r="B606" s="2" t="str">
        <f t="shared" si="22"/>
        <v>Tue</v>
      </c>
      <c r="C606" s="7">
        <f>SUMIFS('Leave Management'!$L:$L,'Leave Management'!$C:$C,Detail!$A606,'Leave Management'!$B:$B,Detail!C$1)</f>
        <v>0</v>
      </c>
      <c r="D606" s="7">
        <f>SUMIFS('Leave Management'!$L:$L,'Leave Management'!$C:$C,Detail!$A606,'Leave Management'!$B:$B,Detail!D$1)</f>
        <v>0</v>
      </c>
      <c r="E606" s="7">
        <f>SUMIFS('Leave Management'!$L:$L,'Leave Management'!$C:$C,Detail!$A606,'Leave Management'!$B:$B,Detail!E$1)</f>
        <v>0</v>
      </c>
      <c r="F606" s="7">
        <f>SUMIFS('Leave Management'!$L:$L,'Leave Management'!$C:$C,Detail!$A606,'Leave Management'!$B:$B,Detail!F$1)</f>
        <v>0</v>
      </c>
      <c r="G606" s="7">
        <f>SUMIFS('Leave Management'!$L:$L,'Leave Management'!$C:$C,Detail!$A606,'Leave Management'!$B:$B,Detail!G$1)</f>
        <v>0</v>
      </c>
      <c r="H606" s="7">
        <f>SUMIFS('Leave Management'!$L:$L,'Leave Management'!$C:$C,Detail!$A606,'Leave Management'!$B:$B,Detail!H$1)</f>
        <v>0</v>
      </c>
      <c r="I606" s="7">
        <f>SUMIFS('Leave Management'!$L:$L,'Leave Management'!$C:$C,Detail!$A606,'Leave Management'!$B:$B,Detail!I$1)</f>
        <v>0</v>
      </c>
      <c r="J606" s="7">
        <f>SUMIFS('Leave Management'!$L:$L,'Leave Management'!$C:$C,Detail!$A606,'Leave Management'!$B:$B,Detail!J$1)</f>
        <v>0</v>
      </c>
      <c r="K606" s="7">
        <f>SUMIFS('Leave Management'!$L:$L,'Leave Management'!$C:$C,Detail!$A606,'Leave Management'!$B:$B,Detail!K$1)</f>
        <v>0</v>
      </c>
      <c r="L606" s="7">
        <f>SUMIFS('Leave Management'!$L:$L,'Leave Management'!$C:$C,Detail!$A606,'Leave Management'!$B:$B,Detail!L$1)</f>
        <v>0</v>
      </c>
      <c r="M606" s="7">
        <f>SUMIFS('Leave Management'!$L:$L,'Leave Management'!$C:$C,Detail!$A606,'Leave Management'!$B:$B,Detail!M$1)</f>
        <v>0</v>
      </c>
      <c r="N606" s="7">
        <f>SUMIFS('Leave Management'!$L:$L,'Leave Management'!$C:$C,Detail!$A606,'Leave Management'!$B:$B,Detail!N$1)</f>
        <v>0</v>
      </c>
      <c r="O606" s="7">
        <f t="shared" si="23"/>
        <v>11</v>
      </c>
    </row>
    <row r="607" spans="1:15" x14ac:dyDescent="0.25">
      <c r="A607" s="24">
        <v>43705</v>
      </c>
      <c r="B607" s="2" t="str">
        <f t="shared" si="22"/>
        <v>Wed</v>
      </c>
      <c r="C607" s="7">
        <f>SUMIFS('Leave Management'!$L:$L,'Leave Management'!$C:$C,Detail!$A607,'Leave Management'!$B:$B,Detail!C$1)</f>
        <v>0</v>
      </c>
      <c r="D607" s="7">
        <f>SUMIFS('Leave Management'!$L:$L,'Leave Management'!$C:$C,Detail!$A607,'Leave Management'!$B:$B,Detail!D$1)</f>
        <v>0</v>
      </c>
      <c r="E607" s="7">
        <f>SUMIFS('Leave Management'!$L:$L,'Leave Management'!$C:$C,Detail!$A607,'Leave Management'!$B:$B,Detail!E$1)</f>
        <v>0</v>
      </c>
      <c r="F607" s="7">
        <f>SUMIFS('Leave Management'!$L:$L,'Leave Management'!$C:$C,Detail!$A607,'Leave Management'!$B:$B,Detail!F$1)</f>
        <v>0</v>
      </c>
      <c r="G607" s="7">
        <f>SUMIFS('Leave Management'!$L:$L,'Leave Management'!$C:$C,Detail!$A607,'Leave Management'!$B:$B,Detail!G$1)</f>
        <v>0</v>
      </c>
      <c r="H607" s="7">
        <f>SUMIFS('Leave Management'!$L:$L,'Leave Management'!$C:$C,Detail!$A607,'Leave Management'!$B:$B,Detail!H$1)</f>
        <v>0</v>
      </c>
      <c r="I607" s="7">
        <f>SUMIFS('Leave Management'!$L:$L,'Leave Management'!$C:$C,Detail!$A607,'Leave Management'!$B:$B,Detail!I$1)</f>
        <v>0</v>
      </c>
      <c r="J607" s="7">
        <f>SUMIFS('Leave Management'!$L:$L,'Leave Management'!$C:$C,Detail!$A607,'Leave Management'!$B:$B,Detail!J$1)</f>
        <v>0</v>
      </c>
      <c r="K607" s="7">
        <f>SUMIFS('Leave Management'!$L:$L,'Leave Management'!$C:$C,Detail!$A607,'Leave Management'!$B:$B,Detail!K$1)</f>
        <v>0</v>
      </c>
      <c r="L607" s="7">
        <f>SUMIFS('Leave Management'!$L:$L,'Leave Management'!$C:$C,Detail!$A607,'Leave Management'!$B:$B,Detail!L$1)</f>
        <v>0</v>
      </c>
      <c r="M607" s="7">
        <f>SUMIFS('Leave Management'!$L:$L,'Leave Management'!$C:$C,Detail!$A607,'Leave Management'!$B:$B,Detail!M$1)</f>
        <v>0</v>
      </c>
      <c r="N607" s="7">
        <f>SUMIFS('Leave Management'!$L:$L,'Leave Management'!$C:$C,Detail!$A607,'Leave Management'!$B:$B,Detail!N$1)</f>
        <v>0</v>
      </c>
      <c r="O607" s="7">
        <f t="shared" si="23"/>
        <v>11</v>
      </c>
    </row>
    <row r="608" spans="1:15" x14ac:dyDescent="0.25">
      <c r="A608" s="24">
        <v>43706</v>
      </c>
      <c r="B608" s="2" t="str">
        <f t="shared" si="22"/>
        <v>Thu</v>
      </c>
      <c r="C608" s="7">
        <f>SUMIFS('Leave Management'!$L:$L,'Leave Management'!$C:$C,Detail!$A608,'Leave Management'!$B:$B,Detail!C$1)</f>
        <v>0</v>
      </c>
      <c r="D608" s="7">
        <f>SUMIFS('Leave Management'!$L:$L,'Leave Management'!$C:$C,Detail!$A608,'Leave Management'!$B:$B,Detail!D$1)</f>
        <v>0</v>
      </c>
      <c r="E608" s="7">
        <f>SUMIFS('Leave Management'!$L:$L,'Leave Management'!$C:$C,Detail!$A608,'Leave Management'!$B:$B,Detail!E$1)</f>
        <v>0</v>
      </c>
      <c r="F608" s="7">
        <f>SUMIFS('Leave Management'!$L:$L,'Leave Management'!$C:$C,Detail!$A608,'Leave Management'!$B:$B,Detail!F$1)</f>
        <v>0</v>
      </c>
      <c r="G608" s="7">
        <f>SUMIFS('Leave Management'!$L:$L,'Leave Management'!$C:$C,Detail!$A608,'Leave Management'!$B:$B,Detail!G$1)</f>
        <v>0</v>
      </c>
      <c r="H608" s="7">
        <f>SUMIFS('Leave Management'!$L:$L,'Leave Management'!$C:$C,Detail!$A608,'Leave Management'!$B:$B,Detail!H$1)</f>
        <v>0</v>
      </c>
      <c r="I608" s="7">
        <f>SUMIFS('Leave Management'!$L:$L,'Leave Management'!$C:$C,Detail!$A608,'Leave Management'!$B:$B,Detail!I$1)</f>
        <v>0</v>
      </c>
      <c r="J608" s="7">
        <f>SUMIFS('Leave Management'!$L:$L,'Leave Management'!$C:$C,Detail!$A608,'Leave Management'!$B:$B,Detail!J$1)</f>
        <v>0</v>
      </c>
      <c r="K608" s="7">
        <f>SUMIFS('Leave Management'!$L:$L,'Leave Management'!$C:$C,Detail!$A608,'Leave Management'!$B:$B,Detail!K$1)</f>
        <v>0</v>
      </c>
      <c r="L608" s="7">
        <f>SUMIFS('Leave Management'!$L:$L,'Leave Management'!$C:$C,Detail!$A608,'Leave Management'!$B:$B,Detail!L$1)</f>
        <v>0</v>
      </c>
      <c r="M608" s="7">
        <f>SUMIFS('Leave Management'!$L:$L,'Leave Management'!$C:$C,Detail!$A608,'Leave Management'!$B:$B,Detail!M$1)</f>
        <v>0</v>
      </c>
      <c r="N608" s="7">
        <f>SUMIFS('Leave Management'!$L:$L,'Leave Management'!$C:$C,Detail!$A608,'Leave Management'!$B:$B,Detail!N$1)</f>
        <v>0</v>
      </c>
      <c r="O608" s="7">
        <f t="shared" si="23"/>
        <v>11</v>
      </c>
    </row>
    <row r="609" spans="1:15" x14ac:dyDescent="0.25">
      <c r="A609" s="24">
        <v>43707</v>
      </c>
      <c r="B609" s="2" t="str">
        <f t="shared" si="22"/>
        <v>Fri</v>
      </c>
      <c r="C609" s="7">
        <f>SUMIFS('Leave Management'!$L:$L,'Leave Management'!$C:$C,Detail!$A609,'Leave Management'!$B:$B,Detail!C$1)</f>
        <v>0</v>
      </c>
      <c r="D609" s="7">
        <f>SUMIFS('Leave Management'!$L:$L,'Leave Management'!$C:$C,Detail!$A609,'Leave Management'!$B:$B,Detail!D$1)</f>
        <v>0</v>
      </c>
      <c r="E609" s="7">
        <f>SUMIFS('Leave Management'!$L:$L,'Leave Management'!$C:$C,Detail!$A609,'Leave Management'!$B:$B,Detail!E$1)</f>
        <v>0</v>
      </c>
      <c r="F609" s="7">
        <f>SUMIFS('Leave Management'!$L:$L,'Leave Management'!$C:$C,Detail!$A609,'Leave Management'!$B:$B,Detail!F$1)</f>
        <v>0</v>
      </c>
      <c r="G609" s="7">
        <f>SUMIFS('Leave Management'!$L:$L,'Leave Management'!$C:$C,Detail!$A609,'Leave Management'!$B:$B,Detail!G$1)</f>
        <v>0</v>
      </c>
      <c r="H609" s="7">
        <f>SUMIFS('Leave Management'!$L:$L,'Leave Management'!$C:$C,Detail!$A609,'Leave Management'!$B:$B,Detail!H$1)</f>
        <v>0</v>
      </c>
      <c r="I609" s="7">
        <f>SUMIFS('Leave Management'!$L:$L,'Leave Management'!$C:$C,Detail!$A609,'Leave Management'!$B:$B,Detail!I$1)</f>
        <v>0</v>
      </c>
      <c r="J609" s="7">
        <f>SUMIFS('Leave Management'!$L:$L,'Leave Management'!$C:$C,Detail!$A609,'Leave Management'!$B:$B,Detail!J$1)</f>
        <v>0</v>
      </c>
      <c r="K609" s="7">
        <f>SUMIFS('Leave Management'!$L:$L,'Leave Management'!$C:$C,Detail!$A609,'Leave Management'!$B:$B,Detail!K$1)</f>
        <v>0</v>
      </c>
      <c r="L609" s="7">
        <f>SUMIFS('Leave Management'!$L:$L,'Leave Management'!$C:$C,Detail!$A609,'Leave Management'!$B:$B,Detail!L$1)</f>
        <v>0</v>
      </c>
      <c r="M609" s="7">
        <f>SUMIFS('Leave Management'!$L:$L,'Leave Management'!$C:$C,Detail!$A609,'Leave Management'!$B:$B,Detail!M$1)</f>
        <v>0</v>
      </c>
      <c r="N609" s="7">
        <f>SUMIFS('Leave Management'!$L:$L,'Leave Management'!$C:$C,Detail!$A609,'Leave Management'!$B:$B,Detail!N$1)</f>
        <v>0</v>
      </c>
      <c r="O609" s="7">
        <f t="shared" si="23"/>
        <v>11</v>
      </c>
    </row>
    <row r="610" spans="1:15" x14ac:dyDescent="0.25">
      <c r="A610" s="24">
        <v>43708</v>
      </c>
      <c r="B610" s="2" t="str">
        <f t="shared" si="22"/>
        <v>Sat</v>
      </c>
      <c r="C610" s="7">
        <f>SUMIFS('Leave Management'!$L:$L,'Leave Management'!$C:$C,Detail!$A610,'Leave Management'!$B:$B,Detail!C$1)</f>
        <v>0</v>
      </c>
      <c r="D610" s="7">
        <f>SUMIFS('Leave Management'!$L:$L,'Leave Management'!$C:$C,Detail!$A610,'Leave Management'!$B:$B,Detail!D$1)</f>
        <v>0</v>
      </c>
      <c r="E610" s="7">
        <f>SUMIFS('Leave Management'!$L:$L,'Leave Management'!$C:$C,Detail!$A610,'Leave Management'!$B:$B,Detail!E$1)</f>
        <v>0</v>
      </c>
      <c r="F610" s="7">
        <f>SUMIFS('Leave Management'!$L:$L,'Leave Management'!$C:$C,Detail!$A610,'Leave Management'!$B:$B,Detail!F$1)</f>
        <v>0</v>
      </c>
      <c r="G610" s="7">
        <f>SUMIFS('Leave Management'!$L:$L,'Leave Management'!$C:$C,Detail!$A610,'Leave Management'!$B:$B,Detail!G$1)</f>
        <v>0</v>
      </c>
      <c r="H610" s="7">
        <f>SUMIFS('Leave Management'!$L:$L,'Leave Management'!$C:$C,Detail!$A610,'Leave Management'!$B:$B,Detail!H$1)</f>
        <v>0</v>
      </c>
      <c r="I610" s="7">
        <f>SUMIFS('Leave Management'!$L:$L,'Leave Management'!$C:$C,Detail!$A610,'Leave Management'!$B:$B,Detail!I$1)</f>
        <v>0</v>
      </c>
      <c r="J610" s="7">
        <f>SUMIFS('Leave Management'!$L:$L,'Leave Management'!$C:$C,Detail!$A610,'Leave Management'!$B:$B,Detail!J$1)</f>
        <v>0</v>
      </c>
      <c r="K610" s="7">
        <f>SUMIFS('Leave Management'!$L:$L,'Leave Management'!$C:$C,Detail!$A610,'Leave Management'!$B:$B,Detail!K$1)</f>
        <v>0</v>
      </c>
      <c r="L610" s="7">
        <f>SUMIFS('Leave Management'!$L:$L,'Leave Management'!$C:$C,Detail!$A610,'Leave Management'!$B:$B,Detail!L$1)</f>
        <v>0</v>
      </c>
      <c r="M610" s="7">
        <f>SUMIFS('Leave Management'!$L:$L,'Leave Management'!$C:$C,Detail!$A610,'Leave Management'!$B:$B,Detail!M$1)</f>
        <v>0</v>
      </c>
      <c r="N610" s="7">
        <f>SUMIFS('Leave Management'!$L:$L,'Leave Management'!$C:$C,Detail!$A610,'Leave Management'!$B:$B,Detail!N$1)</f>
        <v>0</v>
      </c>
      <c r="O610" s="7">
        <f t="shared" si="23"/>
        <v>11</v>
      </c>
    </row>
    <row r="611" spans="1:15" x14ac:dyDescent="0.25">
      <c r="A611" s="24">
        <v>43709</v>
      </c>
      <c r="B611" s="2" t="str">
        <f t="shared" si="22"/>
        <v>Sun</v>
      </c>
      <c r="C611" s="7">
        <f>SUMIFS('Leave Management'!$L:$L,'Leave Management'!$C:$C,Detail!$A611,'Leave Management'!$B:$B,Detail!C$1)</f>
        <v>0</v>
      </c>
      <c r="D611" s="7">
        <f>SUMIFS('Leave Management'!$L:$L,'Leave Management'!$C:$C,Detail!$A611,'Leave Management'!$B:$B,Detail!D$1)</f>
        <v>0</v>
      </c>
      <c r="E611" s="7">
        <f>SUMIFS('Leave Management'!$L:$L,'Leave Management'!$C:$C,Detail!$A611,'Leave Management'!$B:$B,Detail!E$1)</f>
        <v>0</v>
      </c>
      <c r="F611" s="7">
        <f>SUMIFS('Leave Management'!$L:$L,'Leave Management'!$C:$C,Detail!$A611,'Leave Management'!$B:$B,Detail!F$1)</f>
        <v>0</v>
      </c>
      <c r="G611" s="7">
        <f>SUMIFS('Leave Management'!$L:$L,'Leave Management'!$C:$C,Detail!$A611,'Leave Management'!$B:$B,Detail!G$1)</f>
        <v>0</v>
      </c>
      <c r="H611" s="7">
        <f>SUMIFS('Leave Management'!$L:$L,'Leave Management'!$C:$C,Detail!$A611,'Leave Management'!$B:$B,Detail!H$1)</f>
        <v>0</v>
      </c>
      <c r="I611" s="7">
        <f>SUMIFS('Leave Management'!$L:$L,'Leave Management'!$C:$C,Detail!$A611,'Leave Management'!$B:$B,Detail!I$1)</f>
        <v>0</v>
      </c>
      <c r="J611" s="7">
        <f>SUMIFS('Leave Management'!$L:$L,'Leave Management'!$C:$C,Detail!$A611,'Leave Management'!$B:$B,Detail!J$1)</f>
        <v>0</v>
      </c>
      <c r="K611" s="7">
        <f>SUMIFS('Leave Management'!$L:$L,'Leave Management'!$C:$C,Detail!$A611,'Leave Management'!$B:$B,Detail!K$1)</f>
        <v>0</v>
      </c>
      <c r="L611" s="7">
        <f>SUMIFS('Leave Management'!$L:$L,'Leave Management'!$C:$C,Detail!$A611,'Leave Management'!$B:$B,Detail!L$1)</f>
        <v>0</v>
      </c>
      <c r="M611" s="7">
        <f>SUMIFS('Leave Management'!$L:$L,'Leave Management'!$C:$C,Detail!$A611,'Leave Management'!$B:$B,Detail!M$1)</f>
        <v>0</v>
      </c>
      <c r="N611" s="7">
        <f>SUMIFS('Leave Management'!$L:$L,'Leave Management'!$C:$C,Detail!$A611,'Leave Management'!$B:$B,Detail!N$1)</f>
        <v>0</v>
      </c>
      <c r="O611" s="7">
        <f t="shared" si="23"/>
        <v>11</v>
      </c>
    </row>
    <row r="612" spans="1:15" x14ac:dyDescent="0.25">
      <c r="A612" s="24">
        <v>43710</v>
      </c>
      <c r="B612" s="2" t="str">
        <f t="shared" si="22"/>
        <v>Mon</v>
      </c>
      <c r="C612" s="7">
        <f>SUMIFS('Leave Management'!$L:$L,'Leave Management'!$C:$C,Detail!$A612,'Leave Management'!$B:$B,Detail!C$1)</f>
        <v>0</v>
      </c>
      <c r="D612" s="7">
        <f>SUMIFS('Leave Management'!$L:$L,'Leave Management'!$C:$C,Detail!$A612,'Leave Management'!$B:$B,Detail!D$1)</f>
        <v>0</v>
      </c>
      <c r="E612" s="7">
        <f>SUMIFS('Leave Management'!$L:$L,'Leave Management'!$C:$C,Detail!$A612,'Leave Management'!$B:$B,Detail!E$1)</f>
        <v>0</v>
      </c>
      <c r="F612" s="7">
        <f>SUMIFS('Leave Management'!$L:$L,'Leave Management'!$C:$C,Detail!$A612,'Leave Management'!$B:$B,Detail!F$1)</f>
        <v>0</v>
      </c>
      <c r="G612" s="7">
        <f>SUMIFS('Leave Management'!$L:$L,'Leave Management'!$C:$C,Detail!$A612,'Leave Management'!$B:$B,Detail!G$1)</f>
        <v>0</v>
      </c>
      <c r="H612" s="7">
        <f>SUMIFS('Leave Management'!$L:$L,'Leave Management'!$C:$C,Detail!$A612,'Leave Management'!$B:$B,Detail!H$1)</f>
        <v>0</v>
      </c>
      <c r="I612" s="7">
        <f>SUMIFS('Leave Management'!$L:$L,'Leave Management'!$C:$C,Detail!$A612,'Leave Management'!$B:$B,Detail!I$1)</f>
        <v>0</v>
      </c>
      <c r="J612" s="7">
        <f>SUMIFS('Leave Management'!$L:$L,'Leave Management'!$C:$C,Detail!$A612,'Leave Management'!$B:$B,Detail!J$1)</f>
        <v>0</v>
      </c>
      <c r="K612" s="7">
        <f>SUMIFS('Leave Management'!$L:$L,'Leave Management'!$C:$C,Detail!$A612,'Leave Management'!$B:$B,Detail!K$1)</f>
        <v>0</v>
      </c>
      <c r="L612" s="7">
        <f>SUMIFS('Leave Management'!$L:$L,'Leave Management'!$C:$C,Detail!$A612,'Leave Management'!$B:$B,Detail!L$1)</f>
        <v>0</v>
      </c>
      <c r="M612" s="7">
        <f>SUMIFS('Leave Management'!$L:$L,'Leave Management'!$C:$C,Detail!$A612,'Leave Management'!$B:$B,Detail!M$1)</f>
        <v>0</v>
      </c>
      <c r="N612" s="7">
        <f>SUMIFS('Leave Management'!$L:$L,'Leave Management'!$C:$C,Detail!$A612,'Leave Management'!$B:$B,Detail!N$1)</f>
        <v>0</v>
      </c>
      <c r="O612" s="7">
        <f t="shared" si="23"/>
        <v>11</v>
      </c>
    </row>
    <row r="613" spans="1:15" x14ac:dyDescent="0.25">
      <c r="A613" s="24">
        <v>43711</v>
      </c>
      <c r="B613" s="2" t="str">
        <f t="shared" si="22"/>
        <v>Tue</v>
      </c>
      <c r="C613" s="7">
        <f>SUMIFS('Leave Management'!$L:$L,'Leave Management'!$C:$C,Detail!$A613,'Leave Management'!$B:$B,Detail!C$1)</f>
        <v>0</v>
      </c>
      <c r="D613" s="7">
        <f>SUMIFS('Leave Management'!$L:$L,'Leave Management'!$C:$C,Detail!$A613,'Leave Management'!$B:$B,Detail!D$1)</f>
        <v>0</v>
      </c>
      <c r="E613" s="7">
        <f>SUMIFS('Leave Management'!$L:$L,'Leave Management'!$C:$C,Detail!$A613,'Leave Management'!$B:$B,Detail!E$1)</f>
        <v>0</v>
      </c>
      <c r="F613" s="7">
        <f>SUMIFS('Leave Management'!$L:$L,'Leave Management'!$C:$C,Detail!$A613,'Leave Management'!$B:$B,Detail!F$1)</f>
        <v>0</v>
      </c>
      <c r="G613" s="7">
        <f>SUMIFS('Leave Management'!$L:$L,'Leave Management'!$C:$C,Detail!$A613,'Leave Management'!$B:$B,Detail!G$1)</f>
        <v>0</v>
      </c>
      <c r="H613" s="7">
        <f>SUMIFS('Leave Management'!$L:$L,'Leave Management'!$C:$C,Detail!$A613,'Leave Management'!$B:$B,Detail!H$1)</f>
        <v>0</v>
      </c>
      <c r="I613" s="7">
        <f>SUMIFS('Leave Management'!$L:$L,'Leave Management'!$C:$C,Detail!$A613,'Leave Management'!$B:$B,Detail!I$1)</f>
        <v>0</v>
      </c>
      <c r="J613" s="7">
        <f>SUMIFS('Leave Management'!$L:$L,'Leave Management'!$C:$C,Detail!$A613,'Leave Management'!$B:$B,Detail!J$1)</f>
        <v>0</v>
      </c>
      <c r="K613" s="7">
        <f>SUMIFS('Leave Management'!$L:$L,'Leave Management'!$C:$C,Detail!$A613,'Leave Management'!$B:$B,Detail!K$1)</f>
        <v>0</v>
      </c>
      <c r="L613" s="7"/>
      <c r="M613" s="7">
        <f>SUMIFS('Leave Management'!$L:$L,'Leave Management'!$C:$C,Detail!$A613,'Leave Management'!$B:$B,Detail!M$1)</f>
        <v>0</v>
      </c>
      <c r="N613" s="7">
        <f>SUMIFS('Leave Management'!$L:$L,'Leave Management'!$C:$C,Detail!$A613,'Leave Management'!$B:$B,Detail!N$1)</f>
        <v>0</v>
      </c>
      <c r="O613" s="7">
        <f t="shared" si="23"/>
        <v>11</v>
      </c>
    </row>
    <row r="614" spans="1:15" x14ac:dyDescent="0.25">
      <c r="A614" s="24">
        <v>43712</v>
      </c>
      <c r="B614" s="2" t="str">
        <f t="shared" si="22"/>
        <v>Wed</v>
      </c>
      <c r="C614" s="7">
        <f>SUMIFS('Leave Management'!$L:$L,'Leave Management'!$C:$C,Detail!$A614,'Leave Management'!$B:$B,Detail!C$1)</f>
        <v>0</v>
      </c>
      <c r="D614" s="7">
        <f>SUMIFS('Leave Management'!$L:$L,'Leave Management'!$C:$C,Detail!$A614,'Leave Management'!$B:$B,Detail!D$1)</f>
        <v>0</v>
      </c>
      <c r="E614" s="7">
        <f>SUMIFS('Leave Management'!$L:$L,'Leave Management'!$C:$C,Detail!$A614,'Leave Management'!$B:$B,Detail!E$1)</f>
        <v>0</v>
      </c>
      <c r="F614" s="7">
        <f>SUMIFS('Leave Management'!$L:$L,'Leave Management'!$C:$C,Detail!$A614,'Leave Management'!$B:$B,Detail!F$1)</f>
        <v>0</v>
      </c>
      <c r="G614" s="7">
        <f>SUMIFS('Leave Management'!$L:$L,'Leave Management'!$C:$C,Detail!$A614,'Leave Management'!$B:$B,Detail!G$1)</f>
        <v>0</v>
      </c>
      <c r="H614" s="7">
        <f>SUMIFS('Leave Management'!$L:$L,'Leave Management'!$C:$C,Detail!$A614,'Leave Management'!$B:$B,Detail!H$1)</f>
        <v>0</v>
      </c>
      <c r="I614" s="7">
        <f>SUMIFS('Leave Management'!$L:$L,'Leave Management'!$C:$C,Detail!$A614,'Leave Management'!$B:$B,Detail!I$1)</f>
        <v>0</v>
      </c>
      <c r="J614" s="7">
        <f>SUMIFS('Leave Management'!$L:$L,'Leave Management'!$C:$C,Detail!$A614,'Leave Management'!$B:$B,Detail!J$1)</f>
        <v>0</v>
      </c>
      <c r="K614" s="7">
        <f>SUMIFS('Leave Management'!$L:$L,'Leave Management'!$C:$C,Detail!$A614,'Leave Management'!$B:$B,Detail!K$1)</f>
        <v>0</v>
      </c>
      <c r="L614" s="7">
        <v>1</v>
      </c>
      <c r="M614" s="7">
        <f>SUMIFS('Leave Management'!$L:$L,'Leave Management'!$C:$C,Detail!$A614,'Leave Management'!$B:$B,Detail!M$1)</f>
        <v>0</v>
      </c>
      <c r="N614" s="7">
        <f>SUMIFS('Leave Management'!$L:$L,'Leave Management'!$C:$C,Detail!$A614,'Leave Management'!$B:$B,Detail!N$1)</f>
        <v>0</v>
      </c>
      <c r="O614" s="7">
        <f t="shared" si="23"/>
        <v>10</v>
      </c>
    </row>
    <row r="615" spans="1:15" x14ac:dyDescent="0.25">
      <c r="A615" s="24">
        <v>43713</v>
      </c>
      <c r="B615" s="2" t="str">
        <f t="shared" si="22"/>
        <v>Thu</v>
      </c>
      <c r="C615" s="7">
        <f>SUMIFS('Leave Management'!$L:$L,'Leave Management'!$C:$C,Detail!$A615,'Leave Management'!$B:$B,Detail!C$1)</f>
        <v>0</v>
      </c>
      <c r="D615" s="7">
        <f>SUMIFS('Leave Management'!$L:$L,'Leave Management'!$C:$C,Detail!$A615,'Leave Management'!$B:$B,Detail!D$1)</f>
        <v>0</v>
      </c>
      <c r="E615" s="7">
        <f>SUMIFS('Leave Management'!$L:$L,'Leave Management'!$C:$C,Detail!$A615,'Leave Management'!$B:$B,Detail!E$1)</f>
        <v>0</v>
      </c>
      <c r="F615" s="7">
        <f>SUMIFS('Leave Management'!$L:$L,'Leave Management'!$C:$C,Detail!$A615,'Leave Management'!$B:$B,Detail!F$1)</f>
        <v>0</v>
      </c>
      <c r="G615" s="7">
        <f>SUMIFS('Leave Management'!$L:$L,'Leave Management'!$C:$C,Detail!$A615,'Leave Management'!$B:$B,Detail!G$1)</f>
        <v>0</v>
      </c>
      <c r="H615" s="7">
        <f>SUMIFS('Leave Management'!$L:$L,'Leave Management'!$C:$C,Detail!$A615,'Leave Management'!$B:$B,Detail!H$1)</f>
        <v>0</v>
      </c>
      <c r="I615" s="7">
        <f>SUMIFS('Leave Management'!$L:$L,'Leave Management'!$C:$C,Detail!$A615,'Leave Management'!$B:$B,Detail!I$1)</f>
        <v>0</v>
      </c>
      <c r="J615" s="7">
        <f>SUMIFS('Leave Management'!$L:$L,'Leave Management'!$C:$C,Detail!$A615,'Leave Management'!$B:$B,Detail!J$1)</f>
        <v>0</v>
      </c>
      <c r="K615" s="7">
        <f>SUMIFS('Leave Management'!$L:$L,'Leave Management'!$C:$C,Detail!$A615,'Leave Management'!$B:$B,Detail!K$1)</f>
        <v>0</v>
      </c>
      <c r="L615" s="7">
        <v>1</v>
      </c>
      <c r="M615" s="7">
        <f>SUMIFS('Leave Management'!$L:$L,'Leave Management'!$C:$C,Detail!$A615,'Leave Management'!$B:$B,Detail!M$1)</f>
        <v>0</v>
      </c>
      <c r="N615" s="7">
        <f>SUMIFS('Leave Management'!$L:$L,'Leave Management'!$C:$C,Detail!$A615,'Leave Management'!$B:$B,Detail!N$1)</f>
        <v>0</v>
      </c>
      <c r="O615" s="7">
        <f t="shared" si="23"/>
        <v>10</v>
      </c>
    </row>
    <row r="616" spans="1:15" x14ac:dyDescent="0.25">
      <c r="A616" s="24">
        <v>43714</v>
      </c>
      <c r="B616" s="2" t="str">
        <f t="shared" si="22"/>
        <v>Fri</v>
      </c>
      <c r="C616" s="7">
        <f>SUMIFS('Leave Management'!$L:$L,'Leave Management'!$C:$C,Detail!$A616,'Leave Management'!$B:$B,Detail!C$1)</f>
        <v>0</v>
      </c>
      <c r="D616" s="7">
        <f>SUMIFS('Leave Management'!$L:$L,'Leave Management'!$C:$C,Detail!$A616,'Leave Management'!$B:$B,Detail!D$1)</f>
        <v>0</v>
      </c>
      <c r="E616" s="7">
        <f>SUMIFS('Leave Management'!$L:$L,'Leave Management'!$C:$C,Detail!$A616,'Leave Management'!$B:$B,Detail!E$1)</f>
        <v>0</v>
      </c>
      <c r="F616" s="7">
        <f>SUMIFS('Leave Management'!$L:$L,'Leave Management'!$C:$C,Detail!$A616,'Leave Management'!$B:$B,Detail!F$1)</f>
        <v>0</v>
      </c>
      <c r="G616" s="7">
        <f>SUMIFS('Leave Management'!$L:$L,'Leave Management'!$C:$C,Detail!$A616,'Leave Management'!$B:$B,Detail!G$1)</f>
        <v>0</v>
      </c>
      <c r="H616" s="7">
        <f>SUMIFS('Leave Management'!$L:$L,'Leave Management'!$C:$C,Detail!$A616,'Leave Management'!$B:$B,Detail!H$1)</f>
        <v>0</v>
      </c>
      <c r="I616" s="7">
        <f>SUMIFS('Leave Management'!$L:$L,'Leave Management'!$C:$C,Detail!$A616,'Leave Management'!$B:$B,Detail!I$1)</f>
        <v>0</v>
      </c>
      <c r="J616" s="7">
        <f>SUMIFS('Leave Management'!$L:$L,'Leave Management'!$C:$C,Detail!$A616,'Leave Management'!$B:$B,Detail!J$1)</f>
        <v>0</v>
      </c>
      <c r="K616" s="7">
        <f>SUMIFS('Leave Management'!$L:$L,'Leave Management'!$C:$C,Detail!$A616,'Leave Management'!$B:$B,Detail!K$1)</f>
        <v>0</v>
      </c>
      <c r="L616" s="7">
        <v>1</v>
      </c>
      <c r="M616" s="7">
        <f>SUMIFS('Leave Management'!$L:$L,'Leave Management'!$C:$C,Detail!$A616,'Leave Management'!$B:$B,Detail!M$1)</f>
        <v>0</v>
      </c>
      <c r="N616" s="7">
        <f>SUMIFS('Leave Management'!$L:$L,'Leave Management'!$C:$C,Detail!$A616,'Leave Management'!$B:$B,Detail!N$1)</f>
        <v>0</v>
      </c>
      <c r="O616" s="7">
        <f t="shared" si="23"/>
        <v>10</v>
      </c>
    </row>
    <row r="617" spans="1:15" x14ac:dyDescent="0.25">
      <c r="A617" s="24">
        <v>43715</v>
      </c>
      <c r="B617" s="2" t="str">
        <f t="shared" si="22"/>
        <v>Sat</v>
      </c>
      <c r="C617" s="7">
        <f>SUMIFS('Leave Management'!$L:$L,'Leave Management'!$C:$C,Detail!$A617,'Leave Management'!$B:$B,Detail!C$1)</f>
        <v>0</v>
      </c>
      <c r="D617" s="7">
        <f>SUMIFS('Leave Management'!$L:$L,'Leave Management'!$C:$C,Detail!$A617,'Leave Management'!$B:$B,Detail!D$1)</f>
        <v>0</v>
      </c>
      <c r="E617" s="7">
        <f>SUMIFS('Leave Management'!$L:$L,'Leave Management'!$C:$C,Detail!$A617,'Leave Management'!$B:$B,Detail!E$1)</f>
        <v>0</v>
      </c>
      <c r="F617" s="7">
        <f>SUMIFS('Leave Management'!$L:$L,'Leave Management'!$C:$C,Detail!$A617,'Leave Management'!$B:$B,Detail!F$1)</f>
        <v>0</v>
      </c>
      <c r="G617" s="7">
        <f>SUMIFS('Leave Management'!$L:$L,'Leave Management'!$C:$C,Detail!$A617,'Leave Management'!$B:$B,Detail!G$1)</f>
        <v>0</v>
      </c>
      <c r="H617" s="7">
        <f>SUMIFS('Leave Management'!$L:$L,'Leave Management'!$C:$C,Detail!$A617,'Leave Management'!$B:$B,Detail!H$1)</f>
        <v>0</v>
      </c>
      <c r="I617" s="7">
        <f>SUMIFS('Leave Management'!$L:$L,'Leave Management'!$C:$C,Detail!$A617,'Leave Management'!$B:$B,Detail!I$1)</f>
        <v>0</v>
      </c>
      <c r="J617" s="7">
        <f>SUMIFS('Leave Management'!$L:$L,'Leave Management'!$C:$C,Detail!$A617,'Leave Management'!$B:$B,Detail!J$1)</f>
        <v>0</v>
      </c>
      <c r="K617" s="7">
        <f>SUMIFS('Leave Management'!$L:$L,'Leave Management'!$C:$C,Detail!$A617,'Leave Management'!$B:$B,Detail!K$1)</f>
        <v>0</v>
      </c>
      <c r="L617" s="7">
        <f>SUMIFS('Leave Management'!$L:$L,'Leave Management'!$C:$C,Detail!$A617,'Leave Management'!$B:$B,Detail!L$1)</f>
        <v>0</v>
      </c>
      <c r="M617" s="7">
        <f>SUMIFS('Leave Management'!$L:$L,'Leave Management'!$C:$C,Detail!$A617,'Leave Management'!$B:$B,Detail!M$1)</f>
        <v>0</v>
      </c>
      <c r="N617" s="7">
        <f>SUMIFS('Leave Management'!$L:$L,'Leave Management'!$C:$C,Detail!$A617,'Leave Management'!$B:$B,Detail!N$1)</f>
        <v>0</v>
      </c>
      <c r="O617" s="7">
        <f t="shared" si="23"/>
        <v>11</v>
      </c>
    </row>
    <row r="618" spans="1:15" x14ac:dyDescent="0.25">
      <c r="A618" s="24">
        <v>43716</v>
      </c>
      <c r="B618" s="2" t="str">
        <f t="shared" si="22"/>
        <v>Sun</v>
      </c>
      <c r="C618" s="7">
        <f>SUMIFS('Leave Management'!$L:$L,'Leave Management'!$C:$C,Detail!$A618,'Leave Management'!$B:$B,Detail!C$1)</f>
        <v>0</v>
      </c>
      <c r="D618" s="7">
        <f>SUMIFS('Leave Management'!$L:$L,'Leave Management'!$C:$C,Detail!$A618,'Leave Management'!$B:$B,Detail!D$1)</f>
        <v>0</v>
      </c>
      <c r="E618" s="7">
        <f>SUMIFS('Leave Management'!$L:$L,'Leave Management'!$C:$C,Detail!$A618,'Leave Management'!$B:$B,Detail!E$1)</f>
        <v>0</v>
      </c>
      <c r="F618" s="7">
        <f>SUMIFS('Leave Management'!$L:$L,'Leave Management'!$C:$C,Detail!$A618,'Leave Management'!$B:$B,Detail!F$1)</f>
        <v>0</v>
      </c>
      <c r="G618" s="7">
        <f>SUMIFS('Leave Management'!$L:$L,'Leave Management'!$C:$C,Detail!$A618,'Leave Management'!$B:$B,Detail!G$1)</f>
        <v>0</v>
      </c>
      <c r="H618" s="7">
        <f>SUMIFS('Leave Management'!$L:$L,'Leave Management'!$C:$C,Detail!$A618,'Leave Management'!$B:$B,Detail!H$1)</f>
        <v>0</v>
      </c>
      <c r="I618" s="7">
        <f>SUMIFS('Leave Management'!$L:$L,'Leave Management'!$C:$C,Detail!$A618,'Leave Management'!$B:$B,Detail!I$1)</f>
        <v>0</v>
      </c>
      <c r="J618" s="7">
        <f>SUMIFS('Leave Management'!$L:$L,'Leave Management'!$C:$C,Detail!$A618,'Leave Management'!$B:$B,Detail!J$1)</f>
        <v>0</v>
      </c>
      <c r="K618" s="7">
        <f>SUMIFS('Leave Management'!$L:$L,'Leave Management'!$C:$C,Detail!$A618,'Leave Management'!$B:$B,Detail!K$1)</f>
        <v>0</v>
      </c>
      <c r="L618" s="7">
        <f>SUMIFS('Leave Management'!$L:$L,'Leave Management'!$C:$C,Detail!$A618,'Leave Management'!$B:$B,Detail!L$1)</f>
        <v>0</v>
      </c>
      <c r="M618" s="7">
        <f>SUMIFS('Leave Management'!$L:$L,'Leave Management'!$C:$C,Detail!$A618,'Leave Management'!$B:$B,Detail!M$1)</f>
        <v>0</v>
      </c>
      <c r="N618" s="7">
        <f>SUMIFS('Leave Management'!$L:$L,'Leave Management'!$C:$C,Detail!$A618,'Leave Management'!$B:$B,Detail!N$1)</f>
        <v>0</v>
      </c>
      <c r="O618" s="7">
        <f t="shared" si="23"/>
        <v>11</v>
      </c>
    </row>
    <row r="619" spans="1:15" x14ac:dyDescent="0.25">
      <c r="A619" s="24">
        <v>43717</v>
      </c>
      <c r="B619" s="2" t="str">
        <f t="shared" si="22"/>
        <v>Mon</v>
      </c>
      <c r="C619" s="7">
        <f>SUMIFS('Leave Management'!$L:$L,'Leave Management'!$C:$C,Detail!$A619,'Leave Management'!$B:$B,Detail!C$1)</f>
        <v>0</v>
      </c>
      <c r="D619" s="7">
        <f>SUMIFS('Leave Management'!$L:$L,'Leave Management'!$C:$C,Detail!$A619,'Leave Management'!$B:$B,Detail!D$1)</f>
        <v>0</v>
      </c>
      <c r="E619" s="7">
        <f>SUMIFS('Leave Management'!$L:$L,'Leave Management'!$C:$C,Detail!$A619,'Leave Management'!$B:$B,Detail!E$1)</f>
        <v>0</v>
      </c>
      <c r="F619" s="7">
        <f>SUMIFS('Leave Management'!$L:$L,'Leave Management'!$C:$C,Detail!$A619,'Leave Management'!$B:$B,Detail!F$1)</f>
        <v>0</v>
      </c>
      <c r="G619" s="7">
        <f>SUMIFS('Leave Management'!$L:$L,'Leave Management'!$C:$C,Detail!$A619,'Leave Management'!$B:$B,Detail!G$1)</f>
        <v>0</v>
      </c>
      <c r="H619" s="7">
        <f>SUMIFS('Leave Management'!$L:$L,'Leave Management'!$C:$C,Detail!$A619,'Leave Management'!$B:$B,Detail!H$1)</f>
        <v>0</v>
      </c>
      <c r="I619" s="7">
        <f>SUMIFS('Leave Management'!$L:$L,'Leave Management'!$C:$C,Detail!$A619,'Leave Management'!$B:$B,Detail!I$1)</f>
        <v>0</v>
      </c>
      <c r="J619" s="7">
        <f>SUMIFS('Leave Management'!$L:$L,'Leave Management'!$C:$C,Detail!$A619,'Leave Management'!$B:$B,Detail!J$1)</f>
        <v>0</v>
      </c>
      <c r="K619" s="7">
        <f>SUMIFS('Leave Management'!$L:$L,'Leave Management'!$C:$C,Detail!$A619,'Leave Management'!$B:$B,Detail!K$1)</f>
        <v>0</v>
      </c>
      <c r="L619" s="7">
        <f>SUMIFS('Leave Management'!$L:$L,'Leave Management'!$C:$C,Detail!$A619,'Leave Management'!$B:$B,Detail!L$1)</f>
        <v>0</v>
      </c>
      <c r="M619" s="7">
        <f>SUMIFS('Leave Management'!$L:$L,'Leave Management'!$C:$C,Detail!$A619,'Leave Management'!$B:$B,Detail!M$1)</f>
        <v>0</v>
      </c>
      <c r="N619" s="7">
        <f>SUMIFS('Leave Management'!$L:$L,'Leave Management'!$C:$C,Detail!$A619,'Leave Management'!$B:$B,Detail!N$1)</f>
        <v>0</v>
      </c>
      <c r="O619" s="7">
        <f t="shared" si="23"/>
        <v>11</v>
      </c>
    </row>
    <row r="620" spans="1:15" x14ac:dyDescent="0.25">
      <c r="A620" s="24">
        <v>43718</v>
      </c>
      <c r="B620" s="2" t="str">
        <f t="shared" si="22"/>
        <v>Tue</v>
      </c>
      <c r="C620" s="7">
        <f>SUMIFS('Leave Management'!$L:$L,'Leave Management'!$C:$C,Detail!$A620,'Leave Management'!$B:$B,Detail!C$1)</f>
        <v>0</v>
      </c>
      <c r="D620" s="7">
        <f>SUMIFS('Leave Management'!$L:$L,'Leave Management'!$C:$C,Detail!$A620,'Leave Management'!$B:$B,Detail!D$1)</f>
        <v>0</v>
      </c>
      <c r="E620" s="7">
        <f>SUMIFS('Leave Management'!$L:$L,'Leave Management'!$C:$C,Detail!$A620,'Leave Management'!$B:$B,Detail!E$1)</f>
        <v>0</v>
      </c>
      <c r="F620" s="7">
        <f>SUMIFS('Leave Management'!$L:$L,'Leave Management'!$C:$C,Detail!$A620,'Leave Management'!$B:$B,Detail!F$1)</f>
        <v>0</v>
      </c>
      <c r="G620" s="7">
        <f>SUMIFS('Leave Management'!$L:$L,'Leave Management'!$C:$C,Detail!$A620,'Leave Management'!$B:$B,Detail!G$1)</f>
        <v>0</v>
      </c>
      <c r="H620" s="7">
        <f>SUMIFS('Leave Management'!$L:$L,'Leave Management'!$C:$C,Detail!$A620,'Leave Management'!$B:$B,Detail!H$1)</f>
        <v>0</v>
      </c>
      <c r="I620" s="7">
        <f>SUMIFS('Leave Management'!$L:$L,'Leave Management'!$C:$C,Detail!$A620,'Leave Management'!$B:$B,Detail!I$1)</f>
        <v>0</v>
      </c>
      <c r="J620" s="7">
        <f>SUMIFS('Leave Management'!$L:$L,'Leave Management'!$C:$C,Detail!$A620,'Leave Management'!$B:$B,Detail!J$1)</f>
        <v>0</v>
      </c>
      <c r="K620" s="7">
        <f>SUMIFS('Leave Management'!$L:$L,'Leave Management'!$C:$C,Detail!$A620,'Leave Management'!$B:$B,Detail!K$1)</f>
        <v>0</v>
      </c>
      <c r="L620" s="7">
        <f>SUMIFS('Leave Management'!$L:$L,'Leave Management'!$C:$C,Detail!$A620,'Leave Management'!$B:$B,Detail!L$1)</f>
        <v>0</v>
      </c>
      <c r="M620" s="7">
        <f>SUMIFS('Leave Management'!$L:$L,'Leave Management'!$C:$C,Detail!$A620,'Leave Management'!$B:$B,Detail!M$1)</f>
        <v>0</v>
      </c>
      <c r="N620" s="7">
        <f>SUMIFS('Leave Management'!$L:$L,'Leave Management'!$C:$C,Detail!$A620,'Leave Management'!$B:$B,Detail!N$1)</f>
        <v>0</v>
      </c>
      <c r="O620" s="7">
        <f t="shared" si="23"/>
        <v>11</v>
      </c>
    </row>
    <row r="621" spans="1:15" x14ac:dyDescent="0.25">
      <c r="A621" s="24">
        <v>43719</v>
      </c>
      <c r="B621" s="2" t="str">
        <f t="shared" si="22"/>
        <v>Wed</v>
      </c>
      <c r="C621" s="7">
        <f>SUMIFS('Leave Management'!$L:$L,'Leave Management'!$C:$C,Detail!$A621,'Leave Management'!$B:$B,Detail!C$1)</f>
        <v>0</v>
      </c>
      <c r="D621" s="7">
        <f>SUMIFS('Leave Management'!$L:$L,'Leave Management'!$C:$C,Detail!$A621,'Leave Management'!$B:$B,Detail!D$1)</f>
        <v>0</v>
      </c>
      <c r="E621" s="7">
        <f>SUMIFS('Leave Management'!$L:$L,'Leave Management'!$C:$C,Detail!$A621,'Leave Management'!$B:$B,Detail!E$1)</f>
        <v>0</v>
      </c>
      <c r="F621" s="7">
        <f>SUMIFS('Leave Management'!$L:$L,'Leave Management'!$C:$C,Detail!$A621,'Leave Management'!$B:$B,Detail!F$1)</f>
        <v>0</v>
      </c>
      <c r="G621" s="7">
        <f>SUMIFS('Leave Management'!$L:$L,'Leave Management'!$C:$C,Detail!$A621,'Leave Management'!$B:$B,Detail!G$1)</f>
        <v>0</v>
      </c>
      <c r="H621" s="7">
        <f>SUMIFS('Leave Management'!$L:$L,'Leave Management'!$C:$C,Detail!$A621,'Leave Management'!$B:$B,Detail!H$1)</f>
        <v>0</v>
      </c>
      <c r="I621" s="7">
        <f>SUMIFS('Leave Management'!$L:$L,'Leave Management'!$C:$C,Detail!$A621,'Leave Management'!$B:$B,Detail!I$1)</f>
        <v>0</v>
      </c>
      <c r="J621" s="7">
        <f>SUMIFS('Leave Management'!$L:$L,'Leave Management'!$C:$C,Detail!$A621,'Leave Management'!$B:$B,Detail!J$1)</f>
        <v>0</v>
      </c>
      <c r="K621" s="7">
        <f>SUMIFS('Leave Management'!$L:$L,'Leave Management'!$C:$C,Detail!$A621,'Leave Management'!$B:$B,Detail!K$1)</f>
        <v>0</v>
      </c>
      <c r="L621" s="7">
        <f>SUMIFS('Leave Management'!$L:$L,'Leave Management'!$C:$C,Detail!$A621,'Leave Management'!$B:$B,Detail!L$1)</f>
        <v>0</v>
      </c>
      <c r="M621" s="7">
        <f>SUMIFS('Leave Management'!$L:$L,'Leave Management'!$C:$C,Detail!$A621,'Leave Management'!$B:$B,Detail!M$1)</f>
        <v>0</v>
      </c>
      <c r="N621" s="7">
        <f>SUMIFS('Leave Management'!$L:$L,'Leave Management'!$C:$C,Detail!$A621,'Leave Management'!$B:$B,Detail!N$1)</f>
        <v>0</v>
      </c>
      <c r="O621" s="7">
        <f t="shared" si="23"/>
        <v>11</v>
      </c>
    </row>
    <row r="622" spans="1:15" x14ac:dyDescent="0.25">
      <c r="A622" s="24">
        <v>43720</v>
      </c>
      <c r="B622" s="2" t="str">
        <f t="shared" si="22"/>
        <v>Thu</v>
      </c>
      <c r="C622" s="7">
        <f>SUMIFS('Leave Management'!$L:$L,'Leave Management'!$C:$C,Detail!$A622,'Leave Management'!$B:$B,Detail!C$1)</f>
        <v>0</v>
      </c>
      <c r="D622" s="7">
        <v>1</v>
      </c>
      <c r="E622" s="7">
        <f>SUMIFS('Leave Management'!$L:$L,'Leave Management'!$C:$C,Detail!$A622,'Leave Management'!$B:$B,Detail!E$1)</f>
        <v>0</v>
      </c>
      <c r="F622" s="7">
        <f>SUMIFS('Leave Management'!$L:$L,'Leave Management'!$C:$C,Detail!$A622,'Leave Management'!$B:$B,Detail!F$1)</f>
        <v>0</v>
      </c>
      <c r="G622" s="7">
        <f>SUMIFS('Leave Management'!$L:$L,'Leave Management'!$C:$C,Detail!$A622,'Leave Management'!$B:$B,Detail!G$1)</f>
        <v>0</v>
      </c>
      <c r="H622" s="7">
        <f>SUMIFS('Leave Management'!$L:$L,'Leave Management'!$C:$C,Detail!$A622,'Leave Management'!$B:$B,Detail!H$1)</f>
        <v>0</v>
      </c>
      <c r="I622" s="7">
        <f>SUMIFS('Leave Management'!$L:$L,'Leave Management'!$C:$C,Detail!$A622,'Leave Management'!$B:$B,Detail!I$1)</f>
        <v>0</v>
      </c>
      <c r="J622" s="7">
        <f>SUMIFS('Leave Management'!$L:$L,'Leave Management'!$C:$C,Detail!$A622,'Leave Management'!$B:$B,Detail!J$1)</f>
        <v>0</v>
      </c>
      <c r="K622" s="7">
        <f>SUMIFS('Leave Management'!$L:$L,'Leave Management'!$C:$C,Detail!$A622,'Leave Management'!$B:$B,Detail!K$1)</f>
        <v>0</v>
      </c>
      <c r="L622" s="7">
        <f>SUMIFS('Leave Management'!$L:$L,'Leave Management'!$C:$C,Detail!$A622,'Leave Management'!$B:$B,Detail!L$1)</f>
        <v>0</v>
      </c>
      <c r="M622" s="7">
        <f>SUMIFS('Leave Management'!$L:$L,'Leave Management'!$C:$C,Detail!$A622,'Leave Management'!$B:$B,Detail!M$1)</f>
        <v>0</v>
      </c>
      <c r="N622" s="7">
        <f>SUMIFS('Leave Management'!$L:$L,'Leave Management'!$C:$C,Detail!$A622,'Leave Management'!$B:$B,Detail!N$1)</f>
        <v>0</v>
      </c>
      <c r="O622" s="7">
        <f t="shared" si="23"/>
        <v>10</v>
      </c>
    </row>
    <row r="623" spans="1:15" x14ac:dyDescent="0.25">
      <c r="A623" s="24">
        <v>43721</v>
      </c>
      <c r="B623" s="2" t="str">
        <f t="shared" si="22"/>
        <v>Fri</v>
      </c>
      <c r="C623" s="7">
        <f>SUMIFS('Leave Management'!$L:$L,'Leave Management'!$C:$C,Detail!$A623,'Leave Management'!$B:$B,Detail!C$1)</f>
        <v>0</v>
      </c>
      <c r="D623" s="7">
        <f>SUMIFS('Leave Management'!$L:$L,'Leave Management'!$C:$C,Detail!$A623,'Leave Management'!$B:$B,Detail!D$1)</f>
        <v>0</v>
      </c>
      <c r="E623" s="7">
        <v>1</v>
      </c>
      <c r="F623" s="7">
        <f>SUMIFS('Leave Management'!$L:$L,'Leave Management'!$C:$C,Detail!$A623,'Leave Management'!$B:$B,Detail!F$1)</f>
        <v>0</v>
      </c>
      <c r="G623" s="7">
        <f>SUMIFS('Leave Management'!$L:$L,'Leave Management'!$C:$C,Detail!$A623,'Leave Management'!$B:$B,Detail!G$1)</f>
        <v>0</v>
      </c>
      <c r="H623" s="7">
        <f>SUMIFS('Leave Management'!$L:$L,'Leave Management'!$C:$C,Detail!$A623,'Leave Management'!$B:$B,Detail!H$1)</f>
        <v>0</v>
      </c>
      <c r="I623" s="7">
        <f>SUMIFS('Leave Management'!$L:$L,'Leave Management'!$C:$C,Detail!$A623,'Leave Management'!$B:$B,Detail!I$1)</f>
        <v>0</v>
      </c>
      <c r="J623" s="7">
        <f>SUMIFS('Leave Management'!$L:$L,'Leave Management'!$C:$C,Detail!$A623,'Leave Management'!$B:$B,Detail!J$1)</f>
        <v>0</v>
      </c>
      <c r="K623" s="7"/>
      <c r="L623" s="7">
        <f>SUMIFS('Leave Management'!$L:$L,'Leave Management'!$C:$C,Detail!$A623,'Leave Management'!$B:$B,Detail!L$1)</f>
        <v>0</v>
      </c>
      <c r="M623" s="7">
        <f>SUMIFS('Leave Management'!$L:$L,'Leave Management'!$C:$C,Detail!$A623,'Leave Management'!$B:$B,Detail!M$1)</f>
        <v>0</v>
      </c>
      <c r="N623" s="7">
        <f>SUMIFS('Leave Management'!$L:$L,'Leave Management'!$C:$C,Detail!$A623,'Leave Management'!$B:$B,Detail!N$1)</f>
        <v>0</v>
      </c>
      <c r="O623" s="7">
        <f t="shared" si="23"/>
        <v>10</v>
      </c>
    </row>
    <row r="624" spans="1:15" x14ac:dyDescent="0.25">
      <c r="A624" s="24">
        <v>43722</v>
      </c>
      <c r="B624" s="2" t="str">
        <f t="shared" si="22"/>
        <v>Sat</v>
      </c>
      <c r="C624" s="7">
        <f>SUMIFS('Leave Management'!$L:$L,'Leave Management'!$C:$C,Detail!$A624,'Leave Management'!$B:$B,Detail!C$1)</f>
        <v>0</v>
      </c>
      <c r="D624" s="7">
        <f>SUMIFS('Leave Management'!$L:$L,'Leave Management'!$C:$C,Detail!$A624,'Leave Management'!$B:$B,Detail!D$1)</f>
        <v>0</v>
      </c>
      <c r="E624" s="7">
        <f>SUMIFS('Leave Management'!$L:$L,'Leave Management'!$C:$C,Detail!$A624,'Leave Management'!$B:$B,Detail!E$1)</f>
        <v>0</v>
      </c>
      <c r="F624" s="7">
        <f>SUMIFS('Leave Management'!$L:$L,'Leave Management'!$C:$C,Detail!$A624,'Leave Management'!$B:$B,Detail!F$1)</f>
        <v>0</v>
      </c>
      <c r="G624" s="7">
        <f>SUMIFS('Leave Management'!$L:$L,'Leave Management'!$C:$C,Detail!$A624,'Leave Management'!$B:$B,Detail!G$1)</f>
        <v>0</v>
      </c>
      <c r="H624" s="7">
        <f>SUMIFS('Leave Management'!$L:$L,'Leave Management'!$C:$C,Detail!$A624,'Leave Management'!$B:$B,Detail!H$1)</f>
        <v>0</v>
      </c>
      <c r="I624" s="7">
        <f>SUMIFS('Leave Management'!$L:$L,'Leave Management'!$C:$C,Detail!$A624,'Leave Management'!$B:$B,Detail!I$1)</f>
        <v>0</v>
      </c>
      <c r="J624" s="7">
        <f>SUMIFS('Leave Management'!$L:$L,'Leave Management'!$C:$C,Detail!$A624,'Leave Management'!$B:$B,Detail!J$1)</f>
        <v>0</v>
      </c>
      <c r="K624" s="7">
        <f>SUMIFS('Leave Management'!$L:$L,'Leave Management'!$C:$C,Detail!$A624,'Leave Management'!$B:$B,Detail!K$1)</f>
        <v>0</v>
      </c>
      <c r="L624" s="7">
        <f>SUMIFS('Leave Management'!$L:$L,'Leave Management'!$C:$C,Detail!$A624,'Leave Management'!$B:$B,Detail!L$1)</f>
        <v>0</v>
      </c>
      <c r="M624" s="7">
        <f>SUMIFS('Leave Management'!$L:$L,'Leave Management'!$C:$C,Detail!$A624,'Leave Management'!$B:$B,Detail!M$1)</f>
        <v>0</v>
      </c>
      <c r="N624" s="7">
        <f>SUMIFS('Leave Management'!$L:$L,'Leave Management'!$C:$C,Detail!$A624,'Leave Management'!$B:$B,Detail!N$1)</f>
        <v>0</v>
      </c>
      <c r="O624" s="7">
        <f t="shared" si="23"/>
        <v>11</v>
      </c>
    </row>
    <row r="625" spans="1:15" x14ac:dyDescent="0.25">
      <c r="A625" s="24">
        <v>43723</v>
      </c>
      <c r="B625" s="2" t="str">
        <f t="shared" si="22"/>
        <v>Sun</v>
      </c>
      <c r="C625" s="7">
        <f>SUMIFS('Leave Management'!$L:$L,'Leave Management'!$C:$C,Detail!$A625,'Leave Management'!$B:$B,Detail!C$1)</f>
        <v>0</v>
      </c>
      <c r="D625" s="7">
        <f>SUMIFS('Leave Management'!$L:$L,'Leave Management'!$C:$C,Detail!$A625,'Leave Management'!$B:$B,Detail!D$1)</f>
        <v>0</v>
      </c>
      <c r="E625" s="7">
        <f>SUMIFS('Leave Management'!$L:$L,'Leave Management'!$C:$C,Detail!$A625,'Leave Management'!$B:$B,Detail!E$1)</f>
        <v>0</v>
      </c>
      <c r="F625" s="7">
        <f>SUMIFS('Leave Management'!$L:$L,'Leave Management'!$C:$C,Detail!$A625,'Leave Management'!$B:$B,Detail!F$1)</f>
        <v>0</v>
      </c>
      <c r="G625" s="7">
        <f>SUMIFS('Leave Management'!$L:$L,'Leave Management'!$C:$C,Detail!$A625,'Leave Management'!$B:$B,Detail!G$1)</f>
        <v>0</v>
      </c>
      <c r="H625" s="7">
        <f>SUMIFS('Leave Management'!$L:$L,'Leave Management'!$C:$C,Detail!$A625,'Leave Management'!$B:$B,Detail!H$1)</f>
        <v>0</v>
      </c>
      <c r="I625" s="7">
        <f>SUMIFS('Leave Management'!$L:$L,'Leave Management'!$C:$C,Detail!$A625,'Leave Management'!$B:$B,Detail!I$1)</f>
        <v>0</v>
      </c>
      <c r="J625" s="7">
        <f>SUMIFS('Leave Management'!$L:$L,'Leave Management'!$C:$C,Detail!$A625,'Leave Management'!$B:$B,Detail!J$1)</f>
        <v>0</v>
      </c>
      <c r="K625" s="7">
        <f>SUMIFS('Leave Management'!$L:$L,'Leave Management'!$C:$C,Detail!$A625,'Leave Management'!$B:$B,Detail!K$1)</f>
        <v>0</v>
      </c>
      <c r="L625" s="7">
        <f>SUMIFS('Leave Management'!$L:$L,'Leave Management'!$C:$C,Detail!$A625,'Leave Management'!$B:$B,Detail!L$1)</f>
        <v>0</v>
      </c>
      <c r="M625" s="7">
        <f>SUMIFS('Leave Management'!$L:$L,'Leave Management'!$C:$C,Detail!$A625,'Leave Management'!$B:$B,Detail!M$1)</f>
        <v>0</v>
      </c>
      <c r="N625" s="7">
        <f>SUMIFS('Leave Management'!$L:$L,'Leave Management'!$C:$C,Detail!$A625,'Leave Management'!$B:$B,Detail!N$1)</f>
        <v>0</v>
      </c>
      <c r="O625" s="7">
        <f t="shared" si="23"/>
        <v>11</v>
      </c>
    </row>
    <row r="626" spans="1:15" x14ac:dyDescent="0.25">
      <c r="A626" s="24">
        <v>43724</v>
      </c>
      <c r="B626" s="2" t="str">
        <f t="shared" si="22"/>
        <v>Mon</v>
      </c>
      <c r="C626" s="7">
        <f>SUMIFS('Leave Management'!$L:$L,'Leave Management'!$C:$C,Detail!$A626,'Leave Management'!$B:$B,Detail!C$1)</f>
        <v>0</v>
      </c>
      <c r="D626" s="7">
        <f>SUMIFS('Leave Management'!$L:$L,'Leave Management'!$C:$C,Detail!$A626,'Leave Management'!$B:$B,Detail!D$1)</f>
        <v>0</v>
      </c>
      <c r="E626" s="7">
        <f>SUMIFS('Leave Management'!$L:$L,'Leave Management'!$C:$C,Detail!$A626,'Leave Management'!$B:$B,Detail!E$1)</f>
        <v>0</v>
      </c>
      <c r="F626" s="7">
        <f>SUMIFS('Leave Management'!$L:$L,'Leave Management'!$C:$C,Detail!$A626,'Leave Management'!$B:$B,Detail!F$1)</f>
        <v>0</v>
      </c>
      <c r="G626" s="7">
        <f>SUMIFS('Leave Management'!$L:$L,'Leave Management'!$C:$C,Detail!$A626,'Leave Management'!$B:$B,Detail!G$1)</f>
        <v>0</v>
      </c>
      <c r="H626" s="7">
        <f>SUMIFS('Leave Management'!$L:$L,'Leave Management'!$C:$C,Detail!$A626,'Leave Management'!$B:$B,Detail!H$1)</f>
        <v>0</v>
      </c>
      <c r="I626" s="7">
        <f>SUMIFS('Leave Management'!$L:$L,'Leave Management'!$C:$C,Detail!$A626,'Leave Management'!$B:$B,Detail!I$1)</f>
        <v>0</v>
      </c>
      <c r="J626" s="7">
        <v>1</v>
      </c>
      <c r="K626" s="7">
        <f>SUMIFS('Leave Management'!$L:$L,'Leave Management'!$C:$C,Detail!$A626,'Leave Management'!$B:$B,Detail!K$1)</f>
        <v>0</v>
      </c>
      <c r="L626" s="7">
        <f>SUMIFS('Leave Management'!$L:$L,'Leave Management'!$C:$C,Detail!$A626,'Leave Management'!$B:$B,Detail!L$1)</f>
        <v>0</v>
      </c>
      <c r="M626" s="7">
        <f>SUMIFS('Leave Management'!$L:$L,'Leave Management'!$C:$C,Detail!$A626,'Leave Management'!$B:$B,Detail!M$1)</f>
        <v>0</v>
      </c>
      <c r="N626" s="7">
        <f>SUMIFS('Leave Management'!$L:$L,'Leave Management'!$C:$C,Detail!$A626,'Leave Management'!$B:$B,Detail!N$1)</f>
        <v>0</v>
      </c>
      <c r="O626" s="7">
        <f t="shared" si="23"/>
        <v>10</v>
      </c>
    </row>
    <row r="627" spans="1:15" x14ac:dyDescent="0.25">
      <c r="A627" s="24">
        <v>43725</v>
      </c>
      <c r="B627" s="2" t="str">
        <f t="shared" si="22"/>
        <v>Tue</v>
      </c>
      <c r="C627" s="7">
        <f>SUMIFS('Leave Management'!$L:$L,'Leave Management'!$C:$C,Detail!$A627,'Leave Management'!$B:$B,Detail!C$1)</f>
        <v>0</v>
      </c>
      <c r="D627" s="7">
        <f>SUMIFS('Leave Management'!$L:$L,'Leave Management'!$C:$C,Detail!$A627,'Leave Management'!$B:$B,Detail!D$1)</f>
        <v>0</v>
      </c>
      <c r="E627" s="7">
        <f>SUMIFS('Leave Management'!$L:$L,'Leave Management'!$C:$C,Detail!$A627,'Leave Management'!$B:$B,Detail!E$1)</f>
        <v>0</v>
      </c>
      <c r="F627" s="7">
        <f>SUMIFS('Leave Management'!$L:$L,'Leave Management'!$C:$C,Detail!$A627,'Leave Management'!$B:$B,Detail!F$1)</f>
        <v>0</v>
      </c>
      <c r="G627" s="7">
        <f>SUMIFS('Leave Management'!$L:$L,'Leave Management'!$C:$C,Detail!$A627,'Leave Management'!$B:$B,Detail!G$1)</f>
        <v>0</v>
      </c>
      <c r="H627" s="7">
        <f>SUMIFS('Leave Management'!$L:$L,'Leave Management'!$C:$C,Detail!$A627,'Leave Management'!$B:$B,Detail!H$1)</f>
        <v>0</v>
      </c>
      <c r="I627" s="7">
        <f>SUMIFS('Leave Management'!$L:$L,'Leave Management'!$C:$C,Detail!$A627,'Leave Management'!$B:$B,Detail!I$1)</f>
        <v>0</v>
      </c>
      <c r="J627" s="7">
        <v>1</v>
      </c>
      <c r="K627" s="7">
        <f>SUMIFS('Leave Management'!$L:$L,'Leave Management'!$C:$C,Detail!$A627,'Leave Management'!$B:$B,Detail!K$1)</f>
        <v>0</v>
      </c>
      <c r="L627" s="7">
        <f>SUMIFS('Leave Management'!$L:$L,'Leave Management'!$C:$C,Detail!$A627,'Leave Management'!$B:$B,Detail!L$1)</f>
        <v>0</v>
      </c>
      <c r="M627" s="7">
        <f>SUMIFS('Leave Management'!$L:$L,'Leave Management'!$C:$C,Detail!$A627,'Leave Management'!$B:$B,Detail!M$1)</f>
        <v>0</v>
      </c>
      <c r="N627" s="7">
        <f>SUMIFS('Leave Management'!$L:$L,'Leave Management'!$C:$C,Detail!$A627,'Leave Management'!$B:$B,Detail!N$1)</f>
        <v>0</v>
      </c>
      <c r="O627" s="7">
        <f t="shared" si="23"/>
        <v>10</v>
      </c>
    </row>
    <row r="628" spans="1:15" x14ac:dyDescent="0.25">
      <c r="A628" s="24">
        <v>43726</v>
      </c>
      <c r="B628" s="2" t="str">
        <f t="shared" si="22"/>
        <v>Wed</v>
      </c>
      <c r="C628" s="7">
        <f>SUMIFS('Leave Management'!$L:$L,'Leave Management'!$C:$C,Detail!$A628,'Leave Management'!$B:$B,Detail!C$1)</f>
        <v>0</v>
      </c>
      <c r="D628" s="7">
        <f>SUMIFS('Leave Management'!$L:$L,'Leave Management'!$C:$C,Detail!$A628,'Leave Management'!$B:$B,Detail!D$1)</f>
        <v>0</v>
      </c>
      <c r="E628" s="7">
        <f>SUMIFS('Leave Management'!$L:$L,'Leave Management'!$C:$C,Detail!$A628,'Leave Management'!$B:$B,Detail!E$1)</f>
        <v>0</v>
      </c>
      <c r="F628" s="7">
        <f>SUMIFS('Leave Management'!$L:$L,'Leave Management'!$C:$C,Detail!$A628,'Leave Management'!$B:$B,Detail!F$1)</f>
        <v>0</v>
      </c>
      <c r="G628" s="7">
        <f>SUMIFS('Leave Management'!$L:$L,'Leave Management'!$C:$C,Detail!$A628,'Leave Management'!$B:$B,Detail!G$1)</f>
        <v>0</v>
      </c>
      <c r="H628" s="7">
        <f>SUMIFS('Leave Management'!$L:$L,'Leave Management'!$C:$C,Detail!$A628,'Leave Management'!$B:$B,Detail!H$1)</f>
        <v>0</v>
      </c>
      <c r="I628" s="7">
        <f>SUMIFS('Leave Management'!$L:$L,'Leave Management'!$C:$C,Detail!$A628,'Leave Management'!$B:$B,Detail!I$1)</f>
        <v>0</v>
      </c>
      <c r="J628" s="7">
        <f>SUMIFS('Leave Management'!$L:$L,'Leave Management'!$C:$C,Detail!$A628,'Leave Management'!$B:$B,Detail!J$1)</f>
        <v>0</v>
      </c>
      <c r="K628" s="7">
        <f>SUMIFS('Leave Management'!$L:$L,'Leave Management'!$C:$C,Detail!$A628,'Leave Management'!$B:$B,Detail!K$1)</f>
        <v>0</v>
      </c>
      <c r="L628" s="7">
        <f>SUMIFS('Leave Management'!$L:$L,'Leave Management'!$C:$C,Detail!$A628,'Leave Management'!$B:$B,Detail!L$1)</f>
        <v>0</v>
      </c>
      <c r="M628" s="7">
        <f>SUMIFS('Leave Management'!$L:$L,'Leave Management'!$C:$C,Detail!$A628,'Leave Management'!$B:$B,Detail!M$1)</f>
        <v>0</v>
      </c>
      <c r="N628" s="7">
        <f>SUMIFS('Leave Management'!$L:$L,'Leave Management'!$C:$C,Detail!$A628,'Leave Management'!$B:$B,Detail!N$1)</f>
        <v>0</v>
      </c>
      <c r="O628" s="7">
        <f t="shared" si="23"/>
        <v>11</v>
      </c>
    </row>
    <row r="629" spans="1:15" x14ac:dyDescent="0.25">
      <c r="A629" s="24">
        <v>43727</v>
      </c>
      <c r="B629" s="2" t="str">
        <f t="shared" si="22"/>
        <v>Thu</v>
      </c>
      <c r="C629" s="7">
        <f>SUMIFS('Leave Management'!$L:$L,'Leave Management'!$C:$C,Detail!$A629,'Leave Management'!$B:$B,Detail!C$1)</f>
        <v>0</v>
      </c>
      <c r="D629" s="7">
        <f>SUMIFS('Leave Management'!$L:$L,'Leave Management'!$C:$C,Detail!$A629,'Leave Management'!$B:$B,Detail!D$1)</f>
        <v>0</v>
      </c>
      <c r="E629" s="7">
        <f>SUMIFS('Leave Management'!$L:$L,'Leave Management'!$C:$C,Detail!$A629,'Leave Management'!$B:$B,Detail!E$1)</f>
        <v>0</v>
      </c>
      <c r="F629" s="7">
        <f>SUMIFS('Leave Management'!$L:$L,'Leave Management'!$C:$C,Detail!$A629,'Leave Management'!$B:$B,Detail!F$1)</f>
        <v>0</v>
      </c>
      <c r="G629" s="7">
        <f>SUMIFS('Leave Management'!$L:$L,'Leave Management'!$C:$C,Detail!$A629,'Leave Management'!$B:$B,Detail!G$1)</f>
        <v>0</v>
      </c>
      <c r="H629" s="7">
        <f>SUMIFS('Leave Management'!$L:$L,'Leave Management'!$C:$C,Detail!$A629,'Leave Management'!$B:$B,Detail!H$1)</f>
        <v>0</v>
      </c>
      <c r="I629" s="7">
        <f>SUMIFS('Leave Management'!$L:$L,'Leave Management'!$C:$C,Detail!$A629,'Leave Management'!$B:$B,Detail!I$1)</f>
        <v>0</v>
      </c>
      <c r="J629" s="7">
        <f>SUMIFS('Leave Management'!$L:$L,'Leave Management'!$C:$C,Detail!$A629,'Leave Management'!$B:$B,Detail!J$1)</f>
        <v>0</v>
      </c>
      <c r="K629" s="7">
        <f>SUMIFS('Leave Management'!$L:$L,'Leave Management'!$C:$C,Detail!$A629,'Leave Management'!$B:$B,Detail!K$1)</f>
        <v>0</v>
      </c>
      <c r="L629" s="7">
        <f>SUMIFS('Leave Management'!$L:$L,'Leave Management'!$C:$C,Detail!$A629,'Leave Management'!$B:$B,Detail!L$1)</f>
        <v>0</v>
      </c>
      <c r="M629" s="7">
        <f>SUMIFS('Leave Management'!$L:$L,'Leave Management'!$C:$C,Detail!$A629,'Leave Management'!$B:$B,Detail!M$1)</f>
        <v>0</v>
      </c>
      <c r="N629" s="7">
        <f>SUMIFS('Leave Management'!$L:$L,'Leave Management'!$C:$C,Detail!$A629,'Leave Management'!$B:$B,Detail!N$1)</f>
        <v>0</v>
      </c>
      <c r="O629" s="7">
        <f t="shared" si="23"/>
        <v>11</v>
      </c>
    </row>
    <row r="630" spans="1:15" x14ac:dyDescent="0.25">
      <c r="A630" s="24">
        <v>43728</v>
      </c>
      <c r="B630" s="2" t="str">
        <f t="shared" si="22"/>
        <v>Fri</v>
      </c>
      <c r="C630" s="7">
        <f>SUMIFS('Leave Management'!$L:$L,'Leave Management'!$C:$C,Detail!$A630,'Leave Management'!$B:$B,Detail!C$1)</f>
        <v>0</v>
      </c>
      <c r="D630" s="7">
        <f>SUMIFS('Leave Management'!$L:$L,'Leave Management'!$C:$C,Detail!$A630,'Leave Management'!$B:$B,Detail!D$1)</f>
        <v>0</v>
      </c>
      <c r="E630" s="7">
        <f>SUMIFS('Leave Management'!$L:$L,'Leave Management'!$C:$C,Detail!$A630,'Leave Management'!$B:$B,Detail!E$1)</f>
        <v>0</v>
      </c>
      <c r="F630" s="7">
        <f>SUMIFS('Leave Management'!$L:$L,'Leave Management'!$C:$C,Detail!$A630,'Leave Management'!$B:$B,Detail!F$1)</f>
        <v>0</v>
      </c>
      <c r="G630" s="7">
        <v>1</v>
      </c>
      <c r="H630" s="7">
        <f>SUMIFS('Leave Management'!$L:$L,'Leave Management'!$C:$C,Detail!$A630,'Leave Management'!$B:$B,Detail!H$1)</f>
        <v>0</v>
      </c>
      <c r="I630" s="7">
        <f>SUMIFS('Leave Management'!$L:$L,'Leave Management'!$C:$C,Detail!$A630,'Leave Management'!$B:$B,Detail!I$1)</f>
        <v>0</v>
      </c>
      <c r="J630" s="7">
        <f>SUMIFS('Leave Management'!$L:$L,'Leave Management'!$C:$C,Detail!$A630,'Leave Management'!$B:$B,Detail!J$1)</f>
        <v>0</v>
      </c>
      <c r="K630" s="7">
        <f>SUMIFS('Leave Management'!$L:$L,'Leave Management'!$C:$C,Detail!$A630,'Leave Management'!$B:$B,Detail!K$1)</f>
        <v>0</v>
      </c>
      <c r="L630" s="7">
        <f>SUMIFS('Leave Management'!$L:$L,'Leave Management'!$C:$C,Detail!$A630,'Leave Management'!$B:$B,Detail!L$1)</f>
        <v>0</v>
      </c>
      <c r="M630" s="7">
        <f>SUMIFS('Leave Management'!$L:$L,'Leave Management'!$C:$C,Detail!$A630,'Leave Management'!$B:$B,Detail!M$1)</f>
        <v>0</v>
      </c>
      <c r="N630" s="7">
        <f>SUMIFS('Leave Management'!$L:$L,'Leave Management'!$C:$C,Detail!$A630,'Leave Management'!$B:$B,Detail!N$1)</f>
        <v>0</v>
      </c>
      <c r="O630" s="7">
        <f t="shared" si="23"/>
        <v>10</v>
      </c>
    </row>
    <row r="631" spans="1:15" x14ac:dyDescent="0.25">
      <c r="A631" s="24">
        <v>43729</v>
      </c>
      <c r="B631" s="2" t="str">
        <f t="shared" si="22"/>
        <v>Sat</v>
      </c>
      <c r="C631" s="7">
        <f>SUMIFS('Leave Management'!$L:$L,'Leave Management'!$C:$C,Detail!$A631,'Leave Management'!$B:$B,Detail!C$1)</f>
        <v>0</v>
      </c>
      <c r="D631" s="7">
        <f>SUMIFS('Leave Management'!$L:$L,'Leave Management'!$C:$C,Detail!$A631,'Leave Management'!$B:$B,Detail!D$1)</f>
        <v>0</v>
      </c>
      <c r="E631" s="7">
        <f>SUMIFS('Leave Management'!$L:$L,'Leave Management'!$C:$C,Detail!$A631,'Leave Management'!$B:$B,Detail!E$1)</f>
        <v>0</v>
      </c>
      <c r="F631" s="7">
        <f>SUMIFS('Leave Management'!$L:$L,'Leave Management'!$C:$C,Detail!$A631,'Leave Management'!$B:$B,Detail!F$1)</f>
        <v>0</v>
      </c>
      <c r="G631" s="7">
        <f>SUMIFS('Leave Management'!$L:$L,'Leave Management'!$C:$C,Detail!$A631,'Leave Management'!$B:$B,Detail!G$1)</f>
        <v>0</v>
      </c>
      <c r="H631" s="7">
        <f>SUMIFS('Leave Management'!$L:$L,'Leave Management'!$C:$C,Detail!$A631,'Leave Management'!$B:$B,Detail!H$1)</f>
        <v>0</v>
      </c>
      <c r="I631" s="7">
        <f>SUMIFS('Leave Management'!$L:$L,'Leave Management'!$C:$C,Detail!$A631,'Leave Management'!$B:$B,Detail!I$1)</f>
        <v>0</v>
      </c>
      <c r="J631" s="7">
        <f>SUMIFS('Leave Management'!$L:$L,'Leave Management'!$C:$C,Detail!$A631,'Leave Management'!$B:$B,Detail!J$1)</f>
        <v>0</v>
      </c>
      <c r="K631" s="7">
        <f>SUMIFS('Leave Management'!$L:$L,'Leave Management'!$C:$C,Detail!$A631,'Leave Management'!$B:$B,Detail!K$1)</f>
        <v>0</v>
      </c>
      <c r="L631" s="7">
        <f>SUMIFS('Leave Management'!$L:$L,'Leave Management'!$C:$C,Detail!$A631,'Leave Management'!$B:$B,Detail!L$1)</f>
        <v>0</v>
      </c>
      <c r="M631" s="7">
        <f>SUMIFS('Leave Management'!$L:$L,'Leave Management'!$C:$C,Detail!$A631,'Leave Management'!$B:$B,Detail!M$1)</f>
        <v>0</v>
      </c>
      <c r="N631" s="7">
        <f>SUMIFS('Leave Management'!$L:$L,'Leave Management'!$C:$C,Detail!$A631,'Leave Management'!$B:$B,Detail!N$1)</f>
        <v>0</v>
      </c>
      <c r="O631" s="7">
        <f t="shared" si="23"/>
        <v>11</v>
      </c>
    </row>
    <row r="632" spans="1:15" x14ac:dyDescent="0.25">
      <c r="A632" s="24">
        <v>43730</v>
      </c>
      <c r="B632" s="2" t="str">
        <f t="shared" si="22"/>
        <v>Sun</v>
      </c>
      <c r="C632" s="7">
        <f>SUMIFS('Leave Management'!$L:$L,'Leave Management'!$C:$C,Detail!$A632,'Leave Management'!$B:$B,Detail!C$1)</f>
        <v>0</v>
      </c>
      <c r="D632" s="7">
        <f>SUMIFS('Leave Management'!$L:$L,'Leave Management'!$C:$C,Detail!$A632,'Leave Management'!$B:$B,Detail!D$1)</f>
        <v>0</v>
      </c>
      <c r="E632" s="7">
        <f>SUMIFS('Leave Management'!$L:$L,'Leave Management'!$C:$C,Detail!$A632,'Leave Management'!$B:$B,Detail!E$1)</f>
        <v>0</v>
      </c>
      <c r="F632" s="7">
        <f>SUMIFS('Leave Management'!$L:$L,'Leave Management'!$C:$C,Detail!$A632,'Leave Management'!$B:$B,Detail!F$1)</f>
        <v>0</v>
      </c>
      <c r="G632" s="7">
        <f>SUMIFS('Leave Management'!$L:$L,'Leave Management'!$C:$C,Detail!$A632,'Leave Management'!$B:$B,Detail!G$1)</f>
        <v>0</v>
      </c>
      <c r="H632" s="7">
        <f>SUMIFS('Leave Management'!$L:$L,'Leave Management'!$C:$C,Detail!$A632,'Leave Management'!$B:$B,Detail!H$1)</f>
        <v>0</v>
      </c>
      <c r="I632" s="7">
        <f>SUMIFS('Leave Management'!$L:$L,'Leave Management'!$C:$C,Detail!$A632,'Leave Management'!$B:$B,Detail!I$1)</f>
        <v>0</v>
      </c>
      <c r="J632" s="7">
        <f>SUMIFS('Leave Management'!$L:$L,'Leave Management'!$C:$C,Detail!$A632,'Leave Management'!$B:$B,Detail!J$1)</f>
        <v>0</v>
      </c>
      <c r="K632" s="7">
        <f>SUMIFS('Leave Management'!$L:$L,'Leave Management'!$C:$C,Detail!$A632,'Leave Management'!$B:$B,Detail!K$1)</f>
        <v>0</v>
      </c>
      <c r="L632" s="7">
        <f>SUMIFS('Leave Management'!$L:$L,'Leave Management'!$C:$C,Detail!$A632,'Leave Management'!$B:$B,Detail!L$1)</f>
        <v>0</v>
      </c>
      <c r="M632" s="7">
        <f>SUMIFS('Leave Management'!$L:$L,'Leave Management'!$C:$C,Detail!$A632,'Leave Management'!$B:$B,Detail!M$1)</f>
        <v>0</v>
      </c>
      <c r="N632" s="7">
        <f>SUMIFS('Leave Management'!$L:$L,'Leave Management'!$C:$C,Detail!$A632,'Leave Management'!$B:$B,Detail!N$1)</f>
        <v>0</v>
      </c>
      <c r="O632" s="7">
        <f t="shared" si="23"/>
        <v>11</v>
      </c>
    </row>
    <row r="633" spans="1:15" x14ac:dyDescent="0.25">
      <c r="A633" s="24">
        <v>43731</v>
      </c>
      <c r="B633" s="2" t="str">
        <f t="shared" si="22"/>
        <v>Mon</v>
      </c>
      <c r="C633" s="7">
        <f>SUMIFS('Leave Management'!$L:$L,'Leave Management'!$C:$C,Detail!$A633,'Leave Management'!$B:$B,Detail!C$1)</f>
        <v>0</v>
      </c>
      <c r="D633" s="7">
        <f>SUMIFS('Leave Management'!$L:$L,'Leave Management'!$C:$C,Detail!$A633,'Leave Management'!$B:$B,Detail!D$1)</f>
        <v>0</v>
      </c>
      <c r="E633" s="7">
        <f>SUMIFS('Leave Management'!$L:$L,'Leave Management'!$C:$C,Detail!$A633,'Leave Management'!$B:$B,Detail!E$1)</f>
        <v>0</v>
      </c>
      <c r="F633" s="7">
        <f>SUMIFS('Leave Management'!$L:$L,'Leave Management'!$C:$C,Detail!$A633,'Leave Management'!$B:$B,Detail!F$1)</f>
        <v>0</v>
      </c>
      <c r="G633" s="7">
        <f>SUMIFS('Leave Management'!$L:$L,'Leave Management'!$C:$C,Detail!$A633,'Leave Management'!$B:$B,Detail!G$1)</f>
        <v>0</v>
      </c>
      <c r="H633" s="7">
        <f>SUMIFS('Leave Management'!$L:$L,'Leave Management'!$C:$C,Detail!$A633,'Leave Management'!$B:$B,Detail!H$1)</f>
        <v>0</v>
      </c>
      <c r="I633" s="7">
        <f>SUMIFS('Leave Management'!$L:$L,'Leave Management'!$C:$C,Detail!$A633,'Leave Management'!$B:$B,Detail!I$1)</f>
        <v>1</v>
      </c>
      <c r="J633" s="7">
        <f>SUMIFS('Leave Management'!$L:$L,'Leave Management'!$C:$C,Detail!$A633,'Leave Management'!$B:$B,Detail!J$1)</f>
        <v>0</v>
      </c>
      <c r="K633" s="7">
        <f>SUMIFS('Leave Management'!$L:$L,'Leave Management'!$C:$C,Detail!$A633,'Leave Management'!$B:$B,Detail!K$1)</f>
        <v>0</v>
      </c>
      <c r="L633" s="7">
        <f>SUMIFS('Leave Management'!$L:$L,'Leave Management'!$C:$C,Detail!$A633,'Leave Management'!$B:$B,Detail!L$1)</f>
        <v>0</v>
      </c>
      <c r="M633" s="7">
        <f>SUMIFS('Leave Management'!$L:$L,'Leave Management'!$C:$C,Detail!$A633,'Leave Management'!$B:$B,Detail!M$1)</f>
        <v>0</v>
      </c>
      <c r="N633" s="7">
        <f>SUMIFS('Leave Management'!$L:$L,'Leave Management'!$C:$C,Detail!$A633,'Leave Management'!$B:$B,Detail!N$1)</f>
        <v>0</v>
      </c>
      <c r="O633" s="7">
        <f t="shared" si="23"/>
        <v>10</v>
      </c>
    </row>
    <row r="634" spans="1:15" x14ac:dyDescent="0.25">
      <c r="A634" s="24">
        <v>43732</v>
      </c>
      <c r="B634" s="2" t="str">
        <f t="shared" si="22"/>
        <v>Tue</v>
      </c>
      <c r="C634" s="7">
        <f>SUMIFS('Leave Management'!$L:$L,'Leave Management'!$C:$C,Detail!$A634,'Leave Management'!$B:$B,Detail!C$1)</f>
        <v>0</v>
      </c>
      <c r="D634" s="7">
        <f>SUMIFS('Leave Management'!$L:$L,'Leave Management'!$C:$C,Detail!$A634,'Leave Management'!$B:$B,Detail!D$1)</f>
        <v>0</v>
      </c>
      <c r="E634" s="7">
        <f>SUMIFS('Leave Management'!$L:$L,'Leave Management'!$C:$C,Detail!$A634,'Leave Management'!$B:$B,Detail!E$1)</f>
        <v>0</v>
      </c>
      <c r="F634" s="7">
        <f>SUMIFS('Leave Management'!$L:$L,'Leave Management'!$C:$C,Detail!$A634,'Leave Management'!$B:$B,Detail!F$1)</f>
        <v>0</v>
      </c>
      <c r="G634" s="7">
        <f>SUMIFS('Leave Management'!$L:$L,'Leave Management'!$C:$C,Detail!$A634,'Leave Management'!$B:$B,Detail!G$1)</f>
        <v>0</v>
      </c>
      <c r="H634" s="7">
        <f>SUMIFS('Leave Management'!$L:$L,'Leave Management'!$C:$C,Detail!$A634,'Leave Management'!$B:$B,Detail!H$1)</f>
        <v>0</v>
      </c>
      <c r="I634" s="7">
        <f>SUMIFS('Leave Management'!$L:$L,'Leave Management'!$C:$C,Detail!$A634,'Leave Management'!$B:$B,Detail!I$1)</f>
        <v>0</v>
      </c>
      <c r="J634" s="7">
        <f>SUMIFS('Leave Management'!$L:$L,'Leave Management'!$C:$C,Detail!$A634,'Leave Management'!$B:$B,Detail!J$1)</f>
        <v>0</v>
      </c>
      <c r="K634" s="7">
        <f>SUMIFS('Leave Management'!$L:$L,'Leave Management'!$C:$C,Detail!$A634,'Leave Management'!$B:$B,Detail!K$1)</f>
        <v>0</v>
      </c>
      <c r="L634" s="7">
        <f>SUMIFS('Leave Management'!$L:$L,'Leave Management'!$C:$C,Detail!$A634,'Leave Management'!$B:$B,Detail!L$1)</f>
        <v>0</v>
      </c>
      <c r="M634" s="7">
        <f>SUMIFS('Leave Management'!$L:$L,'Leave Management'!$C:$C,Detail!$A634,'Leave Management'!$B:$B,Detail!M$1)</f>
        <v>0</v>
      </c>
      <c r="N634" s="7">
        <f>SUMIFS('Leave Management'!$L:$L,'Leave Management'!$C:$C,Detail!$A634,'Leave Management'!$B:$B,Detail!N$1)</f>
        <v>0</v>
      </c>
      <c r="O634" s="7">
        <f t="shared" si="23"/>
        <v>11</v>
      </c>
    </row>
    <row r="635" spans="1:15" x14ac:dyDescent="0.25">
      <c r="A635" s="24">
        <v>43733</v>
      </c>
      <c r="B635" s="2" t="str">
        <f t="shared" si="22"/>
        <v>Wed</v>
      </c>
      <c r="C635" s="7">
        <f>SUMIFS('Leave Management'!$L:$L,'Leave Management'!$C:$C,Detail!$A635,'Leave Management'!$B:$B,Detail!C$1)</f>
        <v>0</v>
      </c>
      <c r="D635" s="7">
        <f>SUMIFS('Leave Management'!$L:$L,'Leave Management'!$C:$C,Detail!$A635,'Leave Management'!$B:$B,Detail!D$1)</f>
        <v>0</v>
      </c>
      <c r="E635" s="7">
        <f>SUMIFS('Leave Management'!$L:$L,'Leave Management'!$C:$C,Detail!$A635,'Leave Management'!$B:$B,Detail!E$1)</f>
        <v>0</v>
      </c>
      <c r="F635" s="7">
        <f>SUMIFS('Leave Management'!$L:$L,'Leave Management'!$C:$C,Detail!$A635,'Leave Management'!$B:$B,Detail!F$1)</f>
        <v>0</v>
      </c>
      <c r="G635" s="7">
        <f>SUMIFS('Leave Management'!$L:$L,'Leave Management'!$C:$C,Detail!$A635,'Leave Management'!$B:$B,Detail!G$1)</f>
        <v>0</v>
      </c>
      <c r="H635" s="7">
        <f>SUMIFS('Leave Management'!$L:$L,'Leave Management'!$C:$C,Detail!$A635,'Leave Management'!$B:$B,Detail!H$1)</f>
        <v>0</v>
      </c>
      <c r="I635" s="7">
        <f>SUMIFS('Leave Management'!$L:$L,'Leave Management'!$C:$C,Detail!$A635,'Leave Management'!$B:$B,Detail!I$1)</f>
        <v>0</v>
      </c>
      <c r="J635" s="7">
        <f>SUMIFS('Leave Management'!$L:$L,'Leave Management'!$C:$C,Detail!$A635,'Leave Management'!$B:$B,Detail!J$1)</f>
        <v>0</v>
      </c>
      <c r="K635" s="7">
        <f>SUMIFS('Leave Management'!$L:$L,'Leave Management'!$C:$C,Detail!$A635,'Leave Management'!$B:$B,Detail!K$1)</f>
        <v>0</v>
      </c>
      <c r="L635" s="7">
        <f>SUMIFS('Leave Management'!$L:$L,'Leave Management'!$C:$C,Detail!$A635,'Leave Management'!$B:$B,Detail!L$1)</f>
        <v>0</v>
      </c>
      <c r="M635" s="7">
        <f>SUMIFS('Leave Management'!$L:$L,'Leave Management'!$C:$C,Detail!$A635,'Leave Management'!$B:$B,Detail!M$1)</f>
        <v>0</v>
      </c>
      <c r="N635" s="7">
        <f>SUMIFS('Leave Management'!$L:$L,'Leave Management'!$C:$C,Detail!$A635,'Leave Management'!$B:$B,Detail!N$1)</f>
        <v>0</v>
      </c>
      <c r="O635" s="7">
        <f t="shared" si="23"/>
        <v>11</v>
      </c>
    </row>
    <row r="636" spans="1:15" x14ac:dyDescent="0.25">
      <c r="A636" s="24">
        <v>43734</v>
      </c>
      <c r="B636" s="2" t="str">
        <f t="shared" si="22"/>
        <v>Thu</v>
      </c>
      <c r="C636" s="7">
        <f>SUMIFS('Leave Management'!$L:$L,'Leave Management'!$C:$C,Detail!$A636,'Leave Management'!$B:$B,Detail!C$1)</f>
        <v>0</v>
      </c>
      <c r="D636" s="7">
        <f>SUMIFS('Leave Management'!$L:$L,'Leave Management'!$C:$C,Detail!$A636,'Leave Management'!$B:$B,Detail!D$1)</f>
        <v>0</v>
      </c>
      <c r="E636" s="7">
        <f>SUMIFS('Leave Management'!$L:$L,'Leave Management'!$C:$C,Detail!$A636,'Leave Management'!$B:$B,Detail!E$1)</f>
        <v>0</v>
      </c>
      <c r="F636" s="7">
        <f>SUMIFS('Leave Management'!$L:$L,'Leave Management'!$C:$C,Detail!$A636,'Leave Management'!$B:$B,Detail!F$1)</f>
        <v>0</v>
      </c>
      <c r="G636" s="7">
        <f>SUMIFS('Leave Management'!$L:$L,'Leave Management'!$C:$C,Detail!$A636,'Leave Management'!$B:$B,Detail!G$1)</f>
        <v>0</v>
      </c>
      <c r="H636" s="7">
        <f>SUMIFS('Leave Management'!$L:$L,'Leave Management'!$C:$C,Detail!$A636,'Leave Management'!$B:$B,Detail!H$1)</f>
        <v>0</v>
      </c>
      <c r="I636" s="7">
        <f>SUMIFS('Leave Management'!$L:$L,'Leave Management'!$C:$C,Detail!$A636,'Leave Management'!$B:$B,Detail!I$1)</f>
        <v>0</v>
      </c>
      <c r="J636" s="7">
        <f>SUMIFS('Leave Management'!$L:$L,'Leave Management'!$C:$C,Detail!$A636,'Leave Management'!$B:$B,Detail!J$1)</f>
        <v>0</v>
      </c>
      <c r="K636" s="7">
        <f>SUMIFS('Leave Management'!$L:$L,'Leave Management'!$C:$C,Detail!$A636,'Leave Management'!$B:$B,Detail!K$1)</f>
        <v>0</v>
      </c>
      <c r="L636" s="7">
        <f>SUMIFS('Leave Management'!$L:$L,'Leave Management'!$C:$C,Detail!$A636,'Leave Management'!$B:$B,Detail!L$1)</f>
        <v>0</v>
      </c>
      <c r="M636" s="7">
        <f>SUMIFS('Leave Management'!$L:$L,'Leave Management'!$C:$C,Detail!$A636,'Leave Management'!$B:$B,Detail!M$1)</f>
        <v>0</v>
      </c>
      <c r="N636" s="7">
        <f>SUMIFS('Leave Management'!$L:$L,'Leave Management'!$C:$C,Detail!$A636,'Leave Management'!$B:$B,Detail!N$1)</f>
        <v>0</v>
      </c>
      <c r="O636" s="7">
        <f t="shared" si="23"/>
        <v>11</v>
      </c>
    </row>
    <row r="637" spans="1:15" x14ac:dyDescent="0.25">
      <c r="A637" s="24">
        <v>43735</v>
      </c>
      <c r="B637" s="2" t="str">
        <f t="shared" si="22"/>
        <v>Fri</v>
      </c>
      <c r="C637" s="7">
        <f>SUMIFS('Leave Management'!$L:$L,'Leave Management'!$C:$C,Detail!$A637,'Leave Management'!$B:$B,Detail!C$1)</f>
        <v>0</v>
      </c>
      <c r="D637" s="7">
        <f>SUMIFS('Leave Management'!$L:$L,'Leave Management'!$C:$C,Detail!$A637,'Leave Management'!$B:$B,Detail!D$1)</f>
        <v>0</v>
      </c>
      <c r="E637" s="7">
        <f>SUMIFS('Leave Management'!$L:$L,'Leave Management'!$C:$C,Detail!$A637,'Leave Management'!$B:$B,Detail!E$1)</f>
        <v>0</v>
      </c>
      <c r="F637" s="7">
        <f>SUMIFS('Leave Management'!$L:$L,'Leave Management'!$C:$C,Detail!$A637,'Leave Management'!$B:$B,Detail!F$1)</f>
        <v>0</v>
      </c>
      <c r="G637" s="7">
        <f>SUMIFS('Leave Management'!$L:$L,'Leave Management'!$C:$C,Detail!$A637,'Leave Management'!$B:$B,Detail!G$1)</f>
        <v>0</v>
      </c>
      <c r="H637" s="7">
        <f>SUMIFS('Leave Management'!$L:$L,'Leave Management'!$C:$C,Detail!$A637,'Leave Management'!$B:$B,Detail!H$1)</f>
        <v>0</v>
      </c>
      <c r="I637" s="7">
        <f>SUMIFS('Leave Management'!$L:$L,'Leave Management'!$C:$C,Detail!$A637,'Leave Management'!$B:$B,Detail!I$1)</f>
        <v>0</v>
      </c>
      <c r="J637" s="7">
        <f>SUMIFS('Leave Management'!$L:$L,'Leave Management'!$C:$C,Detail!$A637,'Leave Management'!$B:$B,Detail!J$1)</f>
        <v>0</v>
      </c>
      <c r="K637" s="7"/>
      <c r="L637" s="7">
        <f>SUMIFS('Leave Management'!$L:$L,'Leave Management'!$C:$C,Detail!$A637,'Leave Management'!$B:$B,Detail!L$1)</f>
        <v>0</v>
      </c>
      <c r="M637" s="7">
        <f>SUMIFS('Leave Management'!$L:$L,'Leave Management'!$C:$C,Detail!$A637,'Leave Management'!$B:$B,Detail!M$1)</f>
        <v>0</v>
      </c>
      <c r="N637" s="7">
        <f>SUMIFS('Leave Management'!$L:$L,'Leave Management'!$C:$C,Detail!$A637,'Leave Management'!$B:$B,Detail!N$1)</f>
        <v>0</v>
      </c>
      <c r="O637" s="7">
        <f t="shared" si="23"/>
        <v>11</v>
      </c>
    </row>
    <row r="638" spans="1:15" x14ac:dyDescent="0.25">
      <c r="A638" s="24">
        <v>43736</v>
      </c>
      <c r="B638" s="2" t="str">
        <f t="shared" si="22"/>
        <v>Sat</v>
      </c>
      <c r="C638" s="7">
        <f>SUMIFS('Leave Management'!$L:$L,'Leave Management'!$C:$C,Detail!$A638,'Leave Management'!$B:$B,Detail!C$1)</f>
        <v>0</v>
      </c>
      <c r="D638" s="7">
        <f>SUMIFS('Leave Management'!$L:$L,'Leave Management'!$C:$C,Detail!$A638,'Leave Management'!$B:$B,Detail!D$1)</f>
        <v>0</v>
      </c>
      <c r="E638" s="7">
        <f>SUMIFS('Leave Management'!$L:$L,'Leave Management'!$C:$C,Detail!$A638,'Leave Management'!$B:$B,Detail!E$1)</f>
        <v>0</v>
      </c>
      <c r="F638" s="7">
        <f>SUMIFS('Leave Management'!$L:$L,'Leave Management'!$C:$C,Detail!$A638,'Leave Management'!$B:$B,Detail!F$1)</f>
        <v>0</v>
      </c>
      <c r="G638" s="7">
        <f>SUMIFS('Leave Management'!$L:$L,'Leave Management'!$C:$C,Detail!$A638,'Leave Management'!$B:$B,Detail!G$1)</f>
        <v>0</v>
      </c>
      <c r="H638" s="7">
        <f>SUMIFS('Leave Management'!$L:$L,'Leave Management'!$C:$C,Detail!$A638,'Leave Management'!$B:$B,Detail!H$1)</f>
        <v>0</v>
      </c>
      <c r="I638" s="7">
        <f>SUMIFS('Leave Management'!$L:$L,'Leave Management'!$C:$C,Detail!$A638,'Leave Management'!$B:$B,Detail!I$1)</f>
        <v>0</v>
      </c>
      <c r="J638" s="7">
        <f>SUMIFS('Leave Management'!$L:$L,'Leave Management'!$C:$C,Detail!$A638,'Leave Management'!$B:$B,Detail!J$1)</f>
        <v>0</v>
      </c>
      <c r="K638" s="7">
        <f>SUMIFS('Leave Management'!$L:$L,'Leave Management'!$C:$C,Detail!$A638,'Leave Management'!$B:$B,Detail!K$1)</f>
        <v>0</v>
      </c>
      <c r="L638" s="7">
        <f>SUMIFS('Leave Management'!$L:$L,'Leave Management'!$C:$C,Detail!$A638,'Leave Management'!$B:$B,Detail!L$1)</f>
        <v>0</v>
      </c>
      <c r="M638" s="7">
        <f>SUMIFS('Leave Management'!$L:$L,'Leave Management'!$C:$C,Detail!$A638,'Leave Management'!$B:$B,Detail!M$1)</f>
        <v>0</v>
      </c>
      <c r="N638" s="7">
        <f>SUMIFS('Leave Management'!$L:$L,'Leave Management'!$C:$C,Detail!$A638,'Leave Management'!$B:$B,Detail!N$1)</f>
        <v>0</v>
      </c>
      <c r="O638" s="7">
        <f t="shared" si="23"/>
        <v>11</v>
      </c>
    </row>
    <row r="639" spans="1:15" x14ac:dyDescent="0.25">
      <c r="A639" s="24">
        <v>43737</v>
      </c>
      <c r="B639" s="2" t="str">
        <f t="shared" si="22"/>
        <v>Sun</v>
      </c>
      <c r="C639" s="7">
        <f>SUMIFS('Leave Management'!$L:$L,'Leave Management'!$C:$C,Detail!$A639,'Leave Management'!$B:$B,Detail!C$1)</f>
        <v>0</v>
      </c>
      <c r="D639" s="7">
        <f>SUMIFS('Leave Management'!$L:$L,'Leave Management'!$C:$C,Detail!$A639,'Leave Management'!$B:$B,Detail!D$1)</f>
        <v>0</v>
      </c>
      <c r="E639" s="7">
        <f>SUMIFS('Leave Management'!$L:$L,'Leave Management'!$C:$C,Detail!$A639,'Leave Management'!$B:$B,Detail!E$1)</f>
        <v>0</v>
      </c>
      <c r="F639" s="7">
        <f>SUMIFS('Leave Management'!$L:$L,'Leave Management'!$C:$C,Detail!$A639,'Leave Management'!$B:$B,Detail!F$1)</f>
        <v>0</v>
      </c>
      <c r="G639" s="7">
        <f>SUMIFS('Leave Management'!$L:$L,'Leave Management'!$C:$C,Detail!$A639,'Leave Management'!$B:$B,Detail!G$1)</f>
        <v>0</v>
      </c>
      <c r="H639" s="7">
        <f>SUMIFS('Leave Management'!$L:$L,'Leave Management'!$C:$C,Detail!$A639,'Leave Management'!$B:$B,Detail!H$1)</f>
        <v>0</v>
      </c>
      <c r="I639" s="7">
        <f>SUMIFS('Leave Management'!$L:$L,'Leave Management'!$C:$C,Detail!$A639,'Leave Management'!$B:$B,Detail!I$1)</f>
        <v>0</v>
      </c>
      <c r="J639" s="7">
        <f>SUMIFS('Leave Management'!$L:$L,'Leave Management'!$C:$C,Detail!$A639,'Leave Management'!$B:$B,Detail!J$1)</f>
        <v>0</v>
      </c>
      <c r="K639" s="7">
        <f>SUMIFS('Leave Management'!$L:$L,'Leave Management'!$C:$C,Detail!$A639,'Leave Management'!$B:$B,Detail!K$1)</f>
        <v>0</v>
      </c>
      <c r="L639" s="7">
        <f>SUMIFS('Leave Management'!$L:$L,'Leave Management'!$C:$C,Detail!$A639,'Leave Management'!$B:$B,Detail!L$1)</f>
        <v>0</v>
      </c>
      <c r="M639" s="7">
        <f>SUMIFS('Leave Management'!$L:$L,'Leave Management'!$C:$C,Detail!$A639,'Leave Management'!$B:$B,Detail!M$1)</f>
        <v>0</v>
      </c>
      <c r="N639" s="7">
        <f>SUMIFS('Leave Management'!$L:$L,'Leave Management'!$C:$C,Detail!$A639,'Leave Management'!$B:$B,Detail!N$1)</f>
        <v>0</v>
      </c>
      <c r="O639" s="7">
        <f t="shared" si="23"/>
        <v>11</v>
      </c>
    </row>
    <row r="640" spans="1:15" x14ac:dyDescent="0.25">
      <c r="A640" s="24">
        <v>43738</v>
      </c>
      <c r="B640" s="2" t="str">
        <f t="shared" si="22"/>
        <v>Mon</v>
      </c>
      <c r="C640" s="7">
        <f>SUMIFS('Leave Management'!$L:$L,'Leave Management'!$C:$C,Detail!$A640,'Leave Management'!$B:$B,Detail!C$1)</f>
        <v>0</v>
      </c>
      <c r="D640" s="7">
        <f>SUMIFS('Leave Management'!$L:$L,'Leave Management'!$C:$C,Detail!$A640,'Leave Management'!$B:$B,Detail!D$1)</f>
        <v>0</v>
      </c>
      <c r="E640" s="7">
        <f>SUMIFS('Leave Management'!$L:$L,'Leave Management'!$C:$C,Detail!$A640,'Leave Management'!$B:$B,Detail!E$1)</f>
        <v>0</v>
      </c>
      <c r="F640" s="7">
        <f>SUMIFS('Leave Management'!$L:$L,'Leave Management'!$C:$C,Detail!$A640,'Leave Management'!$B:$B,Detail!F$1)</f>
        <v>0</v>
      </c>
      <c r="G640" s="7">
        <f>SUMIFS('Leave Management'!$L:$L,'Leave Management'!$C:$C,Detail!$A640,'Leave Management'!$B:$B,Detail!G$1)</f>
        <v>0</v>
      </c>
      <c r="H640" s="7">
        <f>SUMIFS('Leave Management'!$L:$L,'Leave Management'!$C:$C,Detail!$A640,'Leave Management'!$B:$B,Detail!H$1)</f>
        <v>0</v>
      </c>
      <c r="I640" s="7">
        <f>SUMIFS('Leave Management'!$L:$L,'Leave Management'!$C:$C,Detail!$A640,'Leave Management'!$B:$B,Detail!I$1)</f>
        <v>0</v>
      </c>
      <c r="J640" s="7">
        <f>SUMIFS('Leave Management'!$L:$L,'Leave Management'!$C:$C,Detail!$A640,'Leave Management'!$B:$B,Detail!J$1)</f>
        <v>0</v>
      </c>
      <c r="K640" s="7">
        <f>SUMIFS('Leave Management'!$L:$L,'Leave Management'!$C:$C,Detail!$A640,'Leave Management'!$B:$B,Detail!K$1)</f>
        <v>0</v>
      </c>
      <c r="L640" s="7">
        <f>SUMIFS('Leave Management'!$L:$L,'Leave Management'!$C:$C,Detail!$A640,'Leave Management'!$B:$B,Detail!L$1)</f>
        <v>0</v>
      </c>
      <c r="M640" s="7">
        <f>SUMIFS('Leave Management'!$L:$L,'Leave Management'!$C:$C,Detail!$A640,'Leave Management'!$B:$B,Detail!M$1)</f>
        <v>0</v>
      </c>
      <c r="N640" s="7">
        <f>SUMIFS('Leave Management'!$L:$L,'Leave Management'!$C:$C,Detail!$A640,'Leave Management'!$B:$B,Detail!N$1)</f>
        <v>0</v>
      </c>
      <c r="O640" s="7">
        <f t="shared" si="23"/>
        <v>11</v>
      </c>
    </row>
    <row r="641" spans="1:15" x14ac:dyDescent="0.25">
      <c r="A641" s="24">
        <v>43739</v>
      </c>
      <c r="B641" s="2" t="str">
        <f t="shared" si="22"/>
        <v>Tue</v>
      </c>
      <c r="C641" s="7">
        <f>SUMIFS('Leave Management'!$L:$L,'Leave Management'!$C:$C,Detail!$A641,'Leave Management'!$B:$B,Detail!C$1)</f>
        <v>0</v>
      </c>
      <c r="D641" s="7">
        <f>SUMIFS('Leave Management'!$L:$L,'Leave Management'!$C:$C,Detail!$A641,'Leave Management'!$B:$B,Detail!D$1)</f>
        <v>0</v>
      </c>
      <c r="E641" s="7">
        <f>SUMIFS('Leave Management'!$L:$L,'Leave Management'!$C:$C,Detail!$A641,'Leave Management'!$B:$B,Detail!E$1)</f>
        <v>0</v>
      </c>
      <c r="F641" s="7">
        <f>SUMIFS('Leave Management'!$L:$L,'Leave Management'!$C:$C,Detail!$A641,'Leave Management'!$B:$B,Detail!F$1)</f>
        <v>0</v>
      </c>
      <c r="G641" s="7">
        <f>SUMIFS('Leave Management'!$L:$L,'Leave Management'!$C:$C,Detail!$A641,'Leave Management'!$B:$B,Detail!G$1)</f>
        <v>0</v>
      </c>
      <c r="H641" s="7">
        <f>SUMIFS('Leave Management'!$L:$L,'Leave Management'!$C:$C,Detail!$A641,'Leave Management'!$B:$B,Detail!H$1)</f>
        <v>0</v>
      </c>
      <c r="I641" s="7">
        <f>SUMIFS('Leave Management'!$L:$L,'Leave Management'!$C:$C,Detail!$A641,'Leave Management'!$B:$B,Detail!I$1)</f>
        <v>0</v>
      </c>
      <c r="J641" s="7">
        <f>SUMIFS('Leave Management'!$L:$L,'Leave Management'!$C:$C,Detail!$A641,'Leave Management'!$B:$B,Detail!J$1)</f>
        <v>0</v>
      </c>
      <c r="K641" s="7">
        <f>SUMIFS('Leave Management'!$L:$L,'Leave Management'!$C:$C,Detail!$A641,'Leave Management'!$B:$B,Detail!K$1)</f>
        <v>0</v>
      </c>
      <c r="L641" s="7">
        <f>SUMIFS('Leave Management'!$L:$L,'Leave Management'!$C:$C,Detail!$A641,'Leave Management'!$B:$B,Detail!L$1)</f>
        <v>0</v>
      </c>
      <c r="M641" s="7">
        <f>SUMIFS('Leave Management'!$L:$L,'Leave Management'!$C:$C,Detail!$A641,'Leave Management'!$B:$B,Detail!M$1)</f>
        <v>0</v>
      </c>
      <c r="N641" s="7">
        <f>SUMIFS('Leave Management'!$L:$L,'Leave Management'!$C:$C,Detail!$A641,'Leave Management'!$B:$B,Detail!N$1)</f>
        <v>0</v>
      </c>
      <c r="O641" s="7">
        <f t="shared" si="23"/>
        <v>11</v>
      </c>
    </row>
    <row r="642" spans="1:15" x14ac:dyDescent="0.25">
      <c r="A642" s="24">
        <v>43740</v>
      </c>
      <c r="B642" s="2" t="str">
        <f t="shared" si="22"/>
        <v>Wed</v>
      </c>
      <c r="C642" s="7">
        <f>SUMIFS('Leave Management'!$L:$L,'Leave Management'!$C:$C,Detail!$A642,'Leave Management'!$B:$B,Detail!C$1)</f>
        <v>0</v>
      </c>
      <c r="D642" s="7">
        <f>SUMIFS('Leave Management'!$L:$L,'Leave Management'!$C:$C,Detail!$A642,'Leave Management'!$B:$B,Detail!D$1)</f>
        <v>0</v>
      </c>
      <c r="E642" s="7">
        <f>SUMIFS('Leave Management'!$L:$L,'Leave Management'!$C:$C,Detail!$A642,'Leave Management'!$B:$B,Detail!E$1)</f>
        <v>0</v>
      </c>
      <c r="F642" s="7">
        <f>SUMIFS('Leave Management'!$L:$L,'Leave Management'!$C:$C,Detail!$A642,'Leave Management'!$B:$B,Detail!F$1)</f>
        <v>0</v>
      </c>
      <c r="G642" s="7">
        <f>SUMIFS('Leave Management'!$L:$L,'Leave Management'!$C:$C,Detail!$A642,'Leave Management'!$B:$B,Detail!G$1)</f>
        <v>0</v>
      </c>
      <c r="H642" s="7">
        <f>SUMIFS('Leave Management'!$L:$L,'Leave Management'!$C:$C,Detail!$A642,'Leave Management'!$B:$B,Detail!H$1)</f>
        <v>0</v>
      </c>
      <c r="I642" s="7">
        <f>SUMIFS('Leave Management'!$L:$L,'Leave Management'!$C:$C,Detail!$A642,'Leave Management'!$B:$B,Detail!I$1)</f>
        <v>0</v>
      </c>
      <c r="J642" s="7">
        <f>SUMIFS('Leave Management'!$L:$L,'Leave Management'!$C:$C,Detail!$A642,'Leave Management'!$B:$B,Detail!J$1)</f>
        <v>0</v>
      </c>
      <c r="K642" s="7">
        <f>SUMIFS('Leave Management'!$L:$L,'Leave Management'!$C:$C,Detail!$A642,'Leave Management'!$B:$B,Detail!K$1)</f>
        <v>0</v>
      </c>
      <c r="L642" s="7">
        <f>SUMIFS('Leave Management'!$L:$L,'Leave Management'!$C:$C,Detail!$A642,'Leave Management'!$B:$B,Detail!L$1)</f>
        <v>0</v>
      </c>
      <c r="M642" s="7">
        <f>SUMIFS('Leave Management'!$L:$L,'Leave Management'!$C:$C,Detail!$A642,'Leave Management'!$B:$B,Detail!M$1)</f>
        <v>0</v>
      </c>
      <c r="N642" s="7">
        <f>SUMIFS('Leave Management'!$L:$L,'Leave Management'!$C:$C,Detail!$A642,'Leave Management'!$B:$B,Detail!N$1)</f>
        <v>0</v>
      </c>
      <c r="O642" s="7">
        <f t="shared" si="23"/>
        <v>11</v>
      </c>
    </row>
    <row r="643" spans="1:15" x14ac:dyDescent="0.25">
      <c r="A643" s="24">
        <v>43741</v>
      </c>
      <c r="B643" s="2" t="str">
        <f t="shared" si="22"/>
        <v>Thu</v>
      </c>
      <c r="C643" s="7">
        <f>SUMIFS('Leave Management'!$L:$L,'Leave Management'!$C:$C,Detail!$A643,'Leave Management'!$B:$B,Detail!C$1)</f>
        <v>0</v>
      </c>
      <c r="D643" s="7">
        <f>SUMIFS('Leave Management'!$L:$L,'Leave Management'!$C:$C,Detail!$A643,'Leave Management'!$B:$B,Detail!D$1)</f>
        <v>0</v>
      </c>
      <c r="E643" s="7">
        <f>SUMIFS('Leave Management'!$L:$L,'Leave Management'!$C:$C,Detail!$A643,'Leave Management'!$B:$B,Detail!E$1)</f>
        <v>0</v>
      </c>
      <c r="F643" s="7">
        <f>SUMIFS('Leave Management'!$L:$L,'Leave Management'!$C:$C,Detail!$A643,'Leave Management'!$B:$B,Detail!F$1)</f>
        <v>0</v>
      </c>
      <c r="G643" s="7">
        <f>SUMIFS('Leave Management'!$L:$L,'Leave Management'!$C:$C,Detail!$A643,'Leave Management'!$B:$B,Detail!G$1)</f>
        <v>0</v>
      </c>
      <c r="H643" s="7">
        <f>SUMIFS('Leave Management'!$L:$L,'Leave Management'!$C:$C,Detail!$A643,'Leave Management'!$B:$B,Detail!H$1)</f>
        <v>0</v>
      </c>
      <c r="I643" s="7">
        <f>SUMIFS('Leave Management'!$L:$L,'Leave Management'!$C:$C,Detail!$A643,'Leave Management'!$B:$B,Detail!I$1)</f>
        <v>0</v>
      </c>
      <c r="J643" s="7">
        <f>SUMIFS('Leave Management'!$L:$L,'Leave Management'!$C:$C,Detail!$A643,'Leave Management'!$B:$B,Detail!J$1)</f>
        <v>0</v>
      </c>
      <c r="K643" s="7">
        <f>SUMIFS('Leave Management'!$L:$L,'Leave Management'!$C:$C,Detail!$A643,'Leave Management'!$B:$B,Detail!K$1)</f>
        <v>0</v>
      </c>
      <c r="L643" s="7">
        <f>SUMIFS('Leave Management'!$L:$L,'Leave Management'!$C:$C,Detail!$A643,'Leave Management'!$B:$B,Detail!L$1)</f>
        <v>0</v>
      </c>
      <c r="M643" s="7">
        <f>SUMIFS('Leave Management'!$L:$L,'Leave Management'!$C:$C,Detail!$A643,'Leave Management'!$B:$B,Detail!M$1)</f>
        <v>0</v>
      </c>
      <c r="N643" s="7">
        <f>SUMIFS('Leave Management'!$L:$L,'Leave Management'!$C:$C,Detail!$A643,'Leave Management'!$B:$B,Detail!N$1)</f>
        <v>0</v>
      </c>
      <c r="O643" s="7">
        <f t="shared" si="23"/>
        <v>11</v>
      </c>
    </row>
    <row r="644" spans="1:15" x14ac:dyDescent="0.25">
      <c r="A644" s="24">
        <v>43742</v>
      </c>
      <c r="B644" s="2" t="str">
        <f t="shared" si="22"/>
        <v>Fri</v>
      </c>
      <c r="C644" s="7">
        <f>SUMIFS('Leave Management'!$L:$L,'Leave Management'!$C:$C,Detail!$A644,'Leave Management'!$B:$B,Detail!C$1)</f>
        <v>0</v>
      </c>
      <c r="D644" s="7">
        <f>SUMIFS('Leave Management'!$L:$L,'Leave Management'!$C:$C,Detail!$A644,'Leave Management'!$B:$B,Detail!D$1)</f>
        <v>0</v>
      </c>
      <c r="E644" s="7">
        <f>SUMIFS('Leave Management'!$L:$L,'Leave Management'!$C:$C,Detail!$A644,'Leave Management'!$B:$B,Detail!E$1)</f>
        <v>0</v>
      </c>
      <c r="F644" s="7">
        <f>SUMIFS('Leave Management'!$L:$L,'Leave Management'!$C:$C,Detail!$A644,'Leave Management'!$B:$B,Detail!F$1)</f>
        <v>0</v>
      </c>
      <c r="G644" s="7">
        <f>SUMIFS('Leave Management'!$L:$L,'Leave Management'!$C:$C,Detail!$A644,'Leave Management'!$B:$B,Detail!G$1)</f>
        <v>0</v>
      </c>
      <c r="H644" s="7">
        <f>SUMIFS('Leave Management'!$L:$L,'Leave Management'!$C:$C,Detail!$A644,'Leave Management'!$B:$B,Detail!H$1)</f>
        <v>0</v>
      </c>
      <c r="I644" s="7">
        <f>SUMIFS('Leave Management'!$L:$L,'Leave Management'!$C:$C,Detail!$A644,'Leave Management'!$B:$B,Detail!I$1)</f>
        <v>0</v>
      </c>
      <c r="J644" s="7">
        <f>SUMIFS('Leave Management'!$L:$L,'Leave Management'!$C:$C,Detail!$A644,'Leave Management'!$B:$B,Detail!J$1)</f>
        <v>0</v>
      </c>
      <c r="K644" s="7">
        <f>SUMIFS('Leave Management'!$L:$L,'Leave Management'!$C:$C,Detail!$A644,'Leave Management'!$B:$B,Detail!K$1)</f>
        <v>0</v>
      </c>
      <c r="L644" s="7">
        <f>SUMIFS('Leave Management'!$L:$L,'Leave Management'!$C:$C,Detail!$A644,'Leave Management'!$B:$B,Detail!L$1)</f>
        <v>0</v>
      </c>
      <c r="M644" s="7">
        <f>SUMIFS('Leave Management'!$L:$L,'Leave Management'!$C:$C,Detail!$A644,'Leave Management'!$B:$B,Detail!M$1)</f>
        <v>0</v>
      </c>
      <c r="N644" s="7">
        <f>SUMIFS('Leave Management'!$L:$L,'Leave Management'!$C:$C,Detail!$A644,'Leave Management'!$B:$B,Detail!N$1)</f>
        <v>0</v>
      </c>
      <c r="O644" s="7">
        <f t="shared" si="23"/>
        <v>11</v>
      </c>
    </row>
    <row r="645" spans="1:15" x14ac:dyDescent="0.25">
      <c r="A645" s="24">
        <v>43743</v>
      </c>
      <c r="B645" s="2" t="str">
        <f t="shared" si="22"/>
        <v>Sat</v>
      </c>
      <c r="C645" s="7">
        <f>SUMIFS('Leave Management'!$L:$L,'Leave Management'!$C:$C,Detail!$A645,'Leave Management'!$B:$B,Detail!C$1)</f>
        <v>0</v>
      </c>
      <c r="D645" s="7">
        <f>SUMIFS('Leave Management'!$L:$L,'Leave Management'!$C:$C,Detail!$A645,'Leave Management'!$B:$B,Detail!D$1)</f>
        <v>0</v>
      </c>
      <c r="E645" s="7">
        <f>SUMIFS('Leave Management'!$L:$L,'Leave Management'!$C:$C,Detail!$A645,'Leave Management'!$B:$B,Detail!E$1)</f>
        <v>0</v>
      </c>
      <c r="F645" s="7">
        <f>SUMIFS('Leave Management'!$L:$L,'Leave Management'!$C:$C,Detail!$A645,'Leave Management'!$B:$B,Detail!F$1)</f>
        <v>0</v>
      </c>
      <c r="G645" s="7">
        <f>SUMIFS('Leave Management'!$L:$L,'Leave Management'!$C:$C,Detail!$A645,'Leave Management'!$B:$B,Detail!G$1)</f>
        <v>0</v>
      </c>
      <c r="H645" s="7">
        <f>SUMIFS('Leave Management'!$L:$L,'Leave Management'!$C:$C,Detail!$A645,'Leave Management'!$B:$B,Detail!H$1)</f>
        <v>0</v>
      </c>
      <c r="I645" s="7">
        <f>SUMIFS('Leave Management'!$L:$L,'Leave Management'!$C:$C,Detail!$A645,'Leave Management'!$B:$B,Detail!I$1)</f>
        <v>0</v>
      </c>
      <c r="J645" s="7">
        <f>SUMIFS('Leave Management'!$L:$L,'Leave Management'!$C:$C,Detail!$A645,'Leave Management'!$B:$B,Detail!J$1)</f>
        <v>0</v>
      </c>
      <c r="K645" s="7">
        <f>SUMIFS('Leave Management'!$L:$L,'Leave Management'!$C:$C,Detail!$A645,'Leave Management'!$B:$B,Detail!K$1)</f>
        <v>0</v>
      </c>
      <c r="L645" s="7">
        <f>SUMIFS('Leave Management'!$L:$L,'Leave Management'!$C:$C,Detail!$A645,'Leave Management'!$B:$B,Detail!L$1)</f>
        <v>0</v>
      </c>
      <c r="M645" s="7">
        <f>SUMIFS('Leave Management'!$L:$L,'Leave Management'!$C:$C,Detail!$A645,'Leave Management'!$B:$B,Detail!M$1)</f>
        <v>0</v>
      </c>
      <c r="N645" s="7">
        <f>SUMIFS('Leave Management'!$L:$L,'Leave Management'!$C:$C,Detail!$A645,'Leave Management'!$B:$B,Detail!N$1)</f>
        <v>0</v>
      </c>
      <c r="O645" s="7">
        <f t="shared" si="23"/>
        <v>11</v>
      </c>
    </row>
    <row r="646" spans="1:15" x14ac:dyDescent="0.25">
      <c r="A646" s="24">
        <v>43744</v>
      </c>
      <c r="B646" s="2" t="str">
        <f t="shared" si="22"/>
        <v>Sun</v>
      </c>
      <c r="C646" s="7">
        <f>SUMIFS('Leave Management'!$L:$L,'Leave Management'!$C:$C,Detail!$A646,'Leave Management'!$B:$B,Detail!C$1)</f>
        <v>0</v>
      </c>
      <c r="D646" s="7">
        <f>SUMIFS('Leave Management'!$L:$L,'Leave Management'!$C:$C,Detail!$A646,'Leave Management'!$B:$B,Detail!D$1)</f>
        <v>0</v>
      </c>
      <c r="E646" s="7">
        <f>SUMIFS('Leave Management'!$L:$L,'Leave Management'!$C:$C,Detail!$A646,'Leave Management'!$B:$B,Detail!E$1)</f>
        <v>0</v>
      </c>
      <c r="F646" s="7">
        <f>SUMIFS('Leave Management'!$L:$L,'Leave Management'!$C:$C,Detail!$A646,'Leave Management'!$B:$B,Detail!F$1)</f>
        <v>0</v>
      </c>
      <c r="G646" s="7">
        <f>SUMIFS('Leave Management'!$L:$L,'Leave Management'!$C:$C,Detail!$A646,'Leave Management'!$B:$B,Detail!G$1)</f>
        <v>0</v>
      </c>
      <c r="H646" s="7">
        <f>SUMIFS('Leave Management'!$L:$L,'Leave Management'!$C:$C,Detail!$A646,'Leave Management'!$B:$B,Detail!H$1)</f>
        <v>0</v>
      </c>
      <c r="I646" s="7">
        <f>SUMIFS('Leave Management'!$L:$L,'Leave Management'!$C:$C,Detail!$A646,'Leave Management'!$B:$B,Detail!I$1)</f>
        <v>0</v>
      </c>
      <c r="J646" s="7">
        <f>SUMIFS('Leave Management'!$L:$L,'Leave Management'!$C:$C,Detail!$A646,'Leave Management'!$B:$B,Detail!J$1)</f>
        <v>0</v>
      </c>
      <c r="K646" s="7">
        <f>SUMIFS('Leave Management'!$L:$L,'Leave Management'!$C:$C,Detail!$A646,'Leave Management'!$B:$B,Detail!K$1)</f>
        <v>0</v>
      </c>
      <c r="L646" s="7">
        <f>SUMIFS('Leave Management'!$L:$L,'Leave Management'!$C:$C,Detail!$A646,'Leave Management'!$B:$B,Detail!L$1)</f>
        <v>0</v>
      </c>
      <c r="M646" s="7">
        <f>SUMIFS('Leave Management'!$L:$L,'Leave Management'!$C:$C,Detail!$A646,'Leave Management'!$B:$B,Detail!M$1)</f>
        <v>0</v>
      </c>
      <c r="N646" s="7">
        <f>SUMIFS('Leave Management'!$L:$L,'Leave Management'!$C:$C,Detail!$A646,'Leave Management'!$B:$B,Detail!N$1)</f>
        <v>0</v>
      </c>
      <c r="O646" s="7">
        <f t="shared" si="23"/>
        <v>11</v>
      </c>
    </row>
    <row r="647" spans="1:15" x14ac:dyDescent="0.25">
      <c r="A647" s="24">
        <v>43745</v>
      </c>
      <c r="B647" s="2" t="str">
        <f t="shared" ref="B647:B710" si="24">CHOOSE(WEEKDAY(A647),"Sun","Mon","Tue","Wed","Thu","Fri","Sat")</f>
        <v>Mon</v>
      </c>
      <c r="C647" s="7">
        <f>SUMIFS('Leave Management'!$L:$L,'Leave Management'!$C:$C,Detail!$A647,'Leave Management'!$B:$B,Detail!C$1)</f>
        <v>0</v>
      </c>
      <c r="D647" s="7">
        <f>SUMIFS('Leave Management'!$L:$L,'Leave Management'!$C:$C,Detail!$A647,'Leave Management'!$B:$B,Detail!D$1)</f>
        <v>0</v>
      </c>
      <c r="E647" s="7">
        <f>SUMIFS('Leave Management'!$L:$L,'Leave Management'!$C:$C,Detail!$A647,'Leave Management'!$B:$B,Detail!E$1)</f>
        <v>0</v>
      </c>
      <c r="F647" s="7">
        <f>SUMIFS('Leave Management'!$L:$L,'Leave Management'!$C:$C,Detail!$A647,'Leave Management'!$B:$B,Detail!F$1)</f>
        <v>0</v>
      </c>
      <c r="G647" s="7">
        <f>SUMIFS('Leave Management'!$L:$L,'Leave Management'!$C:$C,Detail!$A647,'Leave Management'!$B:$B,Detail!G$1)</f>
        <v>0</v>
      </c>
      <c r="H647" s="7">
        <f>SUMIFS('Leave Management'!$L:$L,'Leave Management'!$C:$C,Detail!$A647,'Leave Management'!$B:$B,Detail!H$1)</f>
        <v>0</v>
      </c>
      <c r="I647" s="7">
        <f>SUMIFS('Leave Management'!$L:$L,'Leave Management'!$C:$C,Detail!$A647,'Leave Management'!$B:$B,Detail!I$1)</f>
        <v>0</v>
      </c>
      <c r="J647" s="7">
        <f>SUMIFS('Leave Management'!$L:$L,'Leave Management'!$C:$C,Detail!$A647,'Leave Management'!$B:$B,Detail!J$1)</f>
        <v>0</v>
      </c>
      <c r="K647" s="7">
        <f>SUMIFS('Leave Management'!$L:$L,'Leave Management'!$C:$C,Detail!$A647,'Leave Management'!$B:$B,Detail!K$1)</f>
        <v>0</v>
      </c>
      <c r="L647" s="7">
        <f>SUMIFS('Leave Management'!$L:$L,'Leave Management'!$C:$C,Detail!$A647,'Leave Management'!$B:$B,Detail!L$1)</f>
        <v>0</v>
      </c>
      <c r="M647" s="7">
        <f>SUMIFS('Leave Management'!$L:$L,'Leave Management'!$C:$C,Detail!$A647,'Leave Management'!$B:$B,Detail!M$1)</f>
        <v>0</v>
      </c>
      <c r="N647" s="7">
        <f>SUMIFS('Leave Management'!$L:$L,'Leave Management'!$C:$C,Detail!$A647,'Leave Management'!$B:$B,Detail!N$1)</f>
        <v>0</v>
      </c>
      <c r="O647" s="7">
        <f t="shared" si="23"/>
        <v>11</v>
      </c>
    </row>
    <row r="648" spans="1:15" x14ac:dyDescent="0.25">
      <c r="A648" s="24">
        <v>43746</v>
      </c>
      <c r="B648" s="2" t="str">
        <f t="shared" si="24"/>
        <v>Tue</v>
      </c>
      <c r="C648" s="7">
        <f>SUMIFS('Leave Management'!$L:$L,'Leave Management'!$C:$C,Detail!$A648,'Leave Management'!$B:$B,Detail!C$1)</f>
        <v>0</v>
      </c>
      <c r="D648" s="7">
        <f>SUMIFS('Leave Management'!$L:$L,'Leave Management'!$C:$C,Detail!$A648,'Leave Management'!$B:$B,Detail!D$1)</f>
        <v>0</v>
      </c>
      <c r="E648" s="7">
        <f>SUMIFS('Leave Management'!$L:$L,'Leave Management'!$C:$C,Detail!$A648,'Leave Management'!$B:$B,Detail!E$1)</f>
        <v>0</v>
      </c>
      <c r="F648" s="7">
        <f>SUMIFS('Leave Management'!$L:$L,'Leave Management'!$C:$C,Detail!$A648,'Leave Management'!$B:$B,Detail!F$1)</f>
        <v>0</v>
      </c>
      <c r="G648" s="7">
        <f>SUMIFS('Leave Management'!$L:$L,'Leave Management'!$C:$C,Detail!$A648,'Leave Management'!$B:$B,Detail!G$1)</f>
        <v>0</v>
      </c>
      <c r="H648" s="7">
        <f>SUMIFS('Leave Management'!$L:$L,'Leave Management'!$C:$C,Detail!$A648,'Leave Management'!$B:$B,Detail!H$1)</f>
        <v>0</v>
      </c>
      <c r="I648" s="7">
        <f>SUMIFS('Leave Management'!$L:$L,'Leave Management'!$C:$C,Detail!$A648,'Leave Management'!$B:$B,Detail!I$1)</f>
        <v>0</v>
      </c>
      <c r="J648" s="7">
        <f>SUMIFS('Leave Management'!$L:$L,'Leave Management'!$C:$C,Detail!$A648,'Leave Management'!$B:$B,Detail!J$1)</f>
        <v>0</v>
      </c>
      <c r="K648" s="7">
        <f>SUMIFS('Leave Management'!$L:$L,'Leave Management'!$C:$C,Detail!$A648,'Leave Management'!$B:$B,Detail!K$1)</f>
        <v>0</v>
      </c>
      <c r="L648" s="7">
        <f>SUMIFS('Leave Management'!$L:$L,'Leave Management'!$C:$C,Detail!$A648,'Leave Management'!$B:$B,Detail!L$1)</f>
        <v>0</v>
      </c>
      <c r="M648" s="7">
        <f>SUMIFS('Leave Management'!$L:$L,'Leave Management'!$C:$C,Detail!$A648,'Leave Management'!$B:$B,Detail!M$1)</f>
        <v>0</v>
      </c>
      <c r="N648" s="7">
        <f>SUMIFS('Leave Management'!$L:$L,'Leave Management'!$C:$C,Detail!$A648,'Leave Management'!$B:$B,Detail!N$1)</f>
        <v>0</v>
      </c>
      <c r="O648" s="7">
        <f t="shared" si="23"/>
        <v>11</v>
      </c>
    </row>
    <row r="649" spans="1:15" x14ac:dyDescent="0.25">
      <c r="A649" s="24">
        <v>43747</v>
      </c>
      <c r="B649" s="2" t="str">
        <f t="shared" si="24"/>
        <v>Wed</v>
      </c>
      <c r="C649" s="7">
        <f>SUMIFS('Leave Management'!$L:$L,'Leave Management'!$C:$C,Detail!$A649,'Leave Management'!$B:$B,Detail!C$1)</f>
        <v>0</v>
      </c>
      <c r="D649" s="7">
        <f>SUMIFS('Leave Management'!$L:$L,'Leave Management'!$C:$C,Detail!$A649,'Leave Management'!$B:$B,Detail!D$1)</f>
        <v>0</v>
      </c>
      <c r="E649" s="7">
        <f>SUMIFS('Leave Management'!$L:$L,'Leave Management'!$C:$C,Detail!$A649,'Leave Management'!$B:$B,Detail!E$1)</f>
        <v>0</v>
      </c>
      <c r="F649" s="7">
        <f>SUMIFS('Leave Management'!$L:$L,'Leave Management'!$C:$C,Detail!$A649,'Leave Management'!$B:$B,Detail!F$1)</f>
        <v>0</v>
      </c>
      <c r="G649" s="7">
        <f>SUMIFS('Leave Management'!$L:$L,'Leave Management'!$C:$C,Detail!$A649,'Leave Management'!$B:$B,Detail!G$1)</f>
        <v>0</v>
      </c>
      <c r="H649" s="7">
        <f>SUMIFS('Leave Management'!$L:$L,'Leave Management'!$C:$C,Detail!$A649,'Leave Management'!$B:$B,Detail!H$1)</f>
        <v>0</v>
      </c>
      <c r="I649" s="7">
        <f>SUMIFS('Leave Management'!$L:$L,'Leave Management'!$C:$C,Detail!$A649,'Leave Management'!$B:$B,Detail!I$1)</f>
        <v>0</v>
      </c>
      <c r="J649" s="7">
        <f>SUMIFS('Leave Management'!$L:$L,'Leave Management'!$C:$C,Detail!$A649,'Leave Management'!$B:$B,Detail!J$1)</f>
        <v>0</v>
      </c>
      <c r="K649" s="7">
        <f>SUMIFS('Leave Management'!$L:$L,'Leave Management'!$C:$C,Detail!$A649,'Leave Management'!$B:$B,Detail!K$1)</f>
        <v>0</v>
      </c>
      <c r="L649" s="7">
        <f>SUMIFS('Leave Management'!$L:$L,'Leave Management'!$C:$C,Detail!$A649,'Leave Management'!$B:$B,Detail!L$1)</f>
        <v>0</v>
      </c>
      <c r="M649" s="7">
        <f>SUMIFS('Leave Management'!$L:$L,'Leave Management'!$C:$C,Detail!$A649,'Leave Management'!$B:$B,Detail!M$1)</f>
        <v>0</v>
      </c>
      <c r="N649" s="7">
        <f>SUMIFS('Leave Management'!$L:$L,'Leave Management'!$C:$C,Detail!$A649,'Leave Management'!$B:$B,Detail!N$1)</f>
        <v>0</v>
      </c>
      <c r="O649" s="7">
        <f t="shared" si="23"/>
        <v>11</v>
      </c>
    </row>
    <row r="650" spans="1:15" x14ac:dyDescent="0.25">
      <c r="A650" s="24">
        <v>43748</v>
      </c>
      <c r="B650" s="2" t="str">
        <f t="shared" si="24"/>
        <v>Thu</v>
      </c>
      <c r="C650" s="7">
        <f>SUMIFS('Leave Management'!$L:$L,'Leave Management'!$C:$C,Detail!$A650,'Leave Management'!$B:$B,Detail!C$1)</f>
        <v>0</v>
      </c>
      <c r="D650" s="7">
        <f>SUMIFS('Leave Management'!$L:$L,'Leave Management'!$C:$C,Detail!$A650,'Leave Management'!$B:$B,Detail!D$1)</f>
        <v>0</v>
      </c>
      <c r="E650" s="7">
        <f>SUMIFS('Leave Management'!$L:$L,'Leave Management'!$C:$C,Detail!$A650,'Leave Management'!$B:$B,Detail!E$1)</f>
        <v>0</v>
      </c>
      <c r="F650" s="7">
        <f>SUMIFS('Leave Management'!$L:$L,'Leave Management'!$C:$C,Detail!$A650,'Leave Management'!$B:$B,Detail!F$1)</f>
        <v>0</v>
      </c>
      <c r="G650" s="7">
        <f>SUMIFS('Leave Management'!$L:$L,'Leave Management'!$C:$C,Detail!$A650,'Leave Management'!$B:$B,Detail!G$1)</f>
        <v>0</v>
      </c>
      <c r="H650" s="7">
        <f>SUMIFS('Leave Management'!$L:$L,'Leave Management'!$C:$C,Detail!$A650,'Leave Management'!$B:$B,Detail!H$1)</f>
        <v>0</v>
      </c>
      <c r="I650" s="7">
        <f>SUMIFS('Leave Management'!$L:$L,'Leave Management'!$C:$C,Detail!$A650,'Leave Management'!$B:$B,Detail!I$1)</f>
        <v>0</v>
      </c>
      <c r="J650" s="7">
        <f>SUMIFS('Leave Management'!$L:$L,'Leave Management'!$C:$C,Detail!$A650,'Leave Management'!$B:$B,Detail!J$1)</f>
        <v>0</v>
      </c>
      <c r="K650" s="7">
        <f>SUMIFS('Leave Management'!$L:$L,'Leave Management'!$C:$C,Detail!$A650,'Leave Management'!$B:$B,Detail!K$1)</f>
        <v>0</v>
      </c>
      <c r="L650" s="7">
        <f>SUMIFS('Leave Management'!$L:$L,'Leave Management'!$C:$C,Detail!$A650,'Leave Management'!$B:$B,Detail!L$1)</f>
        <v>0</v>
      </c>
      <c r="M650" s="7">
        <f>SUMIFS('Leave Management'!$L:$L,'Leave Management'!$C:$C,Detail!$A650,'Leave Management'!$B:$B,Detail!M$1)</f>
        <v>0</v>
      </c>
      <c r="N650" s="7">
        <f>SUMIFS('Leave Management'!$L:$L,'Leave Management'!$C:$C,Detail!$A650,'Leave Management'!$B:$B,Detail!N$1)</f>
        <v>0</v>
      </c>
      <c r="O650" s="7">
        <f t="shared" si="23"/>
        <v>11</v>
      </c>
    </row>
    <row r="651" spans="1:15" x14ac:dyDescent="0.25">
      <c r="A651" s="24">
        <v>43749</v>
      </c>
      <c r="B651" s="2" t="str">
        <f t="shared" si="24"/>
        <v>Fri</v>
      </c>
      <c r="C651" s="7">
        <f>SUMIFS('Leave Management'!$L:$L,'Leave Management'!$C:$C,Detail!$A651,'Leave Management'!$B:$B,Detail!C$1)</f>
        <v>0</v>
      </c>
      <c r="D651" s="7">
        <f>SUMIFS('Leave Management'!$L:$L,'Leave Management'!$C:$C,Detail!$A651,'Leave Management'!$B:$B,Detail!D$1)</f>
        <v>0</v>
      </c>
      <c r="E651" s="7">
        <f>SUMIFS('Leave Management'!$L:$L,'Leave Management'!$C:$C,Detail!$A651,'Leave Management'!$B:$B,Detail!E$1)</f>
        <v>0</v>
      </c>
      <c r="F651" s="7">
        <f>SUMIFS('Leave Management'!$L:$L,'Leave Management'!$C:$C,Detail!$A651,'Leave Management'!$B:$B,Detail!F$1)</f>
        <v>0</v>
      </c>
      <c r="G651" s="7">
        <f>SUMIFS('Leave Management'!$L:$L,'Leave Management'!$C:$C,Detail!$A651,'Leave Management'!$B:$B,Detail!G$1)</f>
        <v>0</v>
      </c>
      <c r="H651" s="7">
        <f>SUMIFS('Leave Management'!$L:$L,'Leave Management'!$C:$C,Detail!$A651,'Leave Management'!$B:$B,Detail!H$1)</f>
        <v>0</v>
      </c>
      <c r="I651" s="7">
        <f>SUMIFS('Leave Management'!$L:$L,'Leave Management'!$C:$C,Detail!$A651,'Leave Management'!$B:$B,Detail!I$1)</f>
        <v>0</v>
      </c>
      <c r="J651" s="7">
        <f>SUMIFS('Leave Management'!$L:$L,'Leave Management'!$C:$C,Detail!$A651,'Leave Management'!$B:$B,Detail!J$1)</f>
        <v>0</v>
      </c>
      <c r="K651" s="7">
        <f>SUMIFS('Leave Management'!$L:$L,'Leave Management'!$C:$C,Detail!$A651,'Leave Management'!$B:$B,Detail!K$1)</f>
        <v>0</v>
      </c>
      <c r="L651" s="7">
        <f>SUMIFS('Leave Management'!$L:$L,'Leave Management'!$C:$C,Detail!$A651,'Leave Management'!$B:$B,Detail!L$1)</f>
        <v>0</v>
      </c>
      <c r="M651" s="7">
        <f>SUMIFS('Leave Management'!$L:$L,'Leave Management'!$C:$C,Detail!$A651,'Leave Management'!$B:$B,Detail!M$1)</f>
        <v>0</v>
      </c>
      <c r="N651" s="7">
        <f>SUMIFS('Leave Management'!$L:$L,'Leave Management'!$C:$C,Detail!$A651,'Leave Management'!$B:$B,Detail!N$1)</f>
        <v>0</v>
      </c>
      <c r="O651" s="7">
        <f t="shared" ref="O651:O714" si="25">COUNTA($D$1:$N$1)-SUM($C651:$N651)</f>
        <v>11</v>
      </c>
    </row>
    <row r="652" spans="1:15" x14ac:dyDescent="0.25">
      <c r="A652" s="24">
        <v>43750</v>
      </c>
      <c r="B652" s="2" t="str">
        <f t="shared" si="24"/>
        <v>Sat</v>
      </c>
      <c r="C652" s="7">
        <f>SUMIFS('Leave Management'!$L:$L,'Leave Management'!$C:$C,Detail!$A652,'Leave Management'!$B:$B,Detail!C$1)</f>
        <v>0</v>
      </c>
      <c r="D652" s="7">
        <f>SUMIFS('Leave Management'!$L:$L,'Leave Management'!$C:$C,Detail!$A652,'Leave Management'!$B:$B,Detail!D$1)</f>
        <v>0</v>
      </c>
      <c r="E652" s="7">
        <f>SUMIFS('Leave Management'!$L:$L,'Leave Management'!$C:$C,Detail!$A652,'Leave Management'!$B:$B,Detail!E$1)</f>
        <v>0</v>
      </c>
      <c r="F652" s="7">
        <f>SUMIFS('Leave Management'!$L:$L,'Leave Management'!$C:$C,Detail!$A652,'Leave Management'!$B:$B,Detail!F$1)</f>
        <v>0</v>
      </c>
      <c r="G652" s="7">
        <f>SUMIFS('Leave Management'!$L:$L,'Leave Management'!$C:$C,Detail!$A652,'Leave Management'!$B:$B,Detail!G$1)</f>
        <v>0</v>
      </c>
      <c r="H652" s="7">
        <f>SUMIFS('Leave Management'!$L:$L,'Leave Management'!$C:$C,Detail!$A652,'Leave Management'!$B:$B,Detail!H$1)</f>
        <v>0</v>
      </c>
      <c r="I652" s="7">
        <f>SUMIFS('Leave Management'!$L:$L,'Leave Management'!$C:$C,Detail!$A652,'Leave Management'!$B:$B,Detail!I$1)</f>
        <v>0</v>
      </c>
      <c r="J652" s="7">
        <f>SUMIFS('Leave Management'!$L:$L,'Leave Management'!$C:$C,Detail!$A652,'Leave Management'!$B:$B,Detail!J$1)</f>
        <v>0</v>
      </c>
      <c r="K652" s="7">
        <f>SUMIFS('Leave Management'!$L:$L,'Leave Management'!$C:$C,Detail!$A652,'Leave Management'!$B:$B,Detail!K$1)</f>
        <v>0</v>
      </c>
      <c r="L652" s="7">
        <f>SUMIFS('Leave Management'!$L:$L,'Leave Management'!$C:$C,Detail!$A652,'Leave Management'!$B:$B,Detail!L$1)</f>
        <v>0</v>
      </c>
      <c r="M652" s="7">
        <f>SUMIFS('Leave Management'!$L:$L,'Leave Management'!$C:$C,Detail!$A652,'Leave Management'!$B:$B,Detail!M$1)</f>
        <v>0</v>
      </c>
      <c r="N652" s="7">
        <f>SUMIFS('Leave Management'!$L:$L,'Leave Management'!$C:$C,Detail!$A652,'Leave Management'!$B:$B,Detail!N$1)</f>
        <v>0</v>
      </c>
      <c r="O652" s="7">
        <f t="shared" si="25"/>
        <v>11</v>
      </c>
    </row>
    <row r="653" spans="1:15" x14ac:dyDescent="0.25">
      <c r="A653" s="24">
        <v>43751</v>
      </c>
      <c r="B653" s="2" t="str">
        <f t="shared" si="24"/>
        <v>Sun</v>
      </c>
      <c r="C653" s="7">
        <f>SUMIFS('Leave Management'!$L:$L,'Leave Management'!$C:$C,Detail!$A653,'Leave Management'!$B:$B,Detail!C$1)</f>
        <v>0</v>
      </c>
      <c r="D653" s="7">
        <f>SUMIFS('Leave Management'!$L:$L,'Leave Management'!$C:$C,Detail!$A653,'Leave Management'!$B:$B,Detail!D$1)</f>
        <v>0</v>
      </c>
      <c r="E653" s="7">
        <f>SUMIFS('Leave Management'!$L:$L,'Leave Management'!$C:$C,Detail!$A653,'Leave Management'!$B:$B,Detail!E$1)</f>
        <v>0</v>
      </c>
      <c r="F653" s="7">
        <f>SUMIFS('Leave Management'!$L:$L,'Leave Management'!$C:$C,Detail!$A653,'Leave Management'!$B:$B,Detail!F$1)</f>
        <v>0</v>
      </c>
      <c r="G653" s="7">
        <f>SUMIFS('Leave Management'!$L:$L,'Leave Management'!$C:$C,Detail!$A653,'Leave Management'!$B:$B,Detail!G$1)</f>
        <v>0</v>
      </c>
      <c r="H653" s="7">
        <f>SUMIFS('Leave Management'!$L:$L,'Leave Management'!$C:$C,Detail!$A653,'Leave Management'!$B:$B,Detail!H$1)</f>
        <v>0</v>
      </c>
      <c r="I653" s="7">
        <f>SUMIFS('Leave Management'!$L:$L,'Leave Management'!$C:$C,Detail!$A653,'Leave Management'!$B:$B,Detail!I$1)</f>
        <v>0</v>
      </c>
      <c r="J653" s="7">
        <f>SUMIFS('Leave Management'!$L:$L,'Leave Management'!$C:$C,Detail!$A653,'Leave Management'!$B:$B,Detail!J$1)</f>
        <v>0</v>
      </c>
      <c r="K653" s="7">
        <f>SUMIFS('Leave Management'!$L:$L,'Leave Management'!$C:$C,Detail!$A653,'Leave Management'!$B:$B,Detail!K$1)</f>
        <v>0</v>
      </c>
      <c r="L653" s="7">
        <f>SUMIFS('Leave Management'!$L:$L,'Leave Management'!$C:$C,Detail!$A653,'Leave Management'!$B:$B,Detail!L$1)</f>
        <v>0</v>
      </c>
      <c r="M653" s="7">
        <f>SUMIFS('Leave Management'!$L:$L,'Leave Management'!$C:$C,Detail!$A653,'Leave Management'!$B:$B,Detail!M$1)</f>
        <v>0</v>
      </c>
      <c r="N653" s="7">
        <f>SUMIFS('Leave Management'!$L:$L,'Leave Management'!$C:$C,Detail!$A653,'Leave Management'!$B:$B,Detail!N$1)</f>
        <v>0</v>
      </c>
      <c r="O653" s="7">
        <f t="shared" si="25"/>
        <v>11</v>
      </c>
    </row>
    <row r="654" spans="1:15" x14ac:dyDescent="0.25">
      <c r="A654" s="24">
        <v>43752</v>
      </c>
      <c r="B654" s="2" t="str">
        <f t="shared" si="24"/>
        <v>Mon</v>
      </c>
      <c r="C654" s="7">
        <f>SUMIFS('Leave Management'!$L:$L,'Leave Management'!$C:$C,Detail!$A654,'Leave Management'!$B:$B,Detail!C$1)</f>
        <v>0</v>
      </c>
      <c r="D654" s="7">
        <f>SUMIFS('Leave Management'!$L:$L,'Leave Management'!$C:$C,Detail!$A654,'Leave Management'!$B:$B,Detail!D$1)</f>
        <v>0</v>
      </c>
      <c r="E654" s="7">
        <f>SUMIFS('Leave Management'!$L:$L,'Leave Management'!$C:$C,Detail!$A654,'Leave Management'!$B:$B,Detail!E$1)</f>
        <v>0</v>
      </c>
      <c r="F654" s="7">
        <f>SUMIFS('Leave Management'!$L:$L,'Leave Management'!$C:$C,Detail!$A654,'Leave Management'!$B:$B,Detail!F$1)</f>
        <v>0</v>
      </c>
      <c r="G654" s="7">
        <f>SUMIFS('Leave Management'!$L:$L,'Leave Management'!$C:$C,Detail!$A654,'Leave Management'!$B:$B,Detail!G$1)</f>
        <v>0</v>
      </c>
      <c r="H654" s="7">
        <f>SUMIFS('Leave Management'!$L:$L,'Leave Management'!$C:$C,Detail!$A654,'Leave Management'!$B:$B,Detail!H$1)</f>
        <v>0</v>
      </c>
      <c r="I654" s="7">
        <f>SUMIFS('Leave Management'!$L:$L,'Leave Management'!$C:$C,Detail!$A654,'Leave Management'!$B:$B,Detail!I$1)</f>
        <v>0</v>
      </c>
      <c r="J654" s="7">
        <f>SUMIFS('Leave Management'!$L:$L,'Leave Management'!$C:$C,Detail!$A654,'Leave Management'!$B:$B,Detail!J$1)</f>
        <v>0</v>
      </c>
      <c r="K654" s="7">
        <f>SUMIFS('Leave Management'!$L:$L,'Leave Management'!$C:$C,Detail!$A654,'Leave Management'!$B:$B,Detail!K$1)</f>
        <v>0</v>
      </c>
      <c r="L654" s="7">
        <f>SUMIFS('Leave Management'!$L:$L,'Leave Management'!$C:$C,Detail!$A654,'Leave Management'!$B:$B,Detail!L$1)</f>
        <v>0</v>
      </c>
      <c r="M654" s="7">
        <f>SUMIFS('Leave Management'!$L:$L,'Leave Management'!$C:$C,Detail!$A654,'Leave Management'!$B:$B,Detail!M$1)</f>
        <v>0</v>
      </c>
      <c r="N654" s="7">
        <f>SUMIFS('Leave Management'!$L:$L,'Leave Management'!$C:$C,Detail!$A654,'Leave Management'!$B:$B,Detail!N$1)</f>
        <v>0</v>
      </c>
      <c r="O654" s="7">
        <f t="shared" si="25"/>
        <v>11</v>
      </c>
    </row>
    <row r="655" spans="1:15" x14ac:dyDescent="0.25">
      <c r="A655" s="24">
        <v>43753</v>
      </c>
      <c r="B655" s="2" t="str">
        <f t="shared" si="24"/>
        <v>Tue</v>
      </c>
      <c r="C655" s="7">
        <f>SUMIFS('Leave Management'!$L:$L,'Leave Management'!$C:$C,Detail!$A655,'Leave Management'!$B:$B,Detail!C$1)</f>
        <v>0</v>
      </c>
      <c r="D655" s="7">
        <f>SUMIFS('Leave Management'!$L:$L,'Leave Management'!$C:$C,Detail!$A655,'Leave Management'!$B:$B,Detail!D$1)</f>
        <v>0</v>
      </c>
      <c r="E655" s="7">
        <f>SUMIFS('Leave Management'!$L:$L,'Leave Management'!$C:$C,Detail!$A655,'Leave Management'!$B:$B,Detail!E$1)</f>
        <v>0</v>
      </c>
      <c r="F655" s="7">
        <f>SUMIFS('Leave Management'!$L:$L,'Leave Management'!$C:$C,Detail!$A655,'Leave Management'!$B:$B,Detail!F$1)</f>
        <v>0</v>
      </c>
      <c r="G655" s="7">
        <f>SUMIFS('Leave Management'!$L:$L,'Leave Management'!$C:$C,Detail!$A655,'Leave Management'!$B:$B,Detail!G$1)</f>
        <v>0</v>
      </c>
      <c r="H655" s="7">
        <f>SUMIFS('Leave Management'!$L:$L,'Leave Management'!$C:$C,Detail!$A655,'Leave Management'!$B:$B,Detail!H$1)</f>
        <v>0</v>
      </c>
      <c r="I655" s="7">
        <f>SUMIFS('Leave Management'!$L:$L,'Leave Management'!$C:$C,Detail!$A655,'Leave Management'!$B:$B,Detail!I$1)</f>
        <v>0</v>
      </c>
      <c r="J655" s="7">
        <f>SUMIFS('Leave Management'!$L:$L,'Leave Management'!$C:$C,Detail!$A655,'Leave Management'!$B:$B,Detail!J$1)</f>
        <v>0</v>
      </c>
      <c r="K655" s="7">
        <f>SUMIFS('Leave Management'!$L:$L,'Leave Management'!$C:$C,Detail!$A655,'Leave Management'!$B:$B,Detail!K$1)</f>
        <v>0</v>
      </c>
      <c r="L655" s="7">
        <f>SUMIFS('Leave Management'!$L:$L,'Leave Management'!$C:$C,Detail!$A655,'Leave Management'!$B:$B,Detail!L$1)</f>
        <v>0</v>
      </c>
      <c r="M655" s="7">
        <f>SUMIFS('Leave Management'!$L:$L,'Leave Management'!$C:$C,Detail!$A655,'Leave Management'!$B:$B,Detail!M$1)</f>
        <v>0</v>
      </c>
      <c r="N655" s="7">
        <f>SUMIFS('Leave Management'!$L:$L,'Leave Management'!$C:$C,Detail!$A655,'Leave Management'!$B:$B,Detail!N$1)</f>
        <v>0</v>
      </c>
      <c r="O655" s="7">
        <f t="shared" si="25"/>
        <v>11</v>
      </c>
    </row>
    <row r="656" spans="1:15" x14ac:dyDescent="0.25">
      <c r="A656" s="24">
        <v>43754</v>
      </c>
      <c r="B656" s="2" t="str">
        <f t="shared" si="24"/>
        <v>Wed</v>
      </c>
      <c r="C656" s="7">
        <f>SUMIFS('Leave Management'!$L:$L,'Leave Management'!$C:$C,Detail!$A656,'Leave Management'!$B:$B,Detail!C$1)</f>
        <v>0</v>
      </c>
      <c r="D656" s="7">
        <f>SUMIFS('Leave Management'!$L:$L,'Leave Management'!$C:$C,Detail!$A656,'Leave Management'!$B:$B,Detail!D$1)</f>
        <v>0</v>
      </c>
      <c r="E656" s="7">
        <f>SUMIFS('Leave Management'!$L:$L,'Leave Management'!$C:$C,Detail!$A656,'Leave Management'!$B:$B,Detail!E$1)</f>
        <v>0</v>
      </c>
      <c r="F656" s="7">
        <f>SUMIFS('Leave Management'!$L:$L,'Leave Management'!$C:$C,Detail!$A656,'Leave Management'!$B:$B,Detail!F$1)</f>
        <v>0</v>
      </c>
      <c r="G656" s="7">
        <f>SUMIFS('Leave Management'!$L:$L,'Leave Management'!$C:$C,Detail!$A656,'Leave Management'!$B:$B,Detail!G$1)</f>
        <v>0</v>
      </c>
      <c r="H656" s="7">
        <f>SUMIFS('Leave Management'!$L:$L,'Leave Management'!$C:$C,Detail!$A656,'Leave Management'!$B:$B,Detail!H$1)</f>
        <v>0</v>
      </c>
      <c r="I656" s="7">
        <f>SUMIFS('Leave Management'!$L:$L,'Leave Management'!$C:$C,Detail!$A656,'Leave Management'!$B:$B,Detail!I$1)</f>
        <v>0</v>
      </c>
      <c r="J656" s="7">
        <f>SUMIFS('Leave Management'!$L:$L,'Leave Management'!$C:$C,Detail!$A656,'Leave Management'!$B:$B,Detail!J$1)</f>
        <v>0</v>
      </c>
      <c r="K656" s="7">
        <f>SUMIFS('Leave Management'!$L:$L,'Leave Management'!$C:$C,Detail!$A656,'Leave Management'!$B:$B,Detail!K$1)</f>
        <v>0</v>
      </c>
      <c r="L656" s="7">
        <f>SUMIFS('Leave Management'!$L:$L,'Leave Management'!$C:$C,Detail!$A656,'Leave Management'!$B:$B,Detail!L$1)</f>
        <v>0</v>
      </c>
      <c r="M656" s="7">
        <f>SUMIFS('Leave Management'!$L:$L,'Leave Management'!$C:$C,Detail!$A656,'Leave Management'!$B:$B,Detail!M$1)</f>
        <v>0</v>
      </c>
      <c r="N656" s="7">
        <f>SUMIFS('Leave Management'!$L:$L,'Leave Management'!$C:$C,Detail!$A656,'Leave Management'!$B:$B,Detail!N$1)</f>
        <v>0</v>
      </c>
      <c r="O656" s="7">
        <f t="shared" si="25"/>
        <v>11</v>
      </c>
    </row>
    <row r="657" spans="1:15" x14ac:dyDescent="0.25">
      <c r="A657" s="24">
        <v>43755</v>
      </c>
      <c r="B657" s="2" t="str">
        <f t="shared" si="24"/>
        <v>Thu</v>
      </c>
      <c r="C657" s="7">
        <f>SUMIFS('Leave Management'!$L:$L,'Leave Management'!$C:$C,Detail!$A657,'Leave Management'!$B:$B,Detail!C$1)</f>
        <v>0</v>
      </c>
      <c r="D657" s="7">
        <f>SUMIFS('Leave Management'!$L:$L,'Leave Management'!$C:$C,Detail!$A657,'Leave Management'!$B:$B,Detail!D$1)</f>
        <v>0</v>
      </c>
      <c r="E657" s="7">
        <f>SUMIFS('Leave Management'!$L:$L,'Leave Management'!$C:$C,Detail!$A657,'Leave Management'!$B:$B,Detail!E$1)</f>
        <v>0</v>
      </c>
      <c r="F657" s="7">
        <f>SUMIFS('Leave Management'!$L:$L,'Leave Management'!$C:$C,Detail!$A657,'Leave Management'!$B:$B,Detail!F$1)</f>
        <v>0</v>
      </c>
      <c r="G657" s="7">
        <f>SUMIFS('Leave Management'!$L:$L,'Leave Management'!$C:$C,Detail!$A657,'Leave Management'!$B:$B,Detail!G$1)</f>
        <v>0</v>
      </c>
      <c r="H657" s="7">
        <f>SUMIFS('Leave Management'!$L:$L,'Leave Management'!$C:$C,Detail!$A657,'Leave Management'!$B:$B,Detail!H$1)</f>
        <v>0</v>
      </c>
      <c r="I657" s="7">
        <f>SUMIFS('Leave Management'!$L:$L,'Leave Management'!$C:$C,Detail!$A657,'Leave Management'!$B:$B,Detail!I$1)</f>
        <v>0</v>
      </c>
      <c r="J657" s="7">
        <f>SUMIFS('Leave Management'!$L:$L,'Leave Management'!$C:$C,Detail!$A657,'Leave Management'!$B:$B,Detail!J$1)</f>
        <v>0</v>
      </c>
      <c r="K657" s="7">
        <f>SUMIFS('Leave Management'!$L:$L,'Leave Management'!$C:$C,Detail!$A657,'Leave Management'!$B:$B,Detail!K$1)</f>
        <v>0</v>
      </c>
      <c r="L657" s="7">
        <f>SUMIFS('Leave Management'!$L:$L,'Leave Management'!$C:$C,Detail!$A657,'Leave Management'!$B:$B,Detail!L$1)</f>
        <v>0</v>
      </c>
      <c r="M657" s="7">
        <f>SUMIFS('Leave Management'!$L:$L,'Leave Management'!$C:$C,Detail!$A657,'Leave Management'!$B:$B,Detail!M$1)</f>
        <v>0</v>
      </c>
      <c r="N657" s="7">
        <f>SUMIFS('Leave Management'!$L:$L,'Leave Management'!$C:$C,Detail!$A657,'Leave Management'!$B:$B,Detail!N$1)</f>
        <v>0</v>
      </c>
      <c r="O657" s="7">
        <f t="shared" si="25"/>
        <v>11</v>
      </c>
    </row>
    <row r="658" spans="1:15" x14ac:dyDescent="0.25">
      <c r="A658" s="24">
        <v>43756</v>
      </c>
      <c r="B658" s="2" t="str">
        <f t="shared" si="24"/>
        <v>Fri</v>
      </c>
      <c r="C658" s="7">
        <f>SUMIFS('Leave Management'!$L:$L,'Leave Management'!$C:$C,Detail!$A658,'Leave Management'!$B:$B,Detail!C$1)</f>
        <v>0</v>
      </c>
      <c r="D658" s="7">
        <f>SUMIFS('Leave Management'!$L:$L,'Leave Management'!$C:$C,Detail!$A658,'Leave Management'!$B:$B,Detail!D$1)</f>
        <v>0</v>
      </c>
      <c r="E658" s="7">
        <f>SUMIFS('Leave Management'!$L:$L,'Leave Management'!$C:$C,Detail!$A658,'Leave Management'!$B:$B,Detail!E$1)</f>
        <v>1</v>
      </c>
      <c r="F658" s="7">
        <f>SUMIFS('Leave Management'!$L:$L,'Leave Management'!$C:$C,Detail!$A658,'Leave Management'!$B:$B,Detail!F$1)</f>
        <v>0</v>
      </c>
      <c r="G658" s="7">
        <f>SUMIFS('Leave Management'!$L:$L,'Leave Management'!$C:$C,Detail!$A658,'Leave Management'!$B:$B,Detail!G$1)</f>
        <v>0</v>
      </c>
      <c r="H658" s="7">
        <f>SUMIFS('Leave Management'!$L:$L,'Leave Management'!$C:$C,Detail!$A658,'Leave Management'!$B:$B,Detail!H$1)</f>
        <v>0</v>
      </c>
      <c r="I658" s="7">
        <f>SUMIFS('Leave Management'!$L:$L,'Leave Management'!$C:$C,Detail!$A658,'Leave Management'!$B:$B,Detail!I$1)</f>
        <v>0</v>
      </c>
      <c r="J658" s="7">
        <f>SUMIFS('Leave Management'!$L:$L,'Leave Management'!$C:$C,Detail!$A658,'Leave Management'!$B:$B,Detail!J$1)</f>
        <v>0</v>
      </c>
      <c r="K658" s="7">
        <f>SUMIFS('Leave Management'!$L:$L,'Leave Management'!$C:$C,Detail!$A658,'Leave Management'!$B:$B,Detail!K$1)</f>
        <v>0</v>
      </c>
      <c r="L658" s="7">
        <f>SUMIFS('Leave Management'!$L:$L,'Leave Management'!$C:$C,Detail!$A658,'Leave Management'!$B:$B,Detail!L$1)</f>
        <v>0</v>
      </c>
      <c r="M658" s="7">
        <f>SUMIFS('Leave Management'!$L:$L,'Leave Management'!$C:$C,Detail!$A658,'Leave Management'!$B:$B,Detail!M$1)</f>
        <v>0</v>
      </c>
      <c r="N658" s="7">
        <f>SUMIFS('Leave Management'!$L:$L,'Leave Management'!$C:$C,Detail!$A658,'Leave Management'!$B:$B,Detail!N$1)</f>
        <v>0</v>
      </c>
      <c r="O658" s="7">
        <f t="shared" si="25"/>
        <v>10</v>
      </c>
    </row>
    <row r="659" spans="1:15" x14ac:dyDescent="0.25">
      <c r="A659" s="24">
        <v>43757</v>
      </c>
      <c r="B659" s="2" t="str">
        <f t="shared" si="24"/>
        <v>Sat</v>
      </c>
      <c r="C659" s="7">
        <f>SUMIFS('Leave Management'!$L:$L,'Leave Management'!$C:$C,Detail!$A659,'Leave Management'!$B:$B,Detail!C$1)</f>
        <v>0</v>
      </c>
      <c r="D659" s="7">
        <f>SUMIFS('Leave Management'!$L:$L,'Leave Management'!$C:$C,Detail!$A659,'Leave Management'!$B:$B,Detail!D$1)</f>
        <v>0</v>
      </c>
      <c r="E659" s="7">
        <f>SUMIFS('Leave Management'!$L:$L,'Leave Management'!$C:$C,Detail!$A659,'Leave Management'!$B:$B,Detail!E$1)</f>
        <v>0</v>
      </c>
      <c r="F659" s="7">
        <f>SUMIFS('Leave Management'!$L:$L,'Leave Management'!$C:$C,Detail!$A659,'Leave Management'!$B:$B,Detail!F$1)</f>
        <v>0</v>
      </c>
      <c r="G659" s="7">
        <f>SUMIFS('Leave Management'!$L:$L,'Leave Management'!$C:$C,Detail!$A659,'Leave Management'!$B:$B,Detail!G$1)</f>
        <v>0</v>
      </c>
      <c r="H659" s="7">
        <f>SUMIFS('Leave Management'!$L:$L,'Leave Management'!$C:$C,Detail!$A659,'Leave Management'!$B:$B,Detail!H$1)</f>
        <v>0</v>
      </c>
      <c r="I659" s="7">
        <f>SUMIFS('Leave Management'!$L:$L,'Leave Management'!$C:$C,Detail!$A659,'Leave Management'!$B:$B,Detail!I$1)</f>
        <v>0</v>
      </c>
      <c r="J659" s="7">
        <f>SUMIFS('Leave Management'!$L:$L,'Leave Management'!$C:$C,Detail!$A659,'Leave Management'!$B:$B,Detail!J$1)</f>
        <v>0</v>
      </c>
      <c r="K659" s="7">
        <f>SUMIFS('Leave Management'!$L:$L,'Leave Management'!$C:$C,Detail!$A659,'Leave Management'!$B:$B,Detail!K$1)</f>
        <v>0</v>
      </c>
      <c r="L659" s="7">
        <f>SUMIFS('Leave Management'!$L:$L,'Leave Management'!$C:$C,Detail!$A659,'Leave Management'!$B:$B,Detail!L$1)</f>
        <v>0</v>
      </c>
      <c r="M659" s="7">
        <f>SUMIFS('Leave Management'!$L:$L,'Leave Management'!$C:$C,Detail!$A659,'Leave Management'!$B:$B,Detail!M$1)</f>
        <v>0</v>
      </c>
      <c r="N659" s="7">
        <f>SUMIFS('Leave Management'!$L:$L,'Leave Management'!$C:$C,Detail!$A659,'Leave Management'!$B:$B,Detail!N$1)</f>
        <v>0</v>
      </c>
      <c r="O659" s="7">
        <f t="shared" si="25"/>
        <v>11</v>
      </c>
    </row>
    <row r="660" spans="1:15" x14ac:dyDescent="0.25">
      <c r="A660" s="24">
        <v>43758</v>
      </c>
      <c r="B660" s="2" t="str">
        <f t="shared" si="24"/>
        <v>Sun</v>
      </c>
      <c r="C660" s="7">
        <f>SUMIFS('Leave Management'!$L:$L,'Leave Management'!$C:$C,Detail!$A660,'Leave Management'!$B:$B,Detail!C$1)</f>
        <v>0</v>
      </c>
      <c r="D660" s="7">
        <f>SUMIFS('Leave Management'!$L:$L,'Leave Management'!$C:$C,Detail!$A660,'Leave Management'!$B:$B,Detail!D$1)</f>
        <v>0</v>
      </c>
      <c r="E660" s="7">
        <f>SUMIFS('Leave Management'!$L:$L,'Leave Management'!$C:$C,Detail!$A660,'Leave Management'!$B:$B,Detail!E$1)</f>
        <v>0</v>
      </c>
      <c r="F660" s="7">
        <f>SUMIFS('Leave Management'!$L:$L,'Leave Management'!$C:$C,Detail!$A660,'Leave Management'!$B:$B,Detail!F$1)</f>
        <v>0</v>
      </c>
      <c r="G660" s="7">
        <f>SUMIFS('Leave Management'!$L:$L,'Leave Management'!$C:$C,Detail!$A660,'Leave Management'!$B:$B,Detail!G$1)</f>
        <v>0</v>
      </c>
      <c r="H660" s="7">
        <f>SUMIFS('Leave Management'!$L:$L,'Leave Management'!$C:$C,Detail!$A660,'Leave Management'!$B:$B,Detail!H$1)</f>
        <v>0</v>
      </c>
      <c r="I660" s="7">
        <f>SUMIFS('Leave Management'!$L:$L,'Leave Management'!$C:$C,Detail!$A660,'Leave Management'!$B:$B,Detail!I$1)</f>
        <v>0</v>
      </c>
      <c r="J660" s="7">
        <f>SUMIFS('Leave Management'!$L:$L,'Leave Management'!$C:$C,Detail!$A660,'Leave Management'!$B:$B,Detail!J$1)</f>
        <v>0</v>
      </c>
      <c r="K660" s="7">
        <f>SUMIFS('Leave Management'!$L:$L,'Leave Management'!$C:$C,Detail!$A660,'Leave Management'!$B:$B,Detail!K$1)</f>
        <v>0</v>
      </c>
      <c r="L660" s="7">
        <f>SUMIFS('Leave Management'!$L:$L,'Leave Management'!$C:$C,Detail!$A660,'Leave Management'!$B:$B,Detail!L$1)</f>
        <v>0</v>
      </c>
      <c r="M660" s="7">
        <f>SUMIFS('Leave Management'!$L:$L,'Leave Management'!$C:$C,Detail!$A660,'Leave Management'!$B:$B,Detail!M$1)</f>
        <v>0</v>
      </c>
      <c r="N660" s="7">
        <f>SUMIFS('Leave Management'!$L:$L,'Leave Management'!$C:$C,Detail!$A660,'Leave Management'!$B:$B,Detail!N$1)</f>
        <v>0</v>
      </c>
      <c r="O660" s="7">
        <f t="shared" si="25"/>
        <v>11</v>
      </c>
    </row>
    <row r="661" spans="1:15" x14ac:dyDescent="0.25">
      <c r="A661" s="24">
        <v>43759</v>
      </c>
      <c r="B661" s="2" t="str">
        <f t="shared" si="24"/>
        <v>Mon</v>
      </c>
      <c r="C661" s="7">
        <f>SUMIFS('Leave Management'!$L:$L,'Leave Management'!$C:$C,Detail!$A661,'Leave Management'!$B:$B,Detail!C$1)</f>
        <v>0</v>
      </c>
      <c r="D661" s="7">
        <f>SUMIFS('Leave Management'!$L:$L,'Leave Management'!$C:$C,Detail!$A661,'Leave Management'!$B:$B,Detail!D$1)</f>
        <v>0</v>
      </c>
      <c r="E661" s="7">
        <f>SUMIFS('Leave Management'!$L:$L,'Leave Management'!$C:$C,Detail!$A661,'Leave Management'!$B:$B,Detail!E$1)</f>
        <v>0</v>
      </c>
      <c r="F661" s="7">
        <f>SUMIFS('Leave Management'!$L:$L,'Leave Management'!$C:$C,Detail!$A661,'Leave Management'!$B:$B,Detail!F$1)</f>
        <v>0</v>
      </c>
      <c r="G661" s="7">
        <f>SUMIFS('Leave Management'!$L:$L,'Leave Management'!$C:$C,Detail!$A661,'Leave Management'!$B:$B,Detail!G$1)</f>
        <v>0</v>
      </c>
      <c r="H661" s="7">
        <f>SUMIFS('Leave Management'!$L:$L,'Leave Management'!$C:$C,Detail!$A661,'Leave Management'!$B:$B,Detail!H$1)</f>
        <v>0</v>
      </c>
      <c r="I661" s="7">
        <f>SUMIFS('Leave Management'!$L:$L,'Leave Management'!$C:$C,Detail!$A661,'Leave Management'!$B:$B,Detail!I$1)</f>
        <v>0</v>
      </c>
      <c r="J661" s="7">
        <f>SUMIFS('Leave Management'!$L:$L,'Leave Management'!$C:$C,Detail!$A661,'Leave Management'!$B:$B,Detail!J$1)</f>
        <v>0</v>
      </c>
      <c r="K661" s="7">
        <f>SUMIFS('Leave Management'!$L:$L,'Leave Management'!$C:$C,Detail!$A661,'Leave Management'!$B:$B,Detail!K$1)</f>
        <v>0</v>
      </c>
      <c r="L661" s="7">
        <f>SUMIFS('Leave Management'!$L:$L,'Leave Management'!$C:$C,Detail!$A661,'Leave Management'!$B:$B,Detail!L$1)</f>
        <v>0</v>
      </c>
      <c r="M661" s="7">
        <f>SUMIFS('Leave Management'!$L:$L,'Leave Management'!$C:$C,Detail!$A661,'Leave Management'!$B:$B,Detail!M$1)</f>
        <v>0</v>
      </c>
      <c r="N661" s="7">
        <f>SUMIFS('Leave Management'!$L:$L,'Leave Management'!$C:$C,Detail!$A661,'Leave Management'!$B:$B,Detail!N$1)</f>
        <v>0</v>
      </c>
      <c r="O661" s="7">
        <f t="shared" si="25"/>
        <v>11</v>
      </c>
    </row>
    <row r="662" spans="1:15" x14ac:dyDescent="0.25">
      <c r="A662" s="24">
        <v>43760</v>
      </c>
      <c r="B662" s="2" t="str">
        <f t="shared" si="24"/>
        <v>Tue</v>
      </c>
      <c r="C662" s="7">
        <f>SUMIFS('Leave Management'!$L:$L,'Leave Management'!$C:$C,Detail!$A662,'Leave Management'!$B:$B,Detail!C$1)</f>
        <v>0</v>
      </c>
      <c r="D662" s="7">
        <f>SUMIFS('Leave Management'!$L:$L,'Leave Management'!$C:$C,Detail!$A662,'Leave Management'!$B:$B,Detail!D$1)</f>
        <v>0</v>
      </c>
      <c r="E662" s="7">
        <f>SUMIFS('Leave Management'!$L:$L,'Leave Management'!$C:$C,Detail!$A662,'Leave Management'!$B:$B,Detail!E$1)</f>
        <v>0</v>
      </c>
      <c r="F662" s="7">
        <f>SUMIFS('Leave Management'!$L:$L,'Leave Management'!$C:$C,Detail!$A662,'Leave Management'!$B:$B,Detail!F$1)</f>
        <v>0</v>
      </c>
      <c r="G662" s="7">
        <f>SUMIFS('Leave Management'!$L:$L,'Leave Management'!$C:$C,Detail!$A662,'Leave Management'!$B:$B,Detail!G$1)</f>
        <v>0</v>
      </c>
      <c r="H662" s="7">
        <f>SUMIFS('Leave Management'!$L:$L,'Leave Management'!$C:$C,Detail!$A662,'Leave Management'!$B:$B,Detail!H$1)</f>
        <v>0</v>
      </c>
      <c r="I662" s="7">
        <f>SUMIFS('Leave Management'!$L:$L,'Leave Management'!$C:$C,Detail!$A662,'Leave Management'!$B:$B,Detail!I$1)</f>
        <v>0</v>
      </c>
      <c r="J662" s="7">
        <f>SUMIFS('Leave Management'!$L:$L,'Leave Management'!$C:$C,Detail!$A662,'Leave Management'!$B:$B,Detail!J$1)</f>
        <v>0</v>
      </c>
      <c r="K662" s="7">
        <f>SUMIFS('Leave Management'!$L:$L,'Leave Management'!$C:$C,Detail!$A662,'Leave Management'!$B:$B,Detail!K$1)</f>
        <v>0</v>
      </c>
      <c r="L662" s="7">
        <f>SUMIFS('Leave Management'!$L:$L,'Leave Management'!$C:$C,Detail!$A662,'Leave Management'!$B:$B,Detail!L$1)</f>
        <v>0</v>
      </c>
      <c r="M662" s="7">
        <f>SUMIFS('Leave Management'!$L:$L,'Leave Management'!$C:$C,Detail!$A662,'Leave Management'!$B:$B,Detail!M$1)</f>
        <v>0</v>
      </c>
      <c r="N662" s="7">
        <f>SUMIFS('Leave Management'!$L:$L,'Leave Management'!$C:$C,Detail!$A662,'Leave Management'!$B:$B,Detail!N$1)</f>
        <v>0</v>
      </c>
      <c r="O662" s="7">
        <f t="shared" si="25"/>
        <v>11</v>
      </c>
    </row>
    <row r="663" spans="1:15" x14ac:dyDescent="0.25">
      <c r="A663" s="24">
        <v>43761</v>
      </c>
      <c r="B663" s="2" t="str">
        <f t="shared" si="24"/>
        <v>Wed</v>
      </c>
      <c r="C663" s="7">
        <f>SUMIFS('Leave Management'!$L:$L,'Leave Management'!$C:$C,Detail!$A663,'Leave Management'!$B:$B,Detail!C$1)</f>
        <v>0</v>
      </c>
      <c r="D663" s="7">
        <f>SUMIFS('Leave Management'!$L:$L,'Leave Management'!$C:$C,Detail!$A663,'Leave Management'!$B:$B,Detail!D$1)</f>
        <v>0</v>
      </c>
      <c r="E663" s="7">
        <f>SUMIFS('Leave Management'!$L:$L,'Leave Management'!$C:$C,Detail!$A663,'Leave Management'!$B:$B,Detail!E$1)</f>
        <v>0</v>
      </c>
      <c r="F663" s="7">
        <f>SUMIFS('Leave Management'!$L:$L,'Leave Management'!$C:$C,Detail!$A663,'Leave Management'!$B:$B,Detail!F$1)</f>
        <v>0</v>
      </c>
      <c r="G663" s="7">
        <f>SUMIFS('Leave Management'!$L:$L,'Leave Management'!$C:$C,Detail!$A663,'Leave Management'!$B:$B,Detail!G$1)</f>
        <v>0</v>
      </c>
      <c r="H663" s="7">
        <f>SUMIFS('Leave Management'!$L:$L,'Leave Management'!$C:$C,Detail!$A663,'Leave Management'!$B:$B,Detail!H$1)</f>
        <v>0</v>
      </c>
      <c r="I663" s="7">
        <f>SUMIFS('Leave Management'!$L:$L,'Leave Management'!$C:$C,Detail!$A663,'Leave Management'!$B:$B,Detail!I$1)</f>
        <v>0</v>
      </c>
      <c r="J663" s="7">
        <f>SUMIFS('Leave Management'!$L:$L,'Leave Management'!$C:$C,Detail!$A663,'Leave Management'!$B:$B,Detail!J$1)</f>
        <v>0</v>
      </c>
      <c r="K663" s="7">
        <f>SUMIFS('Leave Management'!$L:$L,'Leave Management'!$C:$C,Detail!$A663,'Leave Management'!$B:$B,Detail!K$1)</f>
        <v>0</v>
      </c>
      <c r="L663" s="7">
        <f>SUMIFS('Leave Management'!$L:$L,'Leave Management'!$C:$C,Detail!$A663,'Leave Management'!$B:$B,Detail!L$1)</f>
        <v>0</v>
      </c>
      <c r="M663" s="7">
        <f>SUMIFS('Leave Management'!$L:$L,'Leave Management'!$C:$C,Detail!$A663,'Leave Management'!$B:$B,Detail!M$1)</f>
        <v>0</v>
      </c>
      <c r="N663" s="7">
        <f>SUMIFS('Leave Management'!$L:$L,'Leave Management'!$C:$C,Detail!$A663,'Leave Management'!$B:$B,Detail!N$1)</f>
        <v>0</v>
      </c>
      <c r="O663" s="7">
        <f t="shared" si="25"/>
        <v>11</v>
      </c>
    </row>
    <row r="664" spans="1:15" x14ac:dyDescent="0.25">
      <c r="A664" s="24">
        <v>43762</v>
      </c>
      <c r="B664" s="2" t="str">
        <f t="shared" si="24"/>
        <v>Thu</v>
      </c>
      <c r="C664" s="7">
        <f>SUMIFS('Leave Management'!$L:$L,'Leave Management'!$C:$C,Detail!$A664,'Leave Management'!$B:$B,Detail!C$1)</f>
        <v>0</v>
      </c>
      <c r="D664" s="7">
        <f>SUMIFS('Leave Management'!$L:$L,'Leave Management'!$C:$C,Detail!$A664,'Leave Management'!$B:$B,Detail!D$1)</f>
        <v>0</v>
      </c>
      <c r="E664" s="7">
        <f>SUMIFS('Leave Management'!$L:$L,'Leave Management'!$C:$C,Detail!$A664,'Leave Management'!$B:$B,Detail!E$1)</f>
        <v>0</v>
      </c>
      <c r="F664" s="7">
        <f>SUMIFS('Leave Management'!$L:$L,'Leave Management'!$C:$C,Detail!$A664,'Leave Management'!$B:$B,Detail!F$1)</f>
        <v>0</v>
      </c>
      <c r="G664" s="7">
        <f>SUMIFS('Leave Management'!$L:$L,'Leave Management'!$C:$C,Detail!$A664,'Leave Management'!$B:$B,Detail!G$1)</f>
        <v>0</v>
      </c>
      <c r="H664" s="7">
        <f>SUMIFS('Leave Management'!$L:$L,'Leave Management'!$C:$C,Detail!$A664,'Leave Management'!$B:$B,Detail!H$1)</f>
        <v>0</v>
      </c>
      <c r="I664" s="7">
        <f>SUMIFS('Leave Management'!$L:$L,'Leave Management'!$C:$C,Detail!$A664,'Leave Management'!$B:$B,Detail!I$1)</f>
        <v>0</v>
      </c>
      <c r="J664" s="7">
        <f>SUMIFS('Leave Management'!$L:$L,'Leave Management'!$C:$C,Detail!$A664,'Leave Management'!$B:$B,Detail!J$1)</f>
        <v>0</v>
      </c>
      <c r="K664" s="7">
        <f>SUMIFS('Leave Management'!$L:$L,'Leave Management'!$C:$C,Detail!$A664,'Leave Management'!$B:$B,Detail!K$1)</f>
        <v>0</v>
      </c>
      <c r="L664" s="7">
        <f>SUMIFS('Leave Management'!$L:$L,'Leave Management'!$C:$C,Detail!$A664,'Leave Management'!$B:$B,Detail!L$1)</f>
        <v>0</v>
      </c>
      <c r="M664" s="7">
        <f>SUMIFS('Leave Management'!$L:$L,'Leave Management'!$C:$C,Detail!$A664,'Leave Management'!$B:$B,Detail!M$1)</f>
        <v>0</v>
      </c>
      <c r="N664" s="7">
        <f>SUMIFS('Leave Management'!$L:$L,'Leave Management'!$C:$C,Detail!$A664,'Leave Management'!$B:$B,Detail!N$1)</f>
        <v>0</v>
      </c>
      <c r="O664" s="7">
        <f t="shared" si="25"/>
        <v>11</v>
      </c>
    </row>
    <row r="665" spans="1:15" x14ac:dyDescent="0.25">
      <c r="A665" s="24">
        <v>43763</v>
      </c>
      <c r="B665" s="2" t="str">
        <f t="shared" si="24"/>
        <v>Fri</v>
      </c>
      <c r="C665" s="7">
        <f>SUMIFS('Leave Management'!$L:$L,'Leave Management'!$C:$C,Detail!$A665,'Leave Management'!$B:$B,Detail!C$1)</f>
        <v>0</v>
      </c>
      <c r="D665" s="7">
        <f>SUMIFS('Leave Management'!$L:$L,'Leave Management'!$C:$C,Detail!$A665,'Leave Management'!$B:$B,Detail!D$1)</f>
        <v>0</v>
      </c>
      <c r="E665" s="7">
        <f>SUMIFS('Leave Management'!$L:$L,'Leave Management'!$C:$C,Detail!$A665,'Leave Management'!$B:$B,Detail!E$1)</f>
        <v>0</v>
      </c>
      <c r="F665" s="7">
        <f>SUMIFS('Leave Management'!$L:$L,'Leave Management'!$C:$C,Detail!$A665,'Leave Management'!$B:$B,Detail!F$1)</f>
        <v>0</v>
      </c>
      <c r="G665" s="7">
        <f>SUMIFS('Leave Management'!$L:$L,'Leave Management'!$C:$C,Detail!$A665,'Leave Management'!$B:$B,Detail!G$1)</f>
        <v>0</v>
      </c>
      <c r="H665" s="7">
        <f>SUMIFS('Leave Management'!$L:$L,'Leave Management'!$C:$C,Detail!$A665,'Leave Management'!$B:$B,Detail!H$1)</f>
        <v>0</v>
      </c>
      <c r="I665" s="7">
        <f>SUMIFS('Leave Management'!$L:$L,'Leave Management'!$C:$C,Detail!$A665,'Leave Management'!$B:$B,Detail!I$1)</f>
        <v>0</v>
      </c>
      <c r="J665" s="7">
        <f>SUMIFS('Leave Management'!$L:$L,'Leave Management'!$C:$C,Detail!$A665,'Leave Management'!$B:$B,Detail!J$1)</f>
        <v>0</v>
      </c>
      <c r="K665" s="7">
        <f>SUMIFS('Leave Management'!$L:$L,'Leave Management'!$C:$C,Detail!$A665,'Leave Management'!$B:$B,Detail!K$1)</f>
        <v>0</v>
      </c>
      <c r="L665" s="7">
        <f>SUMIFS('Leave Management'!$L:$L,'Leave Management'!$C:$C,Detail!$A665,'Leave Management'!$B:$B,Detail!L$1)</f>
        <v>0</v>
      </c>
      <c r="M665" s="7">
        <f>SUMIFS('Leave Management'!$L:$L,'Leave Management'!$C:$C,Detail!$A665,'Leave Management'!$B:$B,Detail!M$1)</f>
        <v>0</v>
      </c>
      <c r="N665" s="7">
        <f>SUMIFS('Leave Management'!$L:$L,'Leave Management'!$C:$C,Detail!$A665,'Leave Management'!$B:$B,Detail!N$1)</f>
        <v>0</v>
      </c>
      <c r="O665" s="7">
        <f t="shared" si="25"/>
        <v>11</v>
      </c>
    </row>
    <row r="666" spans="1:15" x14ac:dyDescent="0.25">
      <c r="A666" s="24">
        <v>43764</v>
      </c>
      <c r="B666" s="2" t="str">
        <f t="shared" si="24"/>
        <v>Sat</v>
      </c>
      <c r="C666" s="7">
        <f>SUMIFS('Leave Management'!$L:$L,'Leave Management'!$C:$C,Detail!$A666,'Leave Management'!$B:$B,Detail!C$1)</f>
        <v>0</v>
      </c>
      <c r="D666" s="7">
        <f>SUMIFS('Leave Management'!$L:$L,'Leave Management'!$C:$C,Detail!$A666,'Leave Management'!$B:$B,Detail!D$1)</f>
        <v>0</v>
      </c>
      <c r="E666" s="7">
        <f>SUMIFS('Leave Management'!$L:$L,'Leave Management'!$C:$C,Detail!$A666,'Leave Management'!$B:$B,Detail!E$1)</f>
        <v>0</v>
      </c>
      <c r="F666" s="7">
        <f>SUMIFS('Leave Management'!$L:$L,'Leave Management'!$C:$C,Detail!$A666,'Leave Management'!$B:$B,Detail!F$1)</f>
        <v>0</v>
      </c>
      <c r="G666" s="7">
        <f>SUMIFS('Leave Management'!$L:$L,'Leave Management'!$C:$C,Detail!$A666,'Leave Management'!$B:$B,Detail!G$1)</f>
        <v>0</v>
      </c>
      <c r="H666" s="7">
        <f>SUMIFS('Leave Management'!$L:$L,'Leave Management'!$C:$C,Detail!$A666,'Leave Management'!$B:$B,Detail!H$1)</f>
        <v>0</v>
      </c>
      <c r="I666" s="7">
        <f>SUMIFS('Leave Management'!$L:$L,'Leave Management'!$C:$C,Detail!$A666,'Leave Management'!$B:$B,Detail!I$1)</f>
        <v>0</v>
      </c>
      <c r="J666" s="7">
        <f>SUMIFS('Leave Management'!$L:$L,'Leave Management'!$C:$C,Detail!$A666,'Leave Management'!$B:$B,Detail!J$1)</f>
        <v>0</v>
      </c>
      <c r="K666" s="7">
        <f>SUMIFS('Leave Management'!$L:$L,'Leave Management'!$C:$C,Detail!$A666,'Leave Management'!$B:$B,Detail!K$1)</f>
        <v>0</v>
      </c>
      <c r="L666" s="7">
        <f>SUMIFS('Leave Management'!$L:$L,'Leave Management'!$C:$C,Detail!$A666,'Leave Management'!$B:$B,Detail!L$1)</f>
        <v>0</v>
      </c>
      <c r="M666" s="7">
        <f>SUMIFS('Leave Management'!$L:$L,'Leave Management'!$C:$C,Detail!$A666,'Leave Management'!$B:$B,Detail!M$1)</f>
        <v>0</v>
      </c>
      <c r="N666" s="7">
        <f>SUMIFS('Leave Management'!$L:$L,'Leave Management'!$C:$C,Detail!$A666,'Leave Management'!$B:$B,Detail!N$1)</f>
        <v>0</v>
      </c>
      <c r="O666" s="7">
        <f t="shared" si="25"/>
        <v>11</v>
      </c>
    </row>
    <row r="667" spans="1:15" x14ac:dyDescent="0.25">
      <c r="A667" s="24">
        <v>43765</v>
      </c>
      <c r="B667" s="2" t="str">
        <f t="shared" si="24"/>
        <v>Sun</v>
      </c>
      <c r="C667" s="7">
        <f>SUMIFS('Leave Management'!$L:$L,'Leave Management'!$C:$C,Detail!$A667,'Leave Management'!$B:$B,Detail!C$1)</f>
        <v>0</v>
      </c>
      <c r="D667" s="7">
        <f>SUMIFS('Leave Management'!$L:$L,'Leave Management'!$C:$C,Detail!$A667,'Leave Management'!$B:$B,Detail!D$1)</f>
        <v>0</v>
      </c>
      <c r="E667" s="7">
        <f>SUMIFS('Leave Management'!$L:$L,'Leave Management'!$C:$C,Detail!$A667,'Leave Management'!$B:$B,Detail!E$1)</f>
        <v>0</v>
      </c>
      <c r="F667" s="7">
        <f>SUMIFS('Leave Management'!$L:$L,'Leave Management'!$C:$C,Detail!$A667,'Leave Management'!$B:$B,Detail!F$1)</f>
        <v>0</v>
      </c>
      <c r="G667" s="7">
        <f>SUMIFS('Leave Management'!$L:$L,'Leave Management'!$C:$C,Detail!$A667,'Leave Management'!$B:$B,Detail!G$1)</f>
        <v>0</v>
      </c>
      <c r="H667" s="7">
        <f>SUMIFS('Leave Management'!$L:$L,'Leave Management'!$C:$C,Detail!$A667,'Leave Management'!$B:$B,Detail!H$1)</f>
        <v>0</v>
      </c>
      <c r="I667" s="7">
        <f>SUMIFS('Leave Management'!$L:$L,'Leave Management'!$C:$C,Detail!$A667,'Leave Management'!$B:$B,Detail!I$1)</f>
        <v>0</v>
      </c>
      <c r="J667" s="7">
        <f>SUMIFS('Leave Management'!$L:$L,'Leave Management'!$C:$C,Detail!$A667,'Leave Management'!$B:$B,Detail!J$1)</f>
        <v>0</v>
      </c>
      <c r="K667" s="7">
        <f>SUMIFS('Leave Management'!$L:$L,'Leave Management'!$C:$C,Detail!$A667,'Leave Management'!$B:$B,Detail!K$1)</f>
        <v>0</v>
      </c>
      <c r="L667" s="7">
        <f>SUMIFS('Leave Management'!$L:$L,'Leave Management'!$C:$C,Detail!$A667,'Leave Management'!$B:$B,Detail!L$1)</f>
        <v>0</v>
      </c>
      <c r="M667" s="7">
        <f>SUMIFS('Leave Management'!$L:$L,'Leave Management'!$C:$C,Detail!$A667,'Leave Management'!$B:$B,Detail!M$1)</f>
        <v>0</v>
      </c>
      <c r="N667" s="7">
        <f>SUMIFS('Leave Management'!$L:$L,'Leave Management'!$C:$C,Detail!$A667,'Leave Management'!$B:$B,Detail!N$1)</f>
        <v>0</v>
      </c>
      <c r="O667" s="7">
        <f t="shared" si="25"/>
        <v>11</v>
      </c>
    </row>
    <row r="668" spans="1:15" x14ac:dyDescent="0.25">
      <c r="A668" s="24">
        <v>43766</v>
      </c>
      <c r="B668" s="2" t="str">
        <f t="shared" si="24"/>
        <v>Mon</v>
      </c>
      <c r="C668" s="7">
        <f>SUMIFS('Leave Management'!$L:$L,'Leave Management'!$C:$C,Detail!$A668,'Leave Management'!$B:$B,Detail!C$1)</f>
        <v>0</v>
      </c>
      <c r="D668" s="7">
        <f>SUMIFS('Leave Management'!$L:$L,'Leave Management'!$C:$C,Detail!$A668,'Leave Management'!$B:$B,Detail!D$1)</f>
        <v>0</v>
      </c>
      <c r="E668" s="7">
        <f>SUMIFS('Leave Management'!$L:$L,'Leave Management'!$C:$C,Detail!$A668,'Leave Management'!$B:$B,Detail!E$1)</f>
        <v>0</v>
      </c>
      <c r="F668" s="7">
        <f>SUMIFS('Leave Management'!$L:$L,'Leave Management'!$C:$C,Detail!$A668,'Leave Management'!$B:$B,Detail!F$1)</f>
        <v>0</v>
      </c>
      <c r="G668" s="7">
        <f>SUMIFS('Leave Management'!$L:$L,'Leave Management'!$C:$C,Detail!$A668,'Leave Management'!$B:$B,Detail!G$1)</f>
        <v>0</v>
      </c>
      <c r="H668" s="7">
        <f>SUMIFS('Leave Management'!$L:$L,'Leave Management'!$C:$C,Detail!$A668,'Leave Management'!$B:$B,Detail!H$1)</f>
        <v>0</v>
      </c>
      <c r="I668" s="7">
        <f>SUMIFS('Leave Management'!$L:$L,'Leave Management'!$C:$C,Detail!$A668,'Leave Management'!$B:$B,Detail!I$1)</f>
        <v>0</v>
      </c>
      <c r="J668" s="7">
        <f>SUMIFS('Leave Management'!$L:$L,'Leave Management'!$C:$C,Detail!$A668,'Leave Management'!$B:$B,Detail!J$1)</f>
        <v>0</v>
      </c>
      <c r="K668" s="7">
        <f>SUMIFS('Leave Management'!$L:$L,'Leave Management'!$C:$C,Detail!$A668,'Leave Management'!$B:$B,Detail!K$1)</f>
        <v>0</v>
      </c>
      <c r="L668" s="7">
        <f>SUMIFS('Leave Management'!$L:$L,'Leave Management'!$C:$C,Detail!$A668,'Leave Management'!$B:$B,Detail!L$1)</f>
        <v>0</v>
      </c>
      <c r="M668" s="7">
        <f>SUMIFS('Leave Management'!$L:$L,'Leave Management'!$C:$C,Detail!$A668,'Leave Management'!$B:$B,Detail!M$1)</f>
        <v>0</v>
      </c>
      <c r="N668" s="7">
        <f>SUMIFS('Leave Management'!$L:$L,'Leave Management'!$C:$C,Detail!$A668,'Leave Management'!$B:$B,Detail!N$1)</f>
        <v>0</v>
      </c>
      <c r="O668" s="7">
        <f t="shared" si="25"/>
        <v>11</v>
      </c>
    </row>
    <row r="669" spans="1:15" x14ac:dyDescent="0.25">
      <c r="A669" s="24">
        <v>43767</v>
      </c>
      <c r="B669" s="2" t="str">
        <f t="shared" si="24"/>
        <v>Tue</v>
      </c>
      <c r="C669" s="7">
        <f>SUMIFS('Leave Management'!$L:$L,'Leave Management'!$C:$C,Detail!$A669,'Leave Management'!$B:$B,Detail!C$1)</f>
        <v>0</v>
      </c>
      <c r="D669" s="7">
        <f>SUMIFS('Leave Management'!$L:$L,'Leave Management'!$C:$C,Detail!$A669,'Leave Management'!$B:$B,Detail!D$1)</f>
        <v>0</v>
      </c>
      <c r="E669" s="7">
        <f>SUMIFS('Leave Management'!$L:$L,'Leave Management'!$C:$C,Detail!$A669,'Leave Management'!$B:$B,Detail!E$1)</f>
        <v>0</v>
      </c>
      <c r="F669" s="7">
        <f>SUMIFS('Leave Management'!$L:$L,'Leave Management'!$C:$C,Detail!$A669,'Leave Management'!$B:$B,Detail!F$1)</f>
        <v>0</v>
      </c>
      <c r="G669" s="7">
        <f>SUMIFS('Leave Management'!$L:$L,'Leave Management'!$C:$C,Detail!$A669,'Leave Management'!$B:$B,Detail!G$1)</f>
        <v>0</v>
      </c>
      <c r="H669" s="7">
        <f>SUMIFS('Leave Management'!$L:$L,'Leave Management'!$C:$C,Detail!$A669,'Leave Management'!$B:$B,Detail!H$1)</f>
        <v>0</v>
      </c>
      <c r="I669" s="7">
        <f>SUMIFS('Leave Management'!$L:$L,'Leave Management'!$C:$C,Detail!$A669,'Leave Management'!$B:$B,Detail!I$1)</f>
        <v>0</v>
      </c>
      <c r="J669" s="7">
        <f>SUMIFS('Leave Management'!$L:$L,'Leave Management'!$C:$C,Detail!$A669,'Leave Management'!$B:$B,Detail!J$1)</f>
        <v>0</v>
      </c>
      <c r="K669" s="7">
        <f>SUMIFS('Leave Management'!$L:$L,'Leave Management'!$C:$C,Detail!$A669,'Leave Management'!$B:$B,Detail!K$1)</f>
        <v>0</v>
      </c>
      <c r="L669" s="7">
        <f>SUMIFS('Leave Management'!$L:$L,'Leave Management'!$C:$C,Detail!$A669,'Leave Management'!$B:$B,Detail!L$1)</f>
        <v>0</v>
      </c>
      <c r="M669" s="7">
        <f>SUMIFS('Leave Management'!$L:$L,'Leave Management'!$C:$C,Detail!$A669,'Leave Management'!$B:$B,Detail!M$1)</f>
        <v>0</v>
      </c>
      <c r="N669" s="7">
        <f>SUMIFS('Leave Management'!$L:$L,'Leave Management'!$C:$C,Detail!$A669,'Leave Management'!$B:$B,Detail!N$1)</f>
        <v>0</v>
      </c>
      <c r="O669" s="7">
        <f t="shared" si="25"/>
        <v>11</v>
      </c>
    </row>
    <row r="670" spans="1:15" x14ac:dyDescent="0.25">
      <c r="A670" s="24">
        <v>43768</v>
      </c>
      <c r="B670" s="2" t="str">
        <f t="shared" si="24"/>
        <v>Wed</v>
      </c>
      <c r="C670" s="7">
        <f>SUMIFS('Leave Management'!$L:$L,'Leave Management'!$C:$C,Detail!$A670,'Leave Management'!$B:$B,Detail!C$1)</f>
        <v>0</v>
      </c>
      <c r="D670" s="7">
        <f>SUMIFS('Leave Management'!$L:$L,'Leave Management'!$C:$C,Detail!$A670,'Leave Management'!$B:$B,Detail!D$1)</f>
        <v>0</v>
      </c>
      <c r="E670" s="7">
        <f>SUMIFS('Leave Management'!$L:$L,'Leave Management'!$C:$C,Detail!$A670,'Leave Management'!$B:$B,Detail!E$1)</f>
        <v>0</v>
      </c>
      <c r="F670" s="7">
        <f>SUMIFS('Leave Management'!$L:$L,'Leave Management'!$C:$C,Detail!$A670,'Leave Management'!$B:$B,Detail!F$1)</f>
        <v>0</v>
      </c>
      <c r="G670" s="7">
        <f>SUMIFS('Leave Management'!$L:$L,'Leave Management'!$C:$C,Detail!$A670,'Leave Management'!$B:$B,Detail!G$1)</f>
        <v>0</v>
      </c>
      <c r="H670" s="7">
        <f>SUMIFS('Leave Management'!$L:$L,'Leave Management'!$C:$C,Detail!$A670,'Leave Management'!$B:$B,Detail!H$1)</f>
        <v>0</v>
      </c>
      <c r="I670" s="7">
        <f>SUMIFS('Leave Management'!$L:$L,'Leave Management'!$C:$C,Detail!$A670,'Leave Management'!$B:$B,Detail!I$1)</f>
        <v>0</v>
      </c>
      <c r="J670" s="7">
        <f>SUMIFS('Leave Management'!$L:$L,'Leave Management'!$C:$C,Detail!$A670,'Leave Management'!$B:$B,Detail!J$1)</f>
        <v>0</v>
      </c>
      <c r="K670" s="7">
        <f>SUMIFS('Leave Management'!$L:$L,'Leave Management'!$C:$C,Detail!$A670,'Leave Management'!$B:$B,Detail!K$1)</f>
        <v>0</v>
      </c>
      <c r="L670" s="7">
        <f>SUMIFS('Leave Management'!$L:$L,'Leave Management'!$C:$C,Detail!$A670,'Leave Management'!$B:$B,Detail!L$1)</f>
        <v>0</v>
      </c>
      <c r="M670" s="7">
        <f>SUMIFS('Leave Management'!$L:$L,'Leave Management'!$C:$C,Detail!$A670,'Leave Management'!$B:$B,Detail!M$1)</f>
        <v>0</v>
      </c>
      <c r="N670" s="7">
        <f>SUMIFS('Leave Management'!$L:$L,'Leave Management'!$C:$C,Detail!$A670,'Leave Management'!$B:$B,Detail!N$1)</f>
        <v>0</v>
      </c>
      <c r="O670" s="7">
        <f t="shared" si="25"/>
        <v>11</v>
      </c>
    </row>
    <row r="671" spans="1:15" x14ac:dyDescent="0.25">
      <c r="A671" s="24">
        <v>43769</v>
      </c>
      <c r="B671" s="2" t="str">
        <f t="shared" si="24"/>
        <v>Thu</v>
      </c>
      <c r="C671" s="7">
        <f>SUMIFS('Leave Management'!$L:$L,'Leave Management'!$C:$C,Detail!$A671,'Leave Management'!$B:$B,Detail!C$1)</f>
        <v>0</v>
      </c>
      <c r="D671" s="7">
        <f>SUMIFS('Leave Management'!$L:$L,'Leave Management'!$C:$C,Detail!$A671,'Leave Management'!$B:$B,Detail!D$1)</f>
        <v>0</v>
      </c>
      <c r="E671" s="7">
        <f>SUMIFS('Leave Management'!$L:$L,'Leave Management'!$C:$C,Detail!$A671,'Leave Management'!$B:$B,Detail!E$1)</f>
        <v>0</v>
      </c>
      <c r="F671" s="7">
        <f>SUMIFS('Leave Management'!$L:$L,'Leave Management'!$C:$C,Detail!$A671,'Leave Management'!$B:$B,Detail!F$1)</f>
        <v>0</v>
      </c>
      <c r="G671" s="7">
        <f>SUMIFS('Leave Management'!$L:$L,'Leave Management'!$C:$C,Detail!$A671,'Leave Management'!$B:$B,Detail!G$1)</f>
        <v>0</v>
      </c>
      <c r="H671" s="7">
        <f>SUMIFS('Leave Management'!$L:$L,'Leave Management'!$C:$C,Detail!$A671,'Leave Management'!$B:$B,Detail!H$1)</f>
        <v>0</v>
      </c>
      <c r="I671" s="7">
        <f>SUMIFS('Leave Management'!$L:$L,'Leave Management'!$C:$C,Detail!$A671,'Leave Management'!$B:$B,Detail!I$1)</f>
        <v>0</v>
      </c>
      <c r="J671" s="7">
        <f>SUMIFS('Leave Management'!$L:$L,'Leave Management'!$C:$C,Detail!$A671,'Leave Management'!$B:$B,Detail!J$1)</f>
        <v>0</v>
      </c>
      <c r="K671" s="7">
        <f>SUMIFS('Leave Management'!$L:$L,'Leave Management'!$C:$C,Detail!$A671,'Leave Management'!$B:$B,Detail!K$1)</f>
        <v>0</v>
      </c>
      <c r="L671" s="7">
        <f>SUMIFS('Leave Management'!$L:$L,'Leave Management'!$C:$C,Detail!$A671,'Leave Management'!$B:$B,Detail!L$1)</f>
        <v>0</v>
      </c>
      <c r="M671" s="7">
        <f>SUMIFS('Leave Management'!$L:$L,'Leave Management'!$C:$C,Detail!$A671,'Leave Management'!$B:$B,Detail!M$1)</f>
        <v>0</v>
      </c>
      <c r="N671" s="7">
        <f>SUMIFS('Leave Management'!$L:$L,'Leave Management'!$C:$C,Detail!$A671,'Leave Management'!$B:$B,Detail!N$1)</f>
        <v>0</v>
      </c>
      <c r="O671" s="7">
        <f t="shared" si="25"/>
        <v>11</v>
      </c>
    </row>
    <row r="672" spans="1:15" x14ac:dyDescent="0.25">
      <c r="A672" s="24">
        <v>43770</v>
      </c>
      <c r="B672" s="2" t="str">
        <f t="shared" si="24"/>
        <v>Fri</v>
      </c>
      <c r="C672" s="7">
        <f>SUMIFS('Leave Management'!$L:$L,'Leave Management'!$C:$C,Detail!$A672,'Leave Management'!$B:$B,Detail!C$1)</f>
        <v>0</v>
      </c>
      <c r="D672" s="7">
        <f>SUMIFS('Leave Management'!$L:$L,'Leave Management'!$C:$C,Detail!$A672,'Leave Management'!$B:$B,Detail!D$1)</f>
        <v>0</v>
      </c>
      <c r="E672" s="7">
        <f>SUMIFS('Leave Management'!$L:$L,'Leave Management'!$C:$C,Detail!$A672,'Leave Management'!$B:$B,Detail!E$1)</f>
        <v>0</v>
      </c>
      <c r="F672" s="7">
        <f>SUMIFS('Leave Management'!$L:$L,'Leave Management'!$C:$C,Detail!$A672,'Leave Management'!$B:$B,Detail!F$1)</f>
        <v>0</v>
      </c>
      <c r="G672" s="7">
        <f>SUMIFS('Leave Management'!$L:$L,'Leave Management'!$C:$C,Detail!$A672,'Leave Management'!$B:$B,Detail!G$1)</f>
        <v>0</v>
      </c>
      <c r="H672" s="7">
        <f>SUMIFS('Leave Management'!$L:$L,'Leave Management'!$C:$C,Detail!$A672,'Leave Management'!$B:$B,Detail!H$1)</f>
        <v>0</v>
      </c>
      <c r="I672" s="7">
        <f>SUMIFS('Leave Management'!$L:$L,'Leave Management'!$C:$C,Detail!$A672,'Leave Management'!$B:$B,Detail!I$1)</f>
        <v>0</v>
      </c>
      <c r="J672" s="7">
        <f>SUMIFS('Leave Management'!$L:$L,'Leave Management'!$C:$C,Detail!$A672,'Leave Management'!$B:$B,Detail!J$1)</f>
        <v>0</v>
      </c>
      <c r="K672" s="7">
        <f>SUMIFS('Leave Management'!$L:$L,'Leave Management'!$C:$C,Detail!$A672,'Leave Management'!$B:$B,Detail!K$1)</f>
        <v>0</v>
      </c>
      <c r="L672" s="7">
        <f>SUMIFS('Leave Management'!$L:$L,'Leave Management'!$C:$C,Detail!$A672,'Leave Management'!$B:$B,Detail!L$1)</f>
        <v>0</v>
      </c>
      <c r="M672" s="7">
        <f>SUMIFS('Leave Management'!$L:$L,'Leave Management'!$C:$C,Detail!$A672,'Leave Management'!$B:$B,Detail!M$1)</f>
        <v>0</v>
      </c>
      <c r="N672" s="7">
        <f>SUMIFS('Leave Management'!$L:$L,'Leave Management'!$C:$C,Detail!$A672,'Leave Management'!$B:$B,Detail!N$1)</f>
        <v>0</v>
      </c>
      <c r="O672" s="7">
        <f t="shared" si="25"/>
        <v>11</v>
      </c>
    </row>
    <row r="673" spans="1:15" x14ac:dyDescent="0.25">
      <c r="A673" s="24">
        <v>43771</v>
      </c>
      <c r="B673" s="2" t="str">
        <f t="shared" si="24"/>
        <v>Sat</v>
      </c>
      <c r="C673" s="7">
        <f>SUMIFS('Leave Management'!$L:$L,'Leave Management'!$C:$C,Detail!$A673,'Leave Management'!$B:$B,Detail!C$1)</f>
        <v>0</v>
      </c>
      <c r="D673" s="7">
        <f>SUMIFS('Leave Management'!$L:$L,'Leave Management'!$C:$C,Detail!$A673,'Leave Management'!$B:$B,Detail!D$1)</f>
        <v>0</v>
      </c>
      <c r="E673" s="7">
        <f>SUMIFS('Leave Management'!$L:$L,'Leave Management'!$C:$C,Detail!$A673,'Leave Management'!$B:$B,Detail!E$1)</f>
        <v>0</v>
      </c>
      <c r="F673" s="7">
        <f>SUMIFS('Leave Management'!$L:$L,'Leave Management'!$C:$C,Detail!$A673,'Leave Management'!$B:$B,Detail!F$1)</f>
        <v>0</v>
      </c>
      <c r="G673" s="7">
        <f>SUMIFS('Leave Management'!$L:$L,'Leave Management'!$C:$C,Detail!$A673,'Leave Management'!$B:$B,Detail!G$1)</f>
        <v>0</v>
      </c>
      <c r="H673" s="7">
        <f>SUMIFS('Leave Management'!$L:$L,'Leave Management'!$C:$C,Detail!$A673,'Leave Management'!$B:$B,Detail!H$1)</f>
        <v>0</v>
      </c>
      <c r="I673" s="7">
        <f>SUMIFS('Leave Management'!$L:$L,'Leave Management'!$C:$C,Detail!$A673,'Leave Management'!$B:$B,Detail!I$1)</f>
        <v>0</v>
      </c>
      <c r="J673" s="7">
        <f>SUMIFS('Leave Management'!$L:$L,'Leave Management'!$C:$C,Detail!$A673,'Leave Management'!$B:$B,Detail!J$1)</f>
        <v>0</v>
      </c>
      <c r="K673" s="7">
        <f>SUMIFS('Leave Management'!$L:$L,'Leave Management'!$C:$C,Detail!$A673,'Leave Management'!$B:$B,Detail!K$1)</f>
        <v>0</v>
      </c>
      <c r="L673" s="7">
        <f>SUMIFS('Leave Management'!$L:$L,'Leave Management'!$C:$C,Detail!$A673,'Leave Management'!$B:$B,Detail!L$1)</f>
        <v>0</v>
      </c>
      <c r="M673" s="7">
        <f>SUMIFS('Leave Management'!$L:$L,'Leave Management'!$C:$C,Detail!$A673,'Leave Management'!$B:$B,Detail!M$1)</f>
        <v>0</v>
      </c>
      <c r="N673" s="7">
        <f>SUMIFS('Leave Management'!$L:$L,'Leave Management'!$C:$C,Detail!$A673,'Leave Management'!$B:$B,Detail!N$1)</f>
        <v>0</v>
      </c>
      <c r="O673" s="7">
        <f t="shared" si="25"/>
        <v>11</v>
      </c>
    </row>
    <row r="674" spans="1:15" x14ac:dyDescent="0.25">
      <c r="A674" s="24">
        <v>43772</v>
      </c>
      <c r="B674" s="2" t="str">
        <f t="shared" si="24"/>
        <v>Sun</v>
      </c>
      <c r="C674" s="7">
        <f>SUMIFS('Leave Management'!$L:$L,'Leave Management'!$C:$C,Detail!$A674,'Leave Management'!$B:$B,Detail!C$1)</f>
        <v>0</v>
      </c>
      <c r="D674" s="7">
        <f>SUMIFS('Leave Management'!$L:$L,'Leave Management'!$C:$C,Detail!$A674,'Leave Management'!$B:$B,Detail!D$1)</f>
        <v>0</v>
      </c>
      <c r="E674" s="7">
        <f>SUMIFS('Leave Management'!$L:$L,'Leave Management'!$C:$C,Detail!$A674,'Leave Management'!$B:$B,Detail!E$1)</f>
        <v>0</v>
      </c>
      <c r="F674" s="7">
        <f>SUMIFS('Leave Management'!$L:$L,'Leave Management'!$C:$C,Detail!$A674,'Leave Management'!$B:$B,Detail!F$1)</f>
        <v>0</v>
      </c>
      <c r="G674" s="7">
        <f>SUMIFS('Leave Management'!$L:$L,'Leave Management'!$C:$C,Detail!$A674,'Leave Management'!$B:$B,Detail!G$1)</f>
        <v>0</v>
      </c>
      <c r="H674" s="7">
        <f>SUMIFS('Leave Management'!$L:$L,'Leave Management'!$C:$C,Detail!$A674,'Leave Management'!$B:$B,Detail!H$1)</f>
        <v>0</v>
      </c>
      <c r="I674" s="7">
        <f>SUMIFS('Leave Management'!$L:$L,'Leave Management'!$C:$C,Detail!$A674,'Leave Management'!$B:$B,Detail!I$1)</f>
        <v>0</v>
      </c>
      <c r="J674" s="7">
        <f>SUMIFS('Leave Management'!$L:$L,'Leave Management'!$C:$C,Detail!$A674,'Leave Management'!$B:$B,Detail!J$1)</f>
        <v>0</v>
      </c>
      <c r="K674" s="7">
        <f>SUMIFS('Leave Management'!$L:$L,'Leave Management'!$C:$C,Detail!$A674,'Leave Management'!$B:$B,Detail!K$1)</f>
        <v>0</v>
      </c>
      <c r="L674" s="7">
        <f>SUMIFS('Leave Management'!$L:$L,'Leave Management'!$C:$C,Detail!$A674,'Leave Management'!$B:$B,Detail!L$1)</f>
        <v>0</v>
      </c>
      <c r="M674" s="7">
        <f>SUMIFS('Leave Management'!$L:$L,'Leave Management'!$C:$C,Detail!$A674,'Leave Management'!$B:$B,Detail!M$1)</f>
        <v>0</v>
      </c>
      <c r="N674" s="7">
        <f>SUMIFS('Leave Management'!$L:$L,'Leave Management'!$C:$C,Detail!$A674,'Leave Management'!$B:$B,Detail!N$1)</f>
        <v>0</v>
      </c>
      <c r="O674" s="7">
        <f t="shared" si="25"/>
        <v>11</v>
      </c>
    </row>
    <row r="675" spans="1:15" x14ac:dyDescent="0.25">
      <c r="A675" s="24">
        <v>43773</v>
      </c>
      <c r="B675" s="2" t="str">
        <f t="shared" si="24"/>
        <v>Mon</v>
      </c>
      <c r="C675" s="7">
        <f>SUMIFS('Leave Management'!$L:$L,'Leave Management'!$C:$C,Detail!$A675,'Leave Management'!$B:$B,Detail!C$1)</f>
        <v>0</v>
      </c>
      <c r="D675" s="7">
        <f>SUMIFS('Leave Management'!$L:$L,'Leave Management'!$C:$C,Detail!$A675,'Leave Management'!$B:$B,Detail!D$1)</f>
        <v>0</v>
      </c>
      <c r="E675" s="7">
        <f>SUMIFS('Leave Management'!$L:$L,'Leave Management'!$C:$C,Detail!$A675,'Leave Management'!$B:$B,Detail!E$1)</f>
        <v>0</v>
      </c>
      <c r="F675" s="7">
        <f>SUMIFS('Leave Management'!$L:$L,'Leave Management'!$C:$C,Detail!$A675,'Leave Management'!$B:$B,Detail!F$1)</f>
        <v>0</v>
      </c>
      <c r="G675" s="7">
        <f>SUMIFS('Leave Management'!$L:$L,'Leave Management'!$C:$C,Detail!$A675,'Leave Management'!$B:$B,Detail!G$1)</f>
        <v>0</v>
      </c>
      <c r="H675" s="7">
        <f>SUMIFS('Leave Management'!$L:$L,'Leave Management'!$C:$C,Detail!$A675,'Leave Management'!$B:$B,Detail!H$1)</f>
        <v>0</v>
      </c>
      <c r="I675" s="7">
        <f>SUMIFS('Leave Management'!$L:$L,'Leave Management'!$C:$C,Detail!$A675,'Leave Management'!$B:$B,Detail!I$1)</f>
        <v>0</v>
      </c>
      <c r="J675" s="7">
        <f>SUMIFS('Leave Management'!$L:$L,'Leave Management'!$C:$C,Detail!$A675,'Leave Management'!$B:$B,Detail!J$1)</f>
        <v>0</v>
      </c>
      <c r="K675" s="7">
        <f>SUMIFS('Leave Management'!$L:$L,'Leave Management'!$C:$C,Detail!$A675,'Leave Management'!$B:$B,Detail!K$1)</f>
        <v>0</v>
      </c>
      <c r="L675" s="7">
        <f>SUMIFS('Leave Management'!$L:$L,'Leave Management'!$C:$C,Detail!$A675,'Leave Management'!$B:$B,Detail!L$1)</f>
        <v>0</v>
      </c>
      <c r="M675" s="7">
        <f>SUMIFS('Leave Management'!$L:$L,'Leave Management'!$C:$C,Detail!$A675,'Leave Management'!$B:$B,Detail!M$1)</f>
        <v>0</v>
      </c>
      <c r="N675" s="7">
        <f>SUMIFS('Leave Management'!$L:$L,'Leave Management'!$C:$C,Detail!$A675,'Leave Management'!$B:$B,Detail!N$1)</f>
        <v>0</v>
      </c>
      <c r="O675" s="7">
        <f t="shared" si="25"/>
        <v>11</v>
      </c>
    </row>
    <row r="676" spans="1:15" x14ac:dyDescent="0.25">
      <c r="A676" s="24">
        <v>43774</v>
      </c>
      <c r="B676" s="2" t="str">
        <f t="shared" si="24"/>
        <v>Tue</v>
      </c>
      <c r="C676" s="7">
        <f>SUMIFS('Leave Management'!$L:$L,'Leave Management'!$C:$C,Detail!$A676,'Leave Management'!$B:$B,Detail!C$1)</f>
        <v>0</v>
      </c>
      <c r="D676" s="7">
        <f>SUMIFS('Leave Management'!$L:$L,'Leave Management'!$C:$C,Detail!$A676,'Leave Management'!$B:$B,Detail!D$1)</f>
        <v>0</v>
      </c>
      <c r="E676" s="7">
        <f>SUMIFS('Leave Management'!$L:$L,'Leave Management'!$C:$C,Detail!$A676,'Leave Management'!$B:$B,Detail!E$1)</f>
        <v>0</v>
      </c>
      <c r="F676" s="7">
        <f>SUMIFS('Leave Management'!$L:$L,'Leave Management'!$C:$C,Detail!$A676,'Leave Management'!$B:$B,Detail!F$1)</f>
        <v>0</v>
      </c>
      <c r="G676" s="7">
        <f>SUMIFS('Leave Management'!$L:$L,'Leave Management'!$C:$C,Detail!$A676,'Leave Management'!$B:$B,Detail!G$1)</f>
        <v>0</v>
      </c>
      <c r="H676" s="7">
        <f>SUMIFS('Leave Management'!$L:$L,'Leave Management'!$C:$C,Detail!$A676,'Leave Management'!$B:$B,Detail!H$1)</f>
        <v>0</v>
      </c>
      <c r="I676" s="7">
        <f>SUMIFS('Leave Management'!$L:$L,'Leave Management'!$C:$C,Detail!$A676,'Leave Management'!$B:$B,Detail!I$1)</f>
        <v>0</v>
      </c>
      <c r="J676" s="7">
        <f>SUMIFS('Leave Management'!$L:$L,'Leave Management'!$C:$C,Detail!$A676,'Leave Management'!$B:$B,Detail!J$1)</f>
        <v>0</v>
      </c>
      <c r="K676" s="7">
        <f>SUMIFS('Leave Management'!$L:$L,'Leave Management'!$C:$C,Detail!$A676,'Leave Management'!$B:$B,Detail!K$1)</f>
        <v>0</v>
      </c>
      <c r="L676" s="7">
        <f>SUMIFS('Leave Management'!$L:$L,'Leave Management'!$C:$C,Detail!$A676,'Leave Management'!$B:$B,Detail!L$1)</f>
        <v>0</v>
      </c>
      <c r="M676" s="7">
        <f>SUMIFS('Leave Management'!$L:$L,'Leave Management'!$C:$C,Detail!$A676,'Leave Management'!$B:$B,Detail!M$1)</f>
        <v>0</v>
      </c>
      <c r="N676" s="7">
        <f>SUMIFS('Leave Management'!$L:$L,'Leave Management'!$C:$C,Detail!$A676,'Leave Management'!$B:$B,Detail!N$1)</f>
        <v>0</v>
      </c>
      <c r="O676" s="7">
        <f t="shared" si="25"/>
        <v>11</v>
      </c>
    </row>
    <row r="677" spans="1:15" x14ac:dyDescent="0.25">
      <c r="A677" s="24">
        <v>43775</v>
      </c>
      <c r="B677" s="2" t="str">
        <f t="shared" si="24"/>
        <v>Wed</v>
      </c>
      <c r="C677" s="7">
        <f>SUMIFS('Leave Management'!$L:$L,'Leave Management'!$C:$C,Detail!$A677,'Leave Management'!$B:$B,Detail!C$1)</f>
        <v>0</v>
      </c>
      <c r="D677" s="7">
        <f>SUMIFS('Leave Management'!$L:$L,'Leave Management'!$C:$C,Detail!$A677,'Leave Management'!$B:$B,Detail!D$1)</f>
        <v>0</v>
      </c>
      <c r="E677" s="7">
        <f>SUMIFS('Leave Management'!$L:$L,'Leave Management'!$C:$C,Detail!$A677,'Leave Management'!$B:$B,Detail!E$1)</f>
        <v>0</v>
      </c>
      <c r="F677" s="7">
        <f>SUMIFS('Leave Management'!$L:$L,'Leave Management'!$C:$C,Detail!$A677,'Leave Management'!$B:$B,Detail!F$1)</f>
        <v>0</v>
      </c>
      <c r="G677" s="7">
        <f>SUMIFS('Leave Management'!$L:$L,'Leave Management'!$C:$C,Detail!$A677,'Leave Management'!$B:$B,Detail!G$1)</f>
        <v>0</v>
      </c>
      <c r="H677" s="7">
        <f>SUMIFS('Leave Management'!$L:$L,'Leave Management'!$C:$C,Detail!$A677,'Leave Management'!$B:$B,Detail!H$1)</f>
        <v>0</v>
      </c>
      <c r="I677" s="7">
        <f>SUMIFS('Leave Management'!$L:$L,'Leave Management'!$C:$C,Detail!$A677,'Leave Management'!$B:$B,Detail!I$1)</f>
        <v>0</v>
      </c>
      <c r="J677" s="7">
        <f>SUMIFS('Leave Management'!$L:$L,'Leave Management'!$C:$C,Detail!$A677,'Leave Management'!$B:$B,Detail!J$1)</f>
        <v>0</v>
      </c>
      <c r="K677" s="7">
        <f>SUMIFS('Leave Management'!$L:$L,'Leave Management'!$C:$C,Detail!$A677,'Leave Management'!$B:$B,Detail!K$1)</f>
        <v>0</v>
      </c>
      <c r="L677" s="7">
        <f>SUMIFS('Leave Management'!$L:$L,'Leave Management'!$C:$C,Detail!$A677,'Leave Management'!$B:$B,Detail!L$1)</f>
        <v>0</v>
      </c>
      <c r="M677" s="7">
        <f>SUMIFS('Leave Management'!$L:$L,'Leave Management'!$C:$C,Detail!$A677,'Leave Management'!$B:$B,Detail!M$1)</f>
        <v>0</v>
      </c>
      <c r="N677" s="7">
        <f>SUMIFS('Leave Management'!$L:$L,'Leave Management'!$C:$C,Detail!$A677,'Leave Management'!$B:$B,Detail!N$1)</f>
        <v>0</v>
      </c>
      <c r="O677" s="7">
        <f t="shared" si="25"/>
        <v>11</v>
      </c>
    </row>
    <row r="678" spans="1:15" x14ac:dyDescent="0.25">
      <c r="A678" s="24">
        <v>43776</v>
      </c>
      <c r="B678" s="2" t="str">
        <f t="shared" si="24"/>
        <v>Thu</v>
      </c>
      <c r="C678" s="7">
        <f>SUMIFS('Leave Management'!$L:$L,'Leave Management'!$C:$C,Detail!$A678,'Leave Management'!$B:$B,Detail!C$1)</f>
        <v>0</v>
      </c>
      <c r="D678" s="7">
        <f>SUMIFS('Leave Management'!$L:$L,'Leave Management'!$C:$C,Detail!$A678,'Leave Management'!$B:$B,Detail!D$1)</f>
        <v>0</v>
      </c>
      <c r="E678" s="7">
        <f>SUMIFS('Leave Management'!$L:$L,'Leave Management'!$C:$C,Detail!$A678,'Leave Management'!$B:$B,Detail!E$1)</f>
        <v>0</v>
      </c>
      <c r="F678" s="7">
        <f>SUMIFS('Leave Management'!$L:$L,'Leave Management'!$C:$C,Detail!$A678,'Leave Management'!$B:$B,Detail!F$1)</f>
        <v>0</v>
      </c>
      <c r="G678" s="7">
        <f>SUMIFS('Leave Management'!$L:$L,'Leave Management'!$C:$C,Detail!$A678,'Leave Management'!$B:$B,Detail!G$1)</f>
        <v>0</v>
      </c>
      <c r="H678" s="7">
        <f>SUMIFS('Leave Management'!$L:$L,'Leave Management'!$C:$C,Detail!$A678,'Leave Management'!$B:$B,Detail!H$1)</f>
        <v>0</v>
      </c>
      <c r="I678" s="7">
        <f>SUMIFS('Leave Management'!$L:$L,'Leave Management'!$C:$C,Detail!$A678,'Leave Management'!$B:$B,Detail!I$1)</f>
        <v>0</v>
      </c>
      <c r="J678" s="7">
        <f>SUMIFS('Leave Management'!$L:$L,'Leave Management'!$C:$C,Detail!$A678,'Leave Management'!$B:$B,Detail!J$1)</f>
        <v>0</v>
      </c>
      <c r="K678" s="7">
        <f>SUMIFS('Leave Management'!$L:$L,'Leave Management'!$C:$C,Detail!$A678,'Leave Management'!$B:$B,Detail!K$1)</f>
        <v>0</v>
      </c>
      <c r="L678" s="7">
        <f>SUMIFS('Leave Management'!$L:$L,'Leave Management'!$C:$C,Detail!$A678,'Leave Management'!$B:$B,Detail!L$1)</f>
        <v>0</v>
      </c>
      <c r="M678" s="7">
        <f>SUMIFS('Leave Management'!$L:$L,'Leave Management'!$C:$C,Detail!$A678,'Leave Management'!$B:$B,Detail!M$1)</f>
        <v>0</v>
      </c>
      <c r="N678" s="7">
        <f>SUMIFS('Leave Management'!$L:$L,'Leave Management'!$C:$C,Detail!$A678,'Leave Management'!$B:$B,Detail!N$1)</f>
        <v>0</v>
      </c>
      <c r="O678" s="7">
        <f t="shared" si="25"/>
        <v>11</v>
      </c>
    </row>
    <row r="679" spans="1:15" x14ac:dyDescent="0.25">
      <c r="A679" s="24">
        <v>43777</v>
      </c>
      <c r="B679" s="2" t="str">
        <f t="shared" si="24"/>
        <v>Fri</v>
      </c>
      <c r="C679" s="7">
        <f>SUMIFS('Leave Management'!$L:$L,'Leave Management'!$C:$C,Detail!$A679,'Leave Management'!$B:$B,Detail!C$1)</f>
        <v>0</v>
      </c>
      <c r="D679" s="7">
        <f>SUMIFS('Leave Management'!$L:$L,'Leave Management'!$C:$C,Detail!$A679,'Leave Management'!$B:$B,Detail!D$1)</f>
        <v>0</v>
      </c>
      <c r="E679" s="7">
        <f>SUMIFS('Leave Management'!$L:$L,'Leave Management'!$C:$C,Detail!$A679,'Leave Management'!$B:$B,Detail!E$1)</f>
        <v>0</v>
      </c>
      <c r="F679" s="7">
        <f>SUMIFS('Leave Management'!$L:$L,'Leave Management'!$C:$C,Detail!$A679,'Leave Management'!$B:$B,Detail!F$1)</f>
        <v>0</v>
      </c>
      <c r="G679" s="7">
        <f>SUMIFS('Leave Management'!$L:$L,'Leave Management'!$C:$C,Detail!$A679,'Leave Management'!$B:$B,Detail!G$1)</f>
        <v>0</v>
      </c>
      <c r="H679" s="7">
        <f>SUMIFS('Leave Management'!$L:$L,'Leave Management'!$C:$C,Detail!$A679,'Leave Management'!$B:$B,Detail!H$1)</f>
        <v>0</v>
      </c>
      <c r="I679" s="7">
        <f>SUMIFS('Leave Management'!$L:$L,'Leave Management'!$C:$C,Detail!$A679,'Leave Management'!$B:$B,Detail!I$1)</f>
        <v>0</v>
      </c>
      <c r="J679" s="7">
        <f>SUMIFS('Leave Management'!$L:$L,'Leave Management'!$C:$C,Detail!$A679,'Leave Management'!$B:$B,Detail!J$1)</f>
        <v>0</v>
      </c>
      <c r="K679" s="7">
        <f>SUMIFS('Leave Management'!$L:$L,'Leave Management'!$C:$C,Detail!$A679,'Leave Management'!$B:$B,Detail!K$1)</f>
        <v>0</v>
      </c>
      <c r="L679" s="7">
        <f>SUMIFS('Leave Management'!$L:$L,'Leave Management'!$C:$C,Detail!$A679,'Leave Management'!$B:$B,Detail!L$1)</f>
        <v>0</v>
      </c>
      <c r="M679" s="7">
        <f>SUMIFS('Leave Management'!$L:$L,'Leave Management'!$C:$C,Detail!$A679,'Leave Management'!$B:$B,Detail!M$1)</f>
        <v>0</v>
      </c>
      <c r="N679" s="7">
        <f>SUMIFS('Leave Management'!$L:$L,'Leave Management'!$C:$C,Detail!$A679,'Leave Management'!$B:$B,Detail!N$1)</f>
        <v>0</v>
      </c>
      <c r="O679" s="7">
        <f t="shared" si="25"/>
        <v>11</v>
      </c>
    </row>
    <row r="680" spans="1:15" x14ac:dyDescent="0.25">
      <c r="A680" s="24">
        <v>43778</v>
      </c>
      <c r="B680" s="2" t="str">
        <f t="shared" si="24"/>
        <v>Sat</v>
      </c>
      <c r="C680" s="7">
        <f>SUMIFS('Leave Management'!$L:$L,'Leave Management'!$C:$C,Detail!$A680,'Leave Management'!$B:$B,Detail!C$1)</f>
        <v>0</v>
      </c>
      <c r="D680" s="7">
        <f>SUMIFS('Leave Management'!$L:$L,'Leave Management'!$C:$C,Detail!$A680,'Leave Management'!$B:$B,Detail!D$1)</f>
        <v>0</v>
      </c>
      <c r="E680" s="7">
        <f>SUMIFS('Leave Management'!$L:$L,'Leave Management'!$C:$C,Detail!$A680,'Leave Management'!$B:$B,Detail!E$1)</f>
        <v>0</v>
      </c>
      <c r="F680" s="7">
        <f>SUMIFS('Leave Management'!$L:$L,'Leave Management'!$C:$C,Detail!$A680,'Leave Management'!$B:$B,Detail!F$1)</f>
        <v>0</v>
      </c>
      <c r="G680" s="7">
        <f>SUMIFS('Leave Management'!$L:$L,'Leave Management'!$C:$C,Detail!$A680,'Leave Management'!$B:$B,Detail!G$1)</f>
        <v>0</v>
      </c>
      <c r="H680" s="7">
        <f>SUMIFS('Leave Management'!$L:$L,'Leave Management'!$C:$C,Detail!$A680,'Leave Management'!$B:$B,Detail!H$1)</f>
        <v>0</v>
      </c>
      <c r="I680" s="7">
        <f>SUMIFS('Leave Management'!$L:$L,'Leave Management'!$C:$C,Detail!$A680,'Leave Management'!$B:$B,Detail!I$1)</f>
        <v>0</v>
      </c>
      <c r="J680" s="7">
        <f>SUMIFS('Leave Management'!$L:$L,'Leave Management'!$C:$C,Detail!$A680,'Leave Management'!$B:$B,Detail!J$1)</f>
        <v>0</v>
      </c>
      <c r="K680" s="7">
        <f>SUMIFS('Leave Management'!$L:$L,'Leave Management'!$C:$C,Detail!$A680,'Leave Management'!$B:$B,Detail!K$1)</f>
        <v>0</v>
      </c>
      <c r="L680" s="7">
        <f>SUMIFS('Leave Management'!$L:$L,'Leave Management'!$C:$C,Detail!$A680,'Leave Management'!$B:$B,Detail!L$1)</f>
        <v>0</v>
      </c>
      <c r="M680" s="7">
        <f>SUMIFS('Leave Management'!$L:$L,'Leave Management'!$C:$C,Detail!$A680,'Leave Management'!$B:$B,Detail!M$1)</f>
        <v>0</v>
      </c>
      <c r="N680" s="7">
        <f>SUMIFS('Leave Management'!$L:$L,'Leave Management'!$C:$C,Detail!$A680,'Leave Management'!$B:$B,Detail!N$1)</f>
        <v>0</v>
      </c>
      <c r="O680" s="7">
        <f t="shared" si="25"/>
        <v>11</v>
      </c>
    </row>
    <row r="681" spans="1:15" x14ac:dyDescent="0.25">
      <c r="A681" s="24">
        <v>43779</v>
      </c>
      <c r="B681" s="2" t="str">
        <f t="shared" si="24"/>
        <v>Sun</v>
      </c>
      <c r="C681" s="7">
        <f>SUMIFS('Leave Management'!$L:$L,'Leave Management'!$C:$C,Detail!$A681,'Leave Management'!$B:$B,Detail!C$1)</f>
        <v>0</v>
      </c>
      <c r="D681" s="7">
        <f>SUMIFS('Leave Management'!$L:$L,'Leave Management'!$C:$C,Detail!$A681,'Leave Management'!$B:$B,Detail!D$1)</f>
        <v>0</v>
      </c>
      <c r="E681" s="7">
        <f>SUMIFS('Leave Management'!$L:$L,'Leave Management'!$C:$C,Detail!$A681,'Leave Management'!$B:$B,Detail!E$1)</f>
        <v>0</v>
      </c>
      <c r="F681" s="7">
        <f>SUMIFS('Leave Management'!$L:$L,'Leave Management'!$C:$C,Detail!$A681,'Leave Management'!$B:$B,Detail!F$1)</f>
        <v>0</v>
      </c>
      <c r="G681" s="7">
        <f>SUMIFS('Leave Management'!$L:$L,'Leave Management'!$C:$C,Detail!$A681,'Leave Management'!$B:$B,Detail!G$1)</f>
        <v>0</v>
      </c>
      <c r="H681" s="7">
        <f>SUMIFS('Leave Management'!$L:$L,'Leave Management'!$C:$C,Detail!$A681,'Leave Management'!$B:$B,Detail!H$1)</f>
        <v>0</v>
      </c>
      <c r="I681" s="7">
        <f>SUMIFS('Leave Management'!$L:$L,'Leave Management'!$C:$C,Detail!$A681,'Leave Management'!$B:$B,Detail!I$1)</f>
        <v>0</v>
      </c>
      <c r="J681" s="7">
        <f>SUMIFS('Leave Management'!$L:$L,'Leave Management'!$C:$C,Detail!$A681,'Leave Management'!$B:$B,Detail!J$1)</f>
        <v>0</v>
      </c>
      <c r="K681" s="7">
        <f>SUMIFS('Leave Management'!$L:$L,'Leave Management'!$C:$C,Detail!$A681,'Leave Management'!$B:$B,Detail!K$1)</f>
        <v>0</v>
      </c>
      <c r="L681" s="7">
        <f>SUMIFS('Leave Management'!$L:$L,'Leave Management'!$C:$C,Detail!$A681,'Leave Management'!$B:$B,Detail!L$1)</f>
        <v>0</v>
      </c>
      <c r="M681" s="7">
        <f>SUMIFS('Leave Management'!$L:$L,'Leave Management'!$C:$C,Detail!$A681,'Leave Management'!$B:$B,Detail!M$1)</f>
        <v>0</v>
      </c>
      <c r="N681" s="7">
        <f>SUMIFS('Leave Management'!$L:$L,'Leave Management'!$C:$C,Detail!$A681,'Leave Management'!$B:$B,Detail!N$1)</f>
        <v>0</v>
      </c>
      <c r="O681" s="7">
        <f t="shared" si="25"/>
        <v>11</v>
      </c>
    </row>
    <row r="682" spans="1:15" x14ac:dyDescent="0.25">
      <c r="A682" s="24">
        <v>43780</v>
      </c>
      <c r="B682" s="2" t="str">
        <f t="shared" si="24"/>
        <v>Mon</v>
      </c>
      <c r="C682" s="7">
        <f>SUMIFS('Leave Management'!$L:$L,'Leave Management'!$C:$C,Detail!$A682,'Leave Management'!$B:$B,Detail!C$1)</f>
        <v>0</v>
      </c>
      <c r="D682" s="7">
        <f>SUMIFS('Leave Management'!$L:$L,'Leave Management'!$C:$C,Detail!$A682,'Leave Management'!$B:$B,Detail!D$1)</f>
        <v>0</v>
      </c>
      <c r="E682" s="7">
        <f>SUMIFS('Leave Management'!$L:$L,'Leave Management'!$C:$C,Detail!$A682,'Leave Management'!$B:$B,Detail!E$1)</f>
        <v>0</v>
      </c>
      <c r="F682" s="7">
        <f>SUMIFS('Leave Management'!$L:$L,'Leave Management'!$C:$C,Detail!$A682,'Leave Management'!$B:$B,Detail!F$1)</f>
        <v>0</v>
      </c>
      <c r="G682" s="7">
        <f>SUMIFS('Leave Management'!$L:$L,'Leave Management'!$C:$C,Detail!$A682,'Leave Management'!$B:$B,Detail!G$1)</f>
        <v>0</v>
      </c>
      <c r="H682" s="7">
        <f>SUMIFS('Leave Management'!$L:$L,'Leave Management'!$C:$C,Detail!$A682,'Leave Management'!$B:$B,Detail!H$1)</f>
        <v>0</v>
      </c>
      <c r="I682" s="7">
        <f>SUMIFS('Leave Management'!$L:$L,'Leave Management'!$C:$C,Detail!$A682,'Leave Management'!$B:$B,Detail!I$1)</f>
        <v>0</v>
      </c>
      <c r="J682" s="7">
        <f>SUMIFS('Leave Management'!$L:$L,'Leave Management'!$C:$C,Detail!$A682,'Leave Management'!$B:$B,Detail!J$1)</f>
        <v>0</v>
      </c>
      <c r="K682" s="7">
        <f>SUMIFS('Leave Management'!$L:$L,'Leave Management'!$C:$C,Detail!$A682,'Leave Management'!$B:$B,Detail!K$1)</f>
        <v>0</v>
      </c>
      <c r="L682" s="7">
        <f>SUMIFS('Leave Management'!$L:$L,'Leave Management'!$C:$C,Detail!$A682,'Leave Management'!$B:$B,Detail!L$1)</f>
        <v>0</v>
      </c>
      <c r="M682" s="7">
        <f>SUMIFS('Leave Management'!$L:$L,'Leave Management'!$C:$C,Detail!$A682,'Leave Management'!$B:$B,Detail!M$1)</f>
        <v>0</v>
      </c>
      <c r="N682" s="7">
        <f>SUMIFS('Leave Management'!$L:$L,'Leave Management'!$C:$C,Detail!$A682,'Leave Management'!$B:$B,Detail!N$1)</f>
        <v>0</v>
      </c>
      <c r="O682" s="7">
        <f t="shared" si="25"/>
        <v>11</v>
      </c>
    </row>
    <row r="683" spans="1:15" x14ac:dyDescent="0.25">
      <c r="A683" s="24">
        <v>43781</v>
      </c>
      <c r="B683" s="2" t="str">
        <f t="shared" si="24"/>
        <v>Tue</v>
      </c>
      <c r="C683" s="7">
        <f>SUMIFS('Leave Management'!$L:$L,'Leave Management'!$C:$C,Detail!$A683,'Leave Management'!$B:$B,Detail!C$1)</f>
        <v>0</v>
      </c>
      <c r="D683" s="7">
        <f>SUMIFS('Leave Management'!$L:$L,'Leave Management'!$C:$C,Detail!$A683,'Leave Management'!$B:$B,Detail!D$1)</f>
        <v>0</v>
      </c>
      <c r="E683" s="7">
        <f>SUMIFS('Leave Management'!$L:$L,'Leave Management'!$C:$C,Detail!$A683,'Leave Management'!$B:$B,Detail!E$1)</f>
        <v>0</v>
      </c>
      <c r="F683" s="7">
        <f>SUMIFS('Leave Management'!$L:$L,'Leave Management'!$C:$C,Detail!$A683,'Leave Management'!$B:$B,Detail!F$1)</f>
        <v>0</v>
      </c>
      <c r="G683" s="7">
        <f>SUMIFS('Leave Management'!$L:$L,'Leave Management'!$C:$C,Detail!$A683,'Leave Management'!$B:$B,Detail!G$1)</f>
        <v>0</v>
      </c>
      <c r="H683" s="7">
        <f>SUMIFS('Leave Management'!$L:$L,'Leave Management'!$C:$C,Detail!$A683,'Leave Management'!$B:$B,Detail!H$1)</f>
        <v>0</v>
      </c>
      <c r="I683" s="7">
        <f>SUMIFS('Leave Management'!$L:$L,'Leave Management'!$C:$C,Detail!$A683,'Leave Management'!$B:$B,Detail!I$1)</f>
        <v>0</v>
      </c>
      <c r="J683" s="7">
        <f>SUMIFS('Leave Management'!$L:$L,'Leave Management'!$C:$C,Detail!$A683,'Leave Management'!$B:$B,Detail!J$1)</f>
        <v>0</v>
      </c>
      <c r="K683" s="7">
        <f>SUMIFS('Leave Management'!$L:$L,'Leave Management'!$C:$C,Detail!$A683,'Leave Management'!$B:$B,Detail!K$1)</f>
        <v>0</v>
      </c>
      <c r="L683" s="7">
        <f>SUMIFS('Leave Management'!$L:$L,'Leave Management'!$C:$C,Detail!$A683,'Leave Management'!$B:$B,Detail!L$1)</f>
        <v>0</v>
      </c>
      <c r="M683" s="7">
        <f>SUMIFS('Leave Management'!$L:$L,'Leave Management'!$C:$C,Detail!$A683,'Leave Management'!$B:$B,Detail!M$1)</f>
        <v>0</v>
      </c>
      <c r="N683" s="7">
        <f>SUMIFS('Leave Management'!$L:$L,'Leave Management'!$C:$C,Detail!$A683,'Leave Management'!$B:$B,Detail!N$1)</f>
        <v>0</v>
      </c>
      <c r="O683" s="7">
        <f t="shared" si="25"/>
        <v>11</v>
      </c>
    </row>
    <row r="684" spans="1:15" x14ac:dyDescent="0.25">
      <c r="A684" s="24">
        <v>43782</v>
      </c>
      <c r="B684" s="2" t="str">
        <f t="shared" si="24"/>
        <v>Wed</v>
      </c>
      <c r="C684" s="7">
        <f>SUMIFS('Leave Management'!$L:$L,'Leave Management'!$C:$C,Detail!$A684,'Leave Management'!$B:$B,Detail!C$1)</f>
        <v>0</v>
      </c>
      <c r="D684" s="7">
        <f>SUMIFS('Leave Management'!$L:$L,'Leave Management'!$C:$C,Detail!$A684,'Leave Management'!$B:$B,Detail!D$1)</f>
        <v>0</v>
      </c>
      <c r="E684" s="7">
        <f>SUMIFS('Leave Management'!$L:$L,'Leave Management'!$C:$C,Detail!$A684,'Leave Management'!$B:$B,Detail!E$1)</f>
        <v>0</v>
      </c>
      <c r="F684" s="7">
        <f>SUMIFS('Leave Management'!$L:$L,'Leave Management'!$C:$C,Detail!$A684,'Leave Management'!$B:$B,Detail!F$1)</f>
        <v>0</v>
      </c>
      <c r="G684" s="7">
        <f>SUMIFS('Leave Management'!$L:$L,'Leave Management'!$C:$C,Detail!$A684,'Leave Management'!$B:$B,Detail!G$1)</f>
        <v>0</v>
      </c>
      <c r="H684" s="7">
        <f>SUMIFS('Leave Management'!$L:$L,'Leave Management'!$C:$C,Detail!$A684,'Leave Management'!$B:$B,Detail!H$1)</f>
        <v>0</v>
      </c>
      <c r="I684" s="7">
        <f>SUMIFS('Leave Management'!$L:$L,'Leave Management'!$C:$C,Detail!$A684,'Leave Management'!$B:$B,Detail!I$1)</f>
        <v>0</v>
      </c>
      <c r="J684" s="7">
        <f>SUMIFS('Leave Management'!$L:$L,'Leave Management'!$C:$C,Detail!$A684,'Leave Management'!$B:$B,Detail!J$1)</f>
        <v>0</v>
      </c>
      <c r="K684" s="7">
        <f>SUMIFS('Leave Management'!$L:$L,'Leave Management'!$C:$C,Detail!$A684,'Leave Management'!$B:$B,Detail!K$1)</f>
        <v>0</v>
      </c>
      <c r="L684" s="7">
        <f>SUMIFS('Leave Management'!$L:$L,'Leave Management'!$C:$C,Detail!$A684,'Leave Management'!$B:$B,Detail!L$1)</f>
        <v>0</v>
      </c>
      <c r="M684" s="7">
        <f>SUMIFS('Leave Management'!$L:$L,'Leave Management'!$C:$C,Detail!$A684,'Leave Management'!$B:$B,Detail!M$1)</f>
        <v>0</v>
      </c>
      <c r="N684" s="7">
        <f>SUMIFS('Leave Management'!$L:$L,'Leave Management'!$C:$C,Detail!$A684,'Leave Management'!$B:$B,Detail!N$1)</f>
        <v>0</v>
      </c>
      <c r="O684" s="7">
        <f t="shared" si="25"/>
        <v>11</v>
      </c>
    </row>
    <row r="685" spans="1:15" x14ac:dyDescent="0.25">
      <c r="A685" s="24">
        <v>43783</v>
      </c>
      <c r="B685" s="2" t="str">
        <f t="shared" si="24"/>
        <v>Thu</v>
      </c>
      <c r="C685" s="7">
        <f>SUMIFS('Leave Management'!$L:$L,'Leave Management'!$C:$C,Detail!$A685,'Leave Management'!$B:$B,Detail!C$1)</f>
        <v>0</v>
      </c>
      <c r="D685" s="7">
        <f>SUMIFS('Leave Management'!$L:$L,'Leave Management'!$C:$C,Detail!$A685,'Leave Management'!$B:$B,Detail!D$1)</f>
        <v>0</v>
      </c>
      <c r="E685" s="7">
        <f>SUMIFS('Leave Management'!$L:$L,'Leave Management'!$C:$C,Detail!$A685,'Leave Management'!$B:$B,Detail!E$1)</f>
        <v>0</v>
      </c>
      <c r="F685" s="7">
        <f>SUMIFS('Leave Management'!$L:$L,'Leave Management'!$C:$C,Detail!$A685,'Leave Management'!$B:$B,Detail!F$1)</f>
        <v>0</v>
      </c>
      <c r="G685" s="7">
        <f>SUMIFS('Leave Management'!$L:$L,'Leave Management'!$C:$C,Detail!$A685,'Leave Management'!$B:$B,Detail!G$1)</f>
        <v>0</v>
      </c>
      <c r="H685" s="7">
        <f>SUMIFS('Leave Management'!$L:$L,'Leave Management'!$C:$C,Detail!$A685,'Leave Management'!$B:$B,Detail!H$1)</f>
        <v>0</v>
      </c>
      <c r="I685" s="7">
        <f>SUMIFS('Leave Management'!$L:$L,'Leave Management'!$C:$C,Detail!$A685,'Leave Management'!$B:$B,Detail!I$1)</f>
        <v>0</v>
      </c>
      <c r="J685" s="7">
        <f>SUMIFS('Leave Management'!$L:$L,'Leave Management'!$C:$C,Detail!$A685,'Leave Management'!$B:$B,Detail!J$1)</f>
        <v>0</v>
      </c>
      <c r="K685" s="7">
        <f>SUMIFS('Leave Management'!$L:$L,'Leave Management'!$C:$C,Detail!$A685,'Leave Management'!$B:$B,Detail!K$1)</f>
        <v>0</v>
      </c>
      <c r="L685" s="7">
        <f>SUMIFS('Leave Management'!$L:$L,'Leave Management'!$C:$C,Detail!$A685,'Leave Management'!$B:$B,Detail!L$1)</f>
        <v>0</v>
      </c>
      <c r="M685" s="7">
        <f>SUMIFS('Leave Management'!$L:$L,'Leave Management'!$C:$C,Detail!$A685,'Leave Management'!$B:$B,Detail!M$1)</f>
        <v>0</v>
      </c>
      <c r="N685" s="7">
        <f>SUMIFS('Leave Management'!$L:$L,'Leave Management'!$C:$C,Detail!$A685,'Leave Management'!$B:$B,Detail!N$1)</f>
        <v>0</v>
      </c>
      <c r="O685" s="7">
        <f t="shared" si="25"/>
        <v>11</v>
      </c>
    </row>
    <row r="686" spans="1:15" x14ac:dyDescent="0.25">
      <c r="A686" s="24">
        <v>43784</v>
      </c>
      <c r="B686" s="2" t="str">
        <f t="shared" si="24"/>
        <v>Fri</v>
      </c>
      <c r="C686" s="7">
        <f>SUMIFS('Leave Management'!$L:$L,'Leave Management'!$C:$C,Detail!$A686,'Leave Management'!$B:$B,Detail!C$1)</f>
        <v>0</v>
      </c>
      <c r="D686" s="7">
        <f>SUMIFS('Leave Management'!$L:$L,'Leave Management'!$C:$C,Detail!$A686,'Leave Management'!$B:$B,Detail!D$1)</f>
        <v>0</v>
      </c>
      <c r="E686" s="7">
        <f>SUMIFS('Leave Management'!$L:$L,'Leave Management'!$C:$C,Detail!$A686,'Leave Management'!$B:$B,Detail!E$1)</f>
        <v>0</v>
      </c>
      <c r="F686" s="7">
        <f>SUMIFS('Leave Management'!$L:$L,'Leave Management'!$C:$C,Detail!$A686,'Leave Management'!$B:$B,Detail!F$1)</f>
        <v>0</v>
      </c>
      <c r="G686" s="7">
        <f>SUMIFS('Leave Management'!$L:$L,'Leave Management'!$C:$C,Detail!$A686,'Leave Management'!$B:$B,Detail!G$1)</f>
        <v>0</v>
      </c>
      <c r="H686" s="7">
        <f>SUMIFS('Leave Management'!$L:$L,'Leave Management'!$C:$C,Detail!$A686,'Leave Management'!$B:$B,Detail!H$1)</f>
        <v>0</v>
      </c>
      <c r="I686" s="7">
        <f>SUMIFS('Leave Management'!$L:$L,'Leave Management'!$C:$C,Detail!$A686,'Leave Management'!$B:$B,Detail!I$1)</f>
        <v>0</v>
      </c>
      <c r="J686" s="7">
        <f>SUMIFS('Leave Management'!$L:$L,'Leave Management'!$C:$C,Detail!$A686,'Leave Management'!$B:$B,Detail!J$1)</f>
        <v>0</v>
      </c>
      <c r="K686" s="7">
        <f>SUMIFS('Leave Management'!$L:$L,'Leave Management'!$C:$C,Detail!$A686,'Leave Management'!$B:$B,Detail!K$1)</f>
        <v>0</v>
      </c>
      <c r="L686" s="7">
        <f>SUMIFS('Leave Management'!$L:$L,'Leave Management'!$C:$C,Detail!$A686,'Leave Management'!$B:$B,Detail!L$1)</f>
        <v>0</v>
      </c>
      <c r="M686" s="7">
        <f>SUMIFS('Leave Management'!$L:$L,'Leave Management'!$C:$C,Detail!$A686,'Leave Management'!$B:$B,Detail!M$1)</f>
        <v>0</v>
      </c>
      <c r="N686" s="7">
        <f>SUMIFS('Leave Management'!$L:$L,'Leave Management'!$C:$C,Detail!$A686,'Leave Management'!$B:$B,Detail!N$1)</f>
        <v>0</v>
      </c>
      <c r="O686" s="7">
        <f t="shared" si="25"/>
        <v>11</v>
      </c>
    </row>
    <row r="687" spans="1:15" x14ac:dyDescent="0.25">
      <c r="A687" s="24">
        <v>43785</v>
      </c>
      <c r="B687" s="2" t="str">
        <f t="shared" si="24"/>
        <v>Sat</v>
      </c>
      <c r="C687" s="7">
        <f>SUMIFS('Leave Management'!$L:$L,'Leave Management'!$C:$C,Detail!$A687,'Leave Management'!$B:$B,Detail!C$1)</f>
        <v>0</v>
      </c>
      <c r="D687" s="7">
        <f>SUMIFS('Leave Management'!$L:$L,'Leave Management'!$C:$C,Detail!$A687,'Leave Management'!$B:$B,Detail!D$1)</f>
        <v>0</v>
      </c>
      <c r="E687" s="7">
        <f>SUMIFS('Leave Management'!$L:$L,'Leave Management'!$C:$C,Detail!$A687,'Leave Management'!$B:$B,Detail!E$1)</f>
        <v>0</v>
      </c>
      <c r="F687" s="7">
        <f>SUMIFS('Leave Management'!$L:$L,'Leave Management'!$C:$C,Detail!$A687,'Leave Management'!$B:$B,Detail!F$1)</f>
        <v>0</v>
      </c>
      <c r="G687" s="7">
        <f>SUMIFS('Leave Management'!$L:$L,'Leave Management'!$C:$C,Detail!$A687,'Leave Management'!$B:$B,Detail!G$1)</f>
        <v>0</v>
      </c>
      <c r="H687" s="7">
        <f>SUMIFS('Leave Management'!$L:$L,'Leave Management'!$C:$C,Detail!$A687,'Leave Management'!$B:$B,Detail!H$1)</f>
        <v>0</v>
      </c>
      <c r="I687" s="7">
        <f>SUMIFS('Leave Management'!$L:$L,'Leave Management'!$C:$C,Detail!$A687,'Leave Management'!$B:$B,Detail!I$1)</f>
        <v>0</v>
      </c>
      <c r="J687" s="7">
        <f>SUMIFS('Leave Management'!$L:$L,'Leave Management'!$C:$C,Detail!$A687,'Leave Management'!$B:$B,Detail!J$1)</f>
        <v>0</v>
      </c>
      <c r="K687" s="7">
        <f>SUMIFS('Leave Management'!$L:$L,'Leave Management'!$C:$C,Detail!$A687,'Leave Management'!$B:$B,Detail!K$1)</f>
        <v>0</v>
      </c>
      <c r="L687" s="7">
        <f>SUMIFS('Leave Management'!$L:$L,'Leave Management'!$C:$C,Detail!$A687,'Leave Management'!$B:$B,Detail!L$1)</f>
        <v>0</v>
      </c>
      <c r="M687" s="7">
        <f>SUMIFS('Leave Management'!$L:$L,'Leave Management'!$C:$C,Detail!$A687,'Leave Management'!$B:$B,Detail!M$1)</f>
        <v>0</v>
      </c>
      <c r="N687" s="7">
        <f>SUMIFS('Leave Management'!$L:$L,'Leave Management'!$C:$C,Detail!$A687,'Leave Management'!$B:$B,Detail!N$1)</f>
        <v>0</v>
      </c>
      <c r="O687" s="7">
        <f t="shared" si="25"/>
        <v>11</v>
      </c>
    </row>
    <row r="688" spans="1:15" x14ac:dyDescent="0.25">
      <c r="A688" s="24">
        <v>43786</v>
      </c>
      <c r="B688" s="2" t="str">
        <f t="shared" si="24"/>
        <v>Sun</v>
      </c>
      <c r="C688" s="7">
        <f>SUMIFS('Leave Management'!$L:$L,'Leave Management'!$C:$C,Detail!$A688,'Leave Management'!$B:$B,Detail!C$1)</f>
        <v>0</v>
      </c>
      <c r="D688" s="7">
        <f>SUMIFS('Leave Management'!$L:$L,'Leave Management'!$C:$C,Detail!$A688,'Leave Management'!$B:$B,Detail!D$1)</f>
        <v>0</v>
      </c>
      <c r="E688" s="7">
        <f>SUMIFS('Leave Management'!$L:$L,'Leave Management'!$C:$C,Detail!$A688,'Leave Management'!$B:$B,Detail!E$1)</f>
        <v>0</v>
      </c>
      <c r="F688" s="7">
        <f>SUMIFS('Leave Management'!$L:$L,'Leave Management'!$C:$C,Detail!$A688,'Leave Management'!$B:$B,Detail!F$1)</f>
        <v>0</v>
      </c>
      <c r="G688" s="7">
        <f>SUMIFS('Leave Management'!$L:$L,'Leave Management'!$C:$C,Detail!$A688,'Leave Management'!$B:$B,Detail!G$1)</f>
        <v>0</v>
      </c>
      <c r="H688" s="7">
        <f>SUMIFS('Leave Management'!$L:$L,'Leave Management'!$C:$C,Detail!$A688,'Leave Management'!$B:$B,Detail!H$1)</f>
        <v>0</v>
      </c>
      <c r="I688" s="7">
        <f>SUMIFS('Leave Management'!$L:$L,'Leave Management'!$C:$C,Detail!$A688,'Leave Management'!$B:$B,Detail!I$1)</f>
        <v>0</v>
      </c>
      <c r="J688" s="7">
        <f>SUMIFS('Leave Management'!$L:$L,'Leave Management'!$C:$C,Detail!$A688,'Leave Management'!$B:$B,Detail!J$1)</f>
        <v>0</v>
      </c>
      <c r="K688" s="7">
        <f>SUMIFS('Leave Management'!$L:$L,'Leave Management'!$C:$C,Detail!$A688,'Leave Management'!$B:$B,Detail!K$1)</f>
        <v>0</v>
      </c>
      <c r="L688" s="7">
        <f>SUMIFS('Leave Management'!$L:$L,'Leave Management'!$C:$C,Detail!$A688,'Leave Management'!$B:$B,Detail!L$1)</f>
        <v>0</v>
      </c>
      <c r="M688" s="7">
        <f>SUMIFS('Leave Management'!$L:$L,'Leave Management'!$C:$C,Detail!$A688,'Leave Management'!$B:$B,Detail!M$1)</f>
        <v>0</v>
      </c>
      <c r="N688" s="7">
        <f>SUMIFS('Leave Management'!$L:$L,'Leave Management'!$C:$C,Detail!$A688,'Leave Management'!$B:$B,Detail!N$1)</f>
        <v>0</v>
      </c>
      <c r="O688" s="7">
        <f t="shared" si="25"/>
        <v>11</v>
      </c>
    </row>
    <row r="689" spans="1:15" x14ac:dyDescent="0.25">
      <c r="A689" s="24">
        <v>43787</v>
      </c>
      <c r="B689" s="2" t="str">
        <f t="shared" si="24"/>
        <v>Mon</v>
      </c>
      <c r="C689" s="7">
        <f>SUMIFS('Leave Management'!$L:$L,'Leave Management'!$C:$C,Detail!$A689,'Leave Management'!$B:$B,Detail!C$1)</f>
        <v>0</v>
      </c>
      <c r="D689" s="7">
        <f>SUMIFS('Leave Management'!$L:$L,'Leave Management'!$C:$C,Detail!$A689,'Leave Management'!$B:$B,Detail!D$1)</f>
        <v>0</v>
      </c>
      <c r="E689" s="7">
        <f>SUMIFS('Leave Management'!$L:$L,'Leave Management'!$C:$C,Detail!$A689,'Leave Management'!$B:$B,Detail!E$1)</f>
        <v>0</v>
      </c>
      <c r="F689" s="7">
        <f>SUMIFS('Leave Management'!$L:$L,'Leave Management'!$C:$C,Detail!$A689,'Leave Management'!$B:$B,Detail!F$1)</f>
        <v>0</v>
      </c>
      <c r="G689" s="7">
        <f>SUMIFS('Leave Management'!$L:$L,'Leave Management'!$C:$C,Detail!$A689,'Leave Management'!$B:$B,Detail!G$1)</f>
        <v>0</v>
      </c>
      <c r="H689" s="7">
        <f>SUMIFS('Leave Management'!$L:$L,'Leave Management'!$C:$C,Detail!$A689,'Leave Management'!$B:$B,Detail!H$1)</f>
        <v>0</v>
      </c>
      <c r="I689" s="7">
        <f>SUMIFS('Leave Management'!$L:$L,'Leave Management'!$C:$C,Detail!$A689,'Leave Management'!$B:$B,Detail!I$1)</f>
        <v>0</v>
      </c>
      <c r="J689" s="7">
        <f>SUMIFS('Leave Management'!$L:$L,'Leave Management'!$C:$C,Detail!$A689,'Leave Management'!$B:$B,Detail!J$1)</f>
        <v>0</v>
      </c>
      <c r="K689" s="7">
        <f>SUMIFS('Leave Management'!$L:$L,'Leave Management'!$C:$C,Detail!$A689,'Leave Management'!$B:$B,Detail!K$1)</f>
        <v>0</v>
      </c>
      <c r="L689" s="7">
        <f>SUMIFS('Leave Management'!$L:$L,'Leave Management'!$C:$C,Detail!$A689,'Leave Management'!$B:$B,Detail!L$1)</f>
        <v>0</v>
      </c>
      <c r="M689" s="7">
        <f>SUMIFS('Leave Management'!$L:$L,'Leave Management'!$C:$C,Detail!$A689,'Leave Management'!$B:$B,Detail!M$1)</f>
        <v>0</v>
      </c>
      <c r="N689" s="7">
        <f>SUMIFS('Leave Management'!$L:$L,'Leave Management'!$C:$C,Detail!$A689,'Leave Management'!$B:$B,Detail!N$1)</f>
        <v>0</v>
      </c>
      <c r="O689" s="7">
        <f t="shared" si="25"/>
        <v>11</v>
      </c>
    </row>
    <row r="690" spans="1:15" x14ac:dyDescent="0.25">
      <c r="A690" s="24">
        <v>43788</v>
      </c>
      <c r="B690" s="2" t="str">
        <f t="shared" si="24"/>
        <v>Tue</v>
      </c>
      <c r="C690" s="7">
        <f>SUMIFS('Leave Management'!$L:$L,'Leave Management'!$C:$C,Detail!$A690,'Leave Management'!$B:$B,Detail!C$1)</f>
        <v>0</v>
      </c>
      <c r="D690" s="7">
        <f>SUMIFS('Leave Management'!$L:$L,'Leave Management'!$C:$C,Detail!$A690,'Leave Management'!$B:$B,Detail!D$1)</f>
        <v>0</v>
      </c>
      <c r="E690" s="7">
        <f>SUMIFS('Leave Management'!$L:$L,'Leave Management'!$C:$C,Detail!$A690,'Leave Management'!$B:$B,Detail!E$1)</f>
        <v>0</v>
      </c>
      <c r="F690" s="7">
        <f>SUMIFS('Leave Management'!$L:$L,'Leave Management'!$C:$C,Detail!$A690,'Leave Management'!$B:$B,Detail!F$1)</f>
        <v>0</v>
      </c>
      <c r="G690" s="7">
        <f>SUMIFS('Leave Management'!$L:$L,'Leave Management'!$C:$C,Detail!$A690,'Leave Management'!$B:$B,Detail!G$1)</f>
        <v>0</v>
      </c>
      <c r="H690" s="7">
        <f>SUMIFS('Leave Management'!$L:$L,'Leave Management'!$C:$C,Detail!$A690,'Leave Management'!$B:$B,Detail!H$1)</f>
        <v>0</v>
      </c>
      <c r="I690" s="7">
        <f>SUMIFS('Leave Management'!$L:$L,'Leave Management'!$C:$C,Detail!$A690,'Leave Management'!$B:$B,Detail!I$1)</f>
        <v>0</v>
      </c>
      <c r="J690" s="7">
        <f>SUMIFS('Leave Management'!$L:$L,'Leave Management'!$C:$C,Detail!$A690,'Leave Management'!$B:$B,Detail!J$1)</f>
        <v>0</v>
      </c>
      <c r="K690" s="7">
        <f>SUMIFS('Leave Management'!$L:$L,'Leave Management'!$C:$C,Detail!$A690,'Leave Management'!$B:$B,Detail!K$1)</f>
        <v>0</v>
      </c>
      <c r="L690" s="7">
        <f>SUMIFS('Leave Management'!$L:$L,'Leave Management'!$C:$C,Detail!$A690,'Leave Management'!$B:$B,Detail!L$1)</f>
        <v>0</v>
      </c>
      <c r="M690" s="7">
        <f>SUMIFS('Leave Management'!$L:$L,'Leave Management'!$C:$C,Detail!$A690,'Leave Management'!$B:$B,Detail!M$1)</f>
        <v>0</v>
      </c>
      <c r="N690" s="7">
        <f>SUMIFS('Leave Management'!$L:$L,'Leave Management'!$C:$C,Detail!$A690,'Leave Management'!$B:$B,Detail!N$1)</f>
        <v>0</v>
      </c>
      <c r="O690" s="7">
        <f t="shared" si="25"/>
        <v>11</v>
      </c>
    </row>
    <row r="691" spans="1:15" x14ac:dyDescent="0.25">
      <c r="A691" s="24">
        <v>43789</v>
      </c>
      <c r="B691" s="2" t="str">
        <f t="shared" si="24"/>
        <v>Wed</v>
      </c>
      <c r="C691" s="7">
        <f>SUMIFS('Leave Management'!$L:$L,'Leave Management'!$C:$C,Detail!$A691,'Leave Management'!$B:$B,Detail!C$1)</f>
        <v>0</v>
      </c>
      <c r="D691" s="7">
        <f>SUMIFS('Leave Management'!$L:$L,'Leave Management'!$C:$C,Detail!$A691,'Leave Management'!$B:$B,Detail!D$1)</f>
        <v>0</v>
      </c>
      <c r="E691" s="7">
        <f>SUMIFS('Leave Management'!$L:$L,'Leave Management'!$C:$C,Detail!$A691,'Leave Management'!$B:$B,Detail!E$1)</f>
        <v>0</v>
      </c>
      <c r="F691" s="7">
        <f>SUMIFS('Leave Management'!$L:$L,'Leave Management'!$C:$C,Detail!$A691,'Leave Management'!$B:$B,Detail!F$1)</f>
        <v>0</v>
      </c>
      <c r="G691" s="7">
        <f>SUMIFS('Leave Management'!$L:$L,'Leave Management'!$C:$C,Detail!$A691,'Leave Management'!$B:$B,Detail!G$1)</f>
        <v>0</v>
      </c>
      <c r="H691" s="7">
        <f>SUMIFS('Leave Management'!$L:$L,'Leave Management'!$C:$C,Detail!$A691,'Leave Management'!$B:$B,Detail!H$1)</f>
        <v>0</v>
      </c>
      <c r="I691" s="7">
        <f>SUMIFS('Leave Management'!$L:$L,'Leave Management'!$C:$C,Detail!$A691,'Leave Management'!$B:$B,Detail!I$1)</f>
        <v>0</v>
      </c>
      <c r="J691" s="7">
        <f>SUMIFS('Leave Management'!$L:$L,'Leave Management'!$C:$C,Detail!$A691,'Leave Management'!$B:$B,Detail!J$1)</f>
        <v>0</v>
      </c>
      <c r="K691" s="7">
        <f>SUMIFS('Leave Management'!$L:$L,'Leave Management'!$C:$C,Detail!$A691,'Leave Management'!$B:$B,Detail!K$1)</f>
        <v>0</v>
      </c>
      <c r="L691" s="7">
        <f>SUMIFS('Leave Management'!$L:$L,'Leave Management'!$C:$C,Detail!$A691,'Leave Management'!$B:$B,Detail!L$1)</f>
        <v>0</v>
      </c>
      <c r="M691" s="7">
        <f>SUMIFS('Leave Management'!$L:$L,'Leave Management'!$C:$C,Detail!$A691,'Leave Management'!$B:$B,Detail!M$1)</f>
        <v>0</v>
      </c>
      <c r="N691" s="7">
        <f>SUMIFS('Leave Management'!$L:$L,'Leave Management'!$C:$C,Detail!$A691,'Leave Management'!$B:$B,Detail!N$1)</f>
        <v>0</v>
      </c>
      <c r="O691" s="7">
        <f t="shared" si="25"/>
        <v>11</v>
      </c>
    </row>
    <row r="692" spans="1:15" x14ac:dyDescent="0.25">
      <c r="A692" s="24">
        <v>43790</v>
      </c>
      <c r="B692" s="2" t="str">
        <f t="shared" si="24"/>
        <v>Thu</v>
      </c>
      <c r="C692" s="7">
        <f>SUMIFS('Leave Management'!$L:$L,'Leave Management'!$C:$C,Detail!$A692,'Leave Management'!$B:$B,Detail!C$1)</f>
        <v>0</v>
      </c>
      <c r="D692" s="7">
        <f>SUMIFS('Leave Management'!$L:$L,'Leave Management'!$C:$C,Detail!$A692,'Leave Management'!$B:$B,Detail!D$1)</f>
        <v>0</v>
      </c>
      <c r="E692" s="7">
        <f>SUMIFS('Leave Management'!$L:$L,'Leave Management'!$C:$C,Detail!$A692,'Leave Management'!$B:$B,Detail!E$1)</f>
        <v>0</v>
      </c>
      <c r="F692" s="7">
        <f>SUMIFS('Leave Management'!$L:$L,'Leave Management'!$C:$C,Detail!$A692,'Leave Management'!$B:$B,Detail!F$1)</f>
        <v>0</v>
      </c>
      <c r="G692" s="7">
        <f>SUMIFS('Leave Management'!$L:$L,'Leave Management'!$C:$C,Detail!$A692,'Leave Management'!$B:$B,Detail!G$1)</f>
        <v>0</v>
      </c>
      <c r="H692" s="7">
        <f>SUMIFS('Leave Management'!$L:$L,'Leave Management'!$C:$C,Detail!$A692,'Leave Management'!$B:$B,Detail!H$1)</f>
        <v>0</v>
      </c>
      <c r="I692" s="7">
        <f>SUMIFS('Leave Management'!$L:$L,'Leave Management'!$C:$C,Detail!$A692,'Leave Management'!$B:$B,Detail!I$1)</f>
        <v>0</v>
      </c>
      <c r="J692" s="7">
        <f>SUMIFS('Leave Management'!$L:$L,'Leave Management'!$C:$C,Detail!$A692,'Leave Management'!$B:$B,Detail!J$1)</f>
        <v>0</v>
      </c>
      <c r="K692" s="7">
        <f>SUMIFS('Leave Management'!$L:$L,'Leave Management'!$C:$C,Detail!$A692,'Leave Management'!$B:$B,Detail!K$1)</f>
        <v>0</v>
      </c>
      <c r="L692" s="7">
        <f>SUMIFS('Leave Management'!$L:$L,'Leave Management'!$C:$C,Detail!$A692,'Leave Management'!$B:$B,Detail!L$1)</f>
        <v>0</v>
      </c>
      <c r="M692" s="7">
        <f>SUMIFS('Leave Management'!$L:$L,'Leave Management'!$C:$C,Detail!$A692,'Leave Management'!$B:$B,Detail!M$1)</f>
        <v>0</v>
      </c>
      <c r="N692" s="7">
        <f>SUMIFS('Leave Management'!$L:$L,'Leave Management'!$C:$C,Detail!$A692,'Leave Management'!$B:$B,Detail!N$1)</f>
        <v>0</v>
      </c>
      <c r="O692" s="7">
        <f t="shared" si="25"/>
        <v>11</v>
      </c>
    </row>
    <row r="693" spans="1:15" x14ac:dyDescent="0.25">
      <c r="A693" s="24">
        <v>43791</v>
      </c>
      <c r="B693" s="2" t="str">
        <f t="shared" si="24"/>
        <v>Fri</v>
      </c>
      <c r="C693" s="7">
        <f>SUMIFS('Leave Management'!$L:$L,'Leave Management'!$C:$C,Detail!$A693,'Leave Management'!$B:$B,Detail!C$1)</f>
        <v>0</v>
      </c>
      <c r="D693" s="7">
        <f>SUMIFS('Leave Management'!$L:$L,'Leave Management'!$C:$C,Detail!$A693,'Leave Management'!$B:$B,Detail!D$1)</f>
        <v>0</v>
      </c>
      <c r="E693" s="7">
        <f>SUMIFS('Leave Management'!$L:$L,'Leave Management'!$C:$C,Detail!$A693,'Leave Management'!$B:$B,Detail!E$1)</f>
        <v>0</v>
      </c>
      <c r="F693" s="7">
        <f>SUMIFS('Leave Management'!$L:$L,'Leave Management'!$C:$C,Detail!$A693,'Leave Management'!$B:$B,Detail!F$1)</f>
        <v>0</v>
      </c>
      <c r="G693" s="7">
        <f>SUMIFS('Leave Management'!$L:$L,'Leave Management'!$C:$C,Detail!$A693,'Leave Management'!$B:$B,Detail!G$1)</f>
        <v>0</v>
      </c>
      <c r="H693" s="7">
        <f>SUMIFS('Leave Management'!$L:$L,'Leave Management'!$C:$C,Detail!$A693,'Leave Management'!$B:$B,Detail!H$1)</f>
        <v>0</v>
      </c>
      <c r="I693" s="7">
        <f>SUMIFS('Leave Management'!$L:$L,'Leave Management'!$C:$C,Detail!$A693,'Leave Management'!$B:$B,Detail!I$1)</f>
        <v>0</v>
      </c>
      <c r="J693" s="7">
        <f>SUMIFS('Leave Management'!$L:$L,'Leave Management'!$C:$C,Detail!$A693,'Leave Management'!$B:$B,Detail!J$1)</f>
        <v>0</v>
      </c>
      <c r="K693" s="7">
        <f>SUMIFS('Leave Management'!$L:$L,'Leave Management'!$C:$C,Detail!$A693,'Leave Management'!$B:$B,Detail!K$1)</f>
        <v>0</v>
      </c>
      <c r="L693" s="7">
        <f>SUMIFS('Leave Management'!$L:$L,'Leave Management'!$C:$C,Detail!$A693,'Leave Management'!$B:$B,Detail!L$1)</f>
        <v>0</v>
      </c>
      <c r="M693" s="7">
        <f>SUMIFS('Leave Management'!$L:$L,'Leave Management'!$C:$C,Detail!$A693,'Leave Management'!$B:$B,Detail!M$1)</f>
        <v>0</v>
      </c>
      <c r="N693" s="7">
        <f>SUMIFS('Leave Management'!$L:$L,'Leave Management'!$C:$C,Detail!$A693,'Leave Management'!$B:$B,Detail!N$1)</f>
        <v>0</v>
      </c>
      <c r="O693" s="7">
        <f t="shared" si="25"/>
        <v>11</v>
      </c>
    </row>
    <row r="694" spans="1:15" x14ac:dyDescent="0.25">
      <c r="A694" s="24">
        <v>43792</v>
      </c>
      <c r="B694" s="2" t="str">
        <f t="shared" si="24"/>
        <v>Sat</v>
      </c>
      <c r="C694" s="7">
        <f>SUMIFS('Leave Management'!$L:$L,'Leave Management'!$C:$C,Detail!$A694,'Leave Management'!$B:$B,Detail!C$1)</f>
        <v>0</v>
      </c>
      <c r="D694" s="7">
        <f>SUMIFS('Leave Management'!$L:$L,'Leave Management'!$C:$C,Detail!$A694,'Leave Management'!$B:$B,Detail!D$1)</f>
        <v>0</v>
      </c>
      <c r="E694" s="7">
        <f>SUMIFS('Leave Management'!$L:$L,'Leave Management'!$C:$C,Detail!$A694,'Leave Management'!$B:$B,Detail!E$1)</f>
        <v>0</v>
      </c>
      <c r="F694" s="7">
        <f>SUMIFS('Leave Management'!$L:$L,'Leave Management'!$C:$C,Detail!$A694,'Leave Management'!$B:$B,Detail!F$1)</f>
        <v>0</v>
      </c>
      <c r="G694" s="7">
        <f>SUMIFS('Leave Management'!$L:$L,'Leave Management'!$C:$C,Detail!$A694,'Leave Management'!$B:$B,Detail!G$1)</f>
        <v>0</v>
      </c>
      <c r="H694" s="7">
        <f>SUMIFS('Leave Management'!$L:$L,'Leave Management'!$C:$C,Detail!$A694,'Leave Management'!$B:$B,Detail!H$1)</f>
        <v>0</v>
      </c>
      <c r="I694" s="7">
        <f>SUMIFS('Leave Management'!$L:$L,'Leave Management'!$C:$C,Detail!$A694,'Leave Management'!$B:$B,Detail!I$1)</f>
        <v>0</v>
      </c>
      <c r="J694" s="7">
        <f>SUMIFS('Leave Management'!$L:$L,'Leave Management'!$C:$C,Detail!$A694,'Leave Management'!$B:$B,Detail!J$1)</f>
        <v>0</v>
      </c>
      <c r="K694" s="7">
        <f>SUMIFS('Leave Management'!$L:$L,'Leave Management'!$C:$C,Detail!$A694,'Leave Management'!$B:$B,Detail!K$1)</f>
        <v>0</v>
      </c>
      <c r="L694" s="7">
        <f>SUMIFS('Leave Management'!$L:$L,'Leave Management'!$C:$C,Detail!$A694,'Leave Management'!$B:$B,Detail!L$1)</f>
        <v>0</v>
      </c>
      <c r="M694" s="7">
        <f>SUMIFS('Leave Management'!$L:$L,'Leave Management'!$C:$C,Detail!$A694,'Leave Management'!$B:$B,Detail!M$1)</f>
        <v>0</v>
      </c>
      <c r="N694" s="7">
        <f>SUMIFS('Leave Management'!$L:$L,'Leave Management'!$C:$C,Detail!$A694,'Leave Management'!$B:$B,Detail!N$1)</f>
        <v>0</v>
      </c>
      <c r="O694" s="7">
        <f t="shared" si="25"/>
        <v>11</v>
      </c>
    </row>
    <row r="695" spans="1:15" x14ac:dyDescent="0.25">
      <c r="A695" s="24">
        <v>43793</v>
      </c>
      <c r="B695" s="2" t="str">
        <f t="shared" si="24"/>
        <v>Sun</v>
      </c>
      <c r="C695" s="7">
        <f>SUMIFS('Leave Management'!$L:$L,'Leave Management'!$C:$C,Detail!$A695,'Leave Management'!$B:$B,Detail!C$1)</f>
        <v>0</v>
      </c>
      <c r="D695" s="7">
        <f>SUMIFS('Leave Management'!$L:$L,'Leave Management'!$C:$C,Detail!$A695,'Leave Management'!$B:$B,Detail!D$1)</f>
        <v>0</v>
      </c>
      <c r="E695" s="7">
        <f>SUMIFS('Leave Management'!$L:$L,'Leave Management'!$C:$C,Detail!$A695,'Leave Management'!$B:$B,Detail!E$1)</f>
        <v>0</v>
      </c>
      <c r="F695" s="7">
        <f>SUMIFS('Leave Management'!$L:$L,'Leave Management'!$C:$C,Detail!$A695,'Leave Management'!$B:$B,Detail!F$1)</f>
        <v>0</v>
      </c>
      <c r="G695" s="7">
        <f>SUMIFS('Leave Management'!$L:$L,'Leave Management'!$C:$C,Detail!$A695,'Leave Management'!$B:$B,Detail!G$1)</f>
        <v>0</v>
      </c>
      <c r="H695" s="7">
        <f>SUMIFS('Leave Management'!$L:$L,'Leave Management'!$C:$C,Detail!$A695,'Leave Management'!$B:$B,Detail!H$1)</f>
        <v>0</v>
      </c>
      <c r="I695" s="7">
        <f>SUMIFS('Leave Management'!$L:$L,'Leave Management'!$C:$C,Detail!$A695,'Leave Management'!$B:$B,Detail!I$1)</f>
        <v>0</v>
      </c>
      <c r="J695" s="7">
        <f>SUMIFS('Leave Management'!$L:$L,'Leave Management'!$C:$C,Detail!$A695,'Leave Management'!$B:$B,Detail!J$1)</f>
        <v>0</v>
      </c>
      <c r="K695" s="7">
        <f>SUMIFS('Leave Management'!$L:$L,'Leave Management'!$C:$C,Detail!$A695,'Leave Management'!$B:$B,Detail!K$1)</f>
        <v>0</v>
      </c>
      <c r="L695" s="7">
        <f>SUMIFS('Leave Management'!$L:$L,'Leave Management'!$C:$C,Detail!$A695,'Leave Management'!$B:$B,Detail!L$1)</f>
        <v>0</v>
      </c>
      <c r="M695" s="7">
        <f>SUMIFS('Leave Management'!$L:$L,'Leave Management'!$C:$C,Detail!$A695,'Leave Management'!$B:$B,Detail!M$1)</f>
        <v>0</v>
      </c>
      <c r="N695" s="7">
        <f>SUMIFS('Leave Management'!$L:$L,'Leave Management'!$C:$C,Detail!$A695,'Leave Management'!$B:$B,Detail!N$1)</f>
        <v>0</v>
      </c>
      <c r="O695" s="7">
        <f t="shared" si="25"/>
        <v>11</v>
      </c>
    </row>
    <row r="696" spans="1:15" x14ac:dyDescent="0.25">
      <c r="A696" s="24">
        <v>43794</v>
      </c>
      <c r="B696" s="2" t="str">
        <f t="shared" si="24"/>
        <v>Mon</v>
      </c>
      <c r="C696" s="7">
        <f>SUMIFS('Leave Management'!$L:$L,'Leave Management'!$C:$C,Detail!$A696,'Leave Management'!$B:$B,Detail!C$1)</f>
        <v>0</v>
      </c>
      <c r="D696" s="7">
        <f>SUMIFS('Leave Management'!$L:$L,'Leave Management'!$C:$C,Detail!$A696,'Leave Management'!$B:$B,Detail!D$1)</f>
        <v>0</v>
      </c>
      <c r="E696" s="7">
        <f>SUMIFS('Leave Management'!$L:$L,'Leave Management'!$C:$C,Detail!$A696,'Leave Management'!$B:$B,Detail!E$1)</f>
        <v>0</v>
      </c>
      <c r="F696" s="7">
        <f>SUMIFS('Leave Management'!$L:$L,'Leave Management'!$C:$C,Detail!$A696,'Leave Management'!$B:$B,Detail!F$1)</f>
        <v>0</v>
      </c>
      <c r="G696" s="7">
        <f>SUMIFS('Leave Management'!$L:$L,'Leave Management'!$C:$C,Detail!$A696,'Leave Management'!$B:$B,Detail!G$1)</f>
        <v>0</v>
      </c>
      <c r="H696" s="7">
        <f>SUMIFS('Leave Management'!$L:$L,'Leave Management'!$C:$C,Detail!$A696,'Leave Management'!$B:$B,Detail!H$1)</f>
        <v>0</v>
      </c>
      <c r="I696" s="7">
        <f>SUMIFS('Leave Management'!$L:$L,'Leave Management'!$C:$C,Detail!$A696,'Leave Management'!$B:$B,Detail!I$1)</f>
        <v>0</v>
      </c>
      <c r="J696" s="7">
        <f>SUMIFS('Leave Management'!$L:$L,'Leave Management'!$C:$C,Detail!$A696,'Leave Management'!$B:$B,Detail!J$1)</f>
        <v>0</v>
      </c>
      <c r="K696" s="7">
        <f>SUMIFS('Leave Management'!$L:$L,'Leave Management'!$C:$C,Detail!$A696,'Leave Management'!$B:$B,Detail!K$1)</f>
        <v>0</v>
      </c>
      <c r="L696" s="7">
        <f>SUMIFS('Leave Management'!$L:$L,'Leave Management'!$C:$C,Detail!$A696,'Leave Management'!$B:$B,Detail!L$1)</f>
        <v>0</v>
      </c>
      <c r="M696" s="7">
        <f>SUMIFS('Leave Management'!$L:$L,'Leave Management'!$C:$C,Detail!$A696,'Leave Management'!$B:$B,Detail!M$1)</f>
        <v>0</v>
      </c>
      <c r="N696" s="7">
        <f>SUMIFS('Leave Management'!$L:$L,'Leave Management'!$C:$C,Detail!$A696,'Leave Management'!$B:$B,Detail!N$1)</f>
        <v>0</v>
      </c>
      <c r="O696" s="7">
        <f t="shared" si="25"/>
        <v>11</v>
      </c>
    </row>
    <row r="697" spans="1:15" x14ac:dyDescent="0.25">
      <c r="A697" s="24">
        <v>43795</v>
      </c>
      <c r="B697" s="2" t="str">
        <f t="shared" si="24"/>
        <v>Tue</v>
      </c>
      <c r="C697" s="7">
        <f>SUMIFS('Leave Management'!$L:$L,'Leave Management'!$C:$C,Detail!$A697,'Leave Management'!$B:$B,Detail!C$1)</f>
        <v>0</v>
      </c>
      <c r="D697" s="7">
        <f>SUMIFS('Leave Management'!$L:$L,'Leave Management'!$C:$C,Detail!$A697,'Leave Management'!$B:$B,Detail!D$1)</f>
        <v>0</v>
      </c>
      <c r="E697" s="7">
        <f>SUMIFS('Leave Management'!$L:$L,'Leave Management'!$C:$C,Detail!$A697,'Leave Management'!$B:$B,Detail!E$1)</f>
        <v>0</v>
      </c>
      <c r="F697" s="7">
        <f>SUMIFS('Leave Management'!$L:$L,'Leave Management'!$C:$C,Detail!$A697,'Leave Management'!$B:$B,Detail!F$1)</f>
        <v>0</v>
      </c>
      <c r="G697" s="7">
        <f>SUMIFS('Leave Management'!$L:$L,'Leave Management'!$C:$C,Detail!$A697,'Leave Management'!$B:$B,Detail!G$1)</f>
        <v>0</v>
      </c>
      <c r="H697" s="7">
        <f>SUMIFS('Leave Management'!$L:$L,'Leave Management'!$C:$C,Detail!$A697,'Leave Management'!$B:$B,Detail!H$1)</f>
        <v>0</v>
      </c>
      <c r="I697" s="7">
        <f>SUMIFS('Leave Management'!$L:$L,'Leave Management'!$C:$C,Detail!$A697,'Leave Management'!$B:$B,Detail!I$1)</f>
        <v>0</v>
      </c>
      <c r="J697" s="7">
        <f>SUMIFS('Leave Management'!$L:$L,'Leave Management'!$C:$C,Detail!$A697,'Leave Management'!$B:$B,Detail!J$1)</f>
        <v>0</v>
      </c>
      <c r="K697" s="7">
        <f>SUMIFS('Leave Management'!$L:$L,'Leave Management'!$C:$C,Detail!$A697,'Leave Management'!$B:$B,Detail!K$1)</f>
        <v>0</v>
      </c>
      <c r="L697" s="7">
        <f>SUMIFS('Leave Management'!$L:$L,'Leave Management'!$C:$C,Detail!$A697,'Leave Management'!$B:$B,Detail!L$1)</f>
        <v>0</v>
      </c>
      <c r="M697" s="7">
        <f>SUMIFS('Leave Management'!$L:$L,'Leave Management'!$C:$C,Detail!$A697,'Leave Management'!$B:$B,Detail!M$1)</f>
        <v>0</v>
      </c>
      <c r="N697" s="7">
        <f>SUMIFS('Leave Management'!$L:$L,'Leave Management'!$C:$C,Detail!$A697,'Leave Management'!$B:$B,Detail!N$1)</f>
        <v>0</v>
      </c>
      <c r="O697" s="7">
        <f t="shared" si="25"/>
        <v>11</v>
      </c>
    </row>
    <row r="698" spans="1:15" x14ac:dyDescent="0.25">
      <c r="A698" s="24">
        <v>43796</v>
      </c>
      <c r="B698" s="2" t="str">
        <f t="shared" si="24"/>
        <v>Wed</v>
      </c>
      <c r="C698" s="7">
        <f>SUMIFS('Leave Management'!$L:$L,'Leave Management'!$C:$C,Detail!$A698,'Leave Management'!$B:$B,Detail!C$1)</f>
        <v>0</v>
      </c>
      <c r="D698" s="7">
        <f>SUMIFS('Leave Management'!$L:$L,'Leave Management'!$C:$C,Detail!$A698,'Leave Management'!$B:$B,Detail!D$1)</f>
        <v>0</v>
      </c>
      <c r="E698" s="7">
        <f>SUMIFS('Leave Management'!$L:$L,'Leave Management'!$C:$C,Detail!$A698,'Leave Management'!$B:$B,Detail!E$1)</f>
        <v>0</v>
      </c>
      <c r="F698" s="7">
        <f>SUMIFS('Leave Management'!$L:$L,'Leave Management'!$C:$C,Detail!$A698,'Leave Management'!$B:$B,Detail!F$1)</f>
        <v>0</v>
      </c>
      <c r="G698" s="7">
        <f>SUMIFS('Leave Management'!$L:$L,'Leave Management'!$C:$C,Detail!$A698,'Leave Management'!$B:$B,Detail!G$1)</f>
        <v>0</v>
      </c>
      <c r="H698" s="7">
        <f>SUMIFS('Leave Management'!$L:$L,'Leave Management'!$C:$C,Detail!$A698,'Leave Management'!$B:$B,Detail!H$1)</f>
        <v>0</v>
      </c>
      <c r="I698" s="7">
        <f>SUMIFS('Leave Management'!$L:$L,'Leave Management'!$C:$C,Detail!$A698,'Leave Management'!$B:$B,Detail!I$1)</f>
        <v>0</v>
      </c>
      <c r="J698" s="7">
        <f>SUMIFS('Leave Management'!$L:$L,'Leave Management'!$C:$C,Detail!$A698,'Leave Management'!$B:$B,Detail!J$1)</f>
        <v>0</v>
      </c>
      <c r="K698" s="7">
        <f>SUMIFS('Leave Management'!$L:$L,'Leave Management'!$C:$C,Detail!$A698,'Leave Management'!$B:$B,Detail!K$1)</f>
        <v>0</v>
      </c>
      <c r="L698" s="7">
        <f>SUMIFS('Leave Management'!$L:$L,'Leave Management'!$C:$C,Detail!$A698,'Leave Management'!$B:$B,Detail!L$1)</f>
        <v>0</v>
      </c>
      <c r="M698" s="7">
        <f>SUMIFS('Leave Management'!$L:$L,'Leave Management'!$C:$C,Detail!$A698,'Leave Management'!$B:$B,Detail!M$1)</f>
        <v>0</v>
      </c>
      <c r="N698" s="7">
        <f>SUMIFS('Leave Management'!$L:$L,'Leave Management'!$C:$C,Detail!$A698,'Leave Management'!$B:$B,Detail!N$1)</f>
        <v>0</v>
      </c>
      <c r="O698" s="7">
        <f t="shared" si="25"/>
        <v>11</v>
      </c>
    </row>
    <row r="699" spans="1:15" x14ac:dyDescent="0.25">
      <c r="A699" s="24">
        <v>43797</v>
      </c>
      <c r="B699" s="2" t="str">
        <f t="shared" si="24"/>
        <v>Thu</v>
      </c>
      <c r="C699" s="7">
        <f>SUMIFS('Leave Management'!$L:$L,'Leave Management'!$C:$C,Detail!$A699,'Leave Management'!$B:$B,Detail!C$1)</f>
        <v>0</v>
      </c>
      <c r="D699" s="7">
        <f>SUMIFS('Leave Management'!$L:$L,'Leave Management'!$C:$C,Detail!$A699,'Leave Management'!$B:$B,Detail!D$1)</f>
        <v>0</v>
      </c>
      <c r="E699" s="7">
        <f>SUMIFS('Leave Management'!$L:$L,'Leave Management'!$C:$C,Detail!$A699,'Leave Management'!$B:$B,Detail!E$1)</f>
        <v>0</v>
      </c>
      <c r="F699" s="7">
        <f>SUMIFS('Leave Management'!$L:$L,'Leave Management'!$C:$C,Detail!$A699,'Leave Management'!$B:$B,Detail!F$1)</f>
        <v>0</v>
      </c>
      <c r="G699" s="7">
        <f>SUMIFS('Leave Management'!$L:$L,'Leave Management'!$C:$C,Detail!$A699,'Leave Management'!$B:$B,Detail!G$1)</f>
        <v>0</v>
      </c>
      <c r="H699" s="7">
        <f>SUMIFS('Leave Management'!$L:$L,'Leave Management'!$C:$C,Detail!$A699,'Leave Management'!$B:$B,Detail!H$1)</f>
        <v>0</v>
      </c>
      <c r="I699" s="7">
        <f>SUMIFS('Leave Management'!$L:$L,'Leave Management'!$C:$C,Detail!$A699,'Leave Management'!$B:$B,Detail!I$1)</f>
        <v>0</v>
      </c>
      <c r="J699" s="7">
        <f>SUMIFS('Leave Management'!$L:$L,'Leave Management'!$C:$C,Detail!$A699,'Leave Management'!$B:$B,Detail!J$1)</f>
        <v>0</v>
      </c>
      <c r="K699" s="7">
        <f>SUMIFS('Leave Management'!$L:$L,'Leave Management'!$C:$C,Detail!$A699,'Leave Management'!$B:$B,Detail!K$1)</f>
        <v>0</v>
      </c>
      <c r="L699" s="7">
        <f>SUMIFS('Leave Management'!$L:$L,'Leave Management'!$C:$C,Detail!$A699,'Leave Management'!$B:$B,Detail!L$1)</f>
        <v>0</v>
      </c>
      <c r="M699" s="7">
        <f>SUMIFS('Leave Management'!$L:$L,'Leave Management'!$C:$C,Detail!$A699,'Leave Management'!$B:$B,Detail!M$1)</f>
        <v>0</v>
      </c>
      <c r="N699" s="7">
        <f>SUMIFS('Leave Management'!$L:$L,'Leave Management'!$C:$C,Detail!$A699,'Leave Management'!$B:$B,Detail!N$1)</f>
        <v>0</v>
      </c>
      <c r="O699" s="7">
        <f t="shared" si="25"/>
        <v>11</v>
      </c>
    </row>
    <row r="700" spans="1:15" x14ac:dyDescent="0.25">
      <c r="A700" s="24">
        <v>43798</v>
      </c>
      <c r="B700" s="2" t="str">
        <f t="shared" si="24"/>
        <v>Fri</v>
      </c>
      <c r="C700" s="7">
        <f>SUMIFS('Leave Management'!$L:$L,'Leave Management'!$C:$C,Detail!$A700,'Leave Management'!$B:$B,Detail!C$1)</f>
        <v>0</v>
      </c>
      <c r="D700" s="7">
        <f>SUMIFS('Leave Management'!$L:$L,'Leave Management'!$C:$C,Detail!$A700,'Leave Management'!$B:$B,Detail!D$1)</f>
        <v>0</v>
      </c>
      <c r="E700" s="7">
        <f>SUMIFS('Leave Management'!$L:$L,'Leave Management'!$C:$C,Detail!$A700,'Leave Management'!$B:$B,Detail!E$1)</f>
        <v>0</v>
      </c>
      <c r="F700" s="7">
        <f>SUMIFS('Leave Management'!$L:$L,'Leave Management'!$C:$C,Detail!$A700,'Leave Management'!$B:$B,Detail!F$1)</f>
        <v>0</v>
      </c>
      <c r="G700" s="7">
        <f>SUMIFS('Leave Management'!$L:$L,'Leave Management'!$C:$C,Detail!$A700,'Leave Management'!$B:$B,Detail!G$1)</f>
        <v>0</v>
      </c>
      <c r="H700" s="7">
        <f>SUMIFS('Leave Management'!$L:$L,'Leave Management'!$C:$C,Detail!$A700,'Leave Management'!$B:$B,Detail!H$1)</f>
        <v>0</v>
      </c>
      <c r="I700" s="7">
        <f>SUMIFS('Leave Management'!$L:$L,'Leave Management'!$C:$C,Detail!$A700,'Leave Management'!$B:$B,Detail!I$1)</f>
        <v>0</v>
      </c>
      <c r="J700" s="7">
        <f>SUMIFS('Leave Management'!$L:$L,'Leave Management'!$C:$C,Detail!$A700,'Leave Management'!$B:$B,Detail!J$1)</f>
        <v>0</v>
      </c>
      <c r="K700" s="7">
        <f>SUMIFS('Leave Management'!$L:$L,'Leave Management'!$C:$C,Detail!$A700,'Leave Management'!$B:$B,Detail!K$1)</f>
        <v>0</v>
      </c>
      <c r="L700" s="7">
        <f>SUMIFS('Leave Management'!$L:$L,'Leave Management'!$C:$C,Detail!$A700,'Leave Management'!$B:$B,Detail!L$1)</f>
        <v>0</v>
      </c>
      <c r="M700" s="7">
        <f>SUMIFS('Leave Management'!$L:$L,'Leave Management'!$C:$C,Detail!$A700,'Leave Management'!$B:$B,Detail!M$1)</f>
        <v>0</v>
      </c>
      <c r="N700" s="7">
        <f>SUMIFS('Leave Management'!$L:$L,'Leave Management'!$C:$C,Detail!$A700,'Leave Management'!$B:$B,Detail!N$1)</f>
        <v>0</v>
      </c>
      <c r="O700" s="7">
        <f t="shared" si="25"/>
        <v>11</v>
      </c>
    </row>
    <row r="701" spans="1:15" x14ac:dyDescent="0.25">
      <c r="A701" s="24">
        <v>43799</v>
      </c>
      <c r="B701" s="2" t="str">
        <f t="shared" si="24"/>
        <v>Sat</v>
      </c>
      <c r="C701" s="7">
        <f>SUMIFS('Leave Management'!$L:$L,'Leave Management'!$C:$C,Detail!$A701,'Leave Management'!$B:$B,Detail!C$1)</f>
        <v>0</v>
      </c>
      <c r="D701" s="7">
        <f>SUMIFS('Leave Management'!$L:$L,'Leave Management'!$C:$C,Detail!$A701,'Leave Management'!$B:$B,Detail!D$1)</f>
        <v>0</v>
      </c>
      <c r="E701" s="7">
        <f>SUMIFS('Leave Management'!$L:$L,'Leave Management'!$C:$C,Detail!$A701,'Leave Management'!$B:$B,Detail!E$1)</f>
        <v>0</v>
      </c>
      <c r="F701" s="7">
        <f>SUMIFS('Leave Management'!$L:$L,'Leave Management'!$C:$C,Detail!$A701,'Leave Management'!$B:$B,Detail!F$1)</f>
        <v>0</v>
      </c>
      <c r="G701" s="7">
        <f>SUMIFS('Leave Management'!$L:$L,'Leave Management'!$C:$C,Detail!$A701,'Leave Management'!$B:$B,Detail!G$1)</f>
        <v>0</v>
      </c>
      <c r="H701" s="7">
        <f>SUMIFS('Leave Management'!$L:$L,'Leave Management'!$C:$C,Detail!$A701,'Leave Management'!$B:$B,Detail!H$1)</f>
        <v>0</v>
      </c>
      <c r="I701" s="7">
        <f>SUMIFS('Leave Management'!$L:$L,'Leave Management'!$C:$C,Detail!$A701,'Leave Management'!$B:$B,Detail!I$1)</f>
        <v>0</v>
      </c>
      <c r="J701" s="7">
        <f>SUMIFS('Leave Management'!$L:$L,'Leave Management'!$C:$C,Detail!$A701,'Leave Management'!$B:$B,Detail!J$1)</f>
        <v>0</v>
      </c>
      <c r="K701" s="7">
        <f>SUMIFS('Leave Management'!$L:$L,'Leave Management'!$C:$C,Detail!$A701,'Leave Management'!$B:$B,Detail!K$1)</f>
        <v>0</v>
      </c>
      <c r="L701" s="7">
        <f>SUMIFS('Leave Management'!$L:$L,'Leave Management'!$C:$C,Detail!$A701,'Leave Management'!$B:$B,Detail!L$1)</f>
        <v>0</v>
      </c>
      <c r="M701" s="7">
        <f>SUMIFS('Leave Management'!$L:$L,'Leave Management'!$C:$C,Detail!$A701,'Leave Management'!$B:$B,Detail!M$1)</f>
        <v>0</v>
      </c>
      <c r="N701" s="7">
        <f>SUMIFS('Leave Management'!$L:$L,'Leave Management'!$C:$C,Detail!$A701,'Leave Management'!$B:$B,Detail!N$1)</f>
        <v>0</v>
      </c>
      <c r="O701" s="7">
        <f t="shared" si="25"/>
        <v>11</v>
      </c>
    </row>
    <row r="702" spans="1:15" x14ac:dyDescent="0.25">
      <c r="A702" s="24">
        <v>43800</v>
      </c>
      <c r="B702" s="2" t="str">
        <f t="shared" si="24"/>
        <v>Sun</v>
      </c>
      <c r="C702" s="7">
        <f>SUMIFS('Leave Management'!$L:$L,'Leave Management'!$C:$C,Detail!$A702,'Leave Management'!$B:$B,Detail!C$1)</f>
        <v>0</v>
      </c>
      <c r="D702" s="7">
        <f>SUMIFS('Leave Management'!$L:$L,'Leave Management'!$C:$C,Detail!$A702,'Leave Management'!$B:$B,Detail!D$1)</f>
        <v>0</v>
      </c>
      <c r="E702" s="7">
        <f>SUMIFS('Leave Management'!$L:$L,'Leave Management'!$C:$C,Detail!$A702,'Leave Management'!$B:$B,Detail!E$1)</f>
        <v>0</v>
      </c>
      <c r="F702" s="7">
        <f>SUMIFS('Leave Management'!$L:$L,'Leave Management'!$C:$C,Detail!$A702,'Leave Management'!$B:$B,Detail!F$1)</f>
        <v>0</v>
      </c>
      <c r="G702" s="7">
        <f>SUMIFS('Leave Management'!$L:$L,'Leave Management'!$C:$C,Detail!$A702,'Leave Management'!$B:$B,Detail!G$1)</f>
        <v>0</v>
      </c>
      <c r="H702" s="7">
        <f>SUMIFS('Leave Management'!$L:$L,'Leave Management'!$C:$C,Detail!$A702,'Leave Management'!$B:$B,Detail!H$1)</f>
        <v>0</v>
      </c>
      <c r="I702" s="7">
        <f>SUMIFS('Leave Management'!$L:$L,'Leave Management'!$C:$C,Detail!$A702,'Leave Management'!$B:$B,Detail!I$1)</f>
        <v>0</v>
      </c>
      <c r="J702" s="7">
        <f>SUMIFS('Leave Management'!$L:$L,'Leave Management'!$C:$C,Detail!$A702,'Leave Management'!$B:$B,Detail!J$1)</f>
        <v>0</v>
      </c>
      <c r="K702" s="7">
        <f>SUMIFS('Leave Management'!$L:$L,'Leave Management'!$C:$C,Detail!$A702,'Leave Management'!$B:$B,Detail!K$1)</f>
        <v>0</v>
      </c>
      <c r="L702" s="7">
        <f>SUMIFS('Leave Management'!$L:$L,'Leave Management'!$C:$C,Detail!$A702,'Leave Management'!$B:$B,Detail!L$1)</f>
        <v>0</v>
      </c>
      <c r="M702" s="7">
        <f>SUMIFS('Leave Management'!$L:$L,'Leave Management'!$C:$C,Detail!$A702,'Leave Management'!$B:$B,Detail!M$1)</f>
        <v>0</v>
      </c>
      <c r="N702" s="7">
        <f>SUMIFS('Leave Management'!$L:$L,'Leave Management'!$C:$C,Detail!$A702,'Leave Management'!$B:$B,Detail!N$1)</f>
        <v>0</v>
      </c>
      <c r="O702" s="7">
        <f t="shared" si="25"/>
        <v>11</v>
      </c>
    </row>
    <row r="703" spans="1:15" x14ac:dyDescent="0.25">
      <c r="A703" s="24">
        <v>43801</v>
      </c>
      <c r="B703" s="2" t="str">
        <f t="shared" si="24"/>
        <v>Mon</v>
      </c>
      <c r="C703" s="7">
        <f>SUMIFS('Leave Management'!$L:$L,'Leave Management'!$C:$C,Detail!$A703,'Leave Management'!$B:$B,Detail!C$1)</f>
        <v>0</v>
      </c>
      <c r="D703" s="7">
        <f>SUMIFS('Leave Management'!$L:$L,'Leave Management'!$C:$C,Detail!$A703,'Leave Management'!$B:$B,Detail!D$1)</f>
        <v>0</v>
      </c>
      <c r="E703" s="7">
        <f>SUMIFS('Leave Management'!$L:$L,'Leave Management'!$C:$C,Detail!$A703,'Leave Management'!$B:$B,Detail!E$1)</f>
        <v>0</v>
      </c>
      <c r="F703" s="7">
        <f>SUMIFS('Leave Management'!$L:$L,'Leave Management'!$C:$C,Detail!$A703,'Leave Management'!$B:$B,Detail!F$1)</f>
        <v>0</v>
      </c>
      <c r="G703" s="7">
        <f>SUMIFS('Leave Management'!$L:$L,'Leave Management'!$C:$C,Detail!$A703,'Leave Management'!$B:$B,Detail!G$1)</f>
        <v>0</v>
      </c>
      <c r="H703" s="7">
        <f>SUMIFS('Leave Management'!$L:$L,'Leave Management'!$C:$C,Detail!$A703,'Leave Management'!$B:$B,Detail!H$1)</f>
        <v>0</v>
      </c>
      <c r="I703" s="7">
        <f>SUMIFS('Leave Management'!$L:$L,'Leave Management'!$C:$C,Detail!$A703,'Leave Management'!$B:$B,Detail!I$1)</f>
        <v>0</v>
      </c>
      <c r="J703" s="7">
        <f>SUMIFS('Leave Management'!$L:$L,'Leave Management'!$C:$C,Detail!$A703,'Leave Management'!$B:$B,Detail!J$1)</f>
        <v>0</v>
      </c>
      <c r="K703" s="7">
        <f>SUMIFS('Leave Management'!$L:$L,'Leave Management'!$C:$C,Detail!$A703,'Leave Management'!$B:$B,Detail!K$1)</f>
        <v>0</v>
      </c>
      <c r="L703" s="7">
        <f>SUMIFS('Leave Management'!$L:$L,'Leave Management'!$C:$C,Detail!$A703,'Leave Management'!$B:$B,Detail!L$1)</f>
        <v>0</v>
      </c>
      <c r="M703" s="7">
        <f>SUMIFS('Leave Management'!$L:$L,'Leave Management'!$C:$C,Detail!$A703,'Leave Management'!$B:$B,Detail!M$1)</f>
        <v>0</v>
      </c>
      <c r="N703" s="7">
        <f>SUMIFS('Leave Management'!$L:$L,'Leave Management'!$C:$C,Detail!$A703,'Leave Management'!$B:$B,Detail!N$1)</f>
        <v>0</v>
      </c>
      <c r="O703" s="7">
        <f t="shared" si="25"/>
        <v>11</v>
      </c>
    </row>
    <row r="704" spans="1:15" x14ac:dyDescent="0.25">
      <c r="A704" s="24">
        <v>43802</v>
      </c>
      <c r="B704" s="2" t="str">
        <f t="shared" si="24"/>
        <v>Tue</v>
      </c>
      <c r="C704" s="7">
        <f>SUMIFS('Leave Management'!$L:$L,'Leave Management'!$C:$C,Detail!$A704,'Leave Management'!$B:$B,Detail!C$1)</f>
        <v>0</v>
      </c>
      <c r="D704" s="7">
        <f>SUMIFS('Leave Management'!$L:$L,'Leave Management'!$C:$C,Detail!$A704,'Leave Management'!$B:$B,Detail!D$1)</f>
        <v>0</v>
      </c>
      <c r="E704" s="7">
        <f>SUMIFS('Leave Management'!$L:$L,'Leave Management'!$C:$C,Detail!$A704,'Leave Management'!$B:$B,Detail!E$1)</f>
        <v>0</v>
      </c>
      <c r="F704" s="7">
        <f>SUMIFS('Leave Management'!$L:$L,'Leave Management'!$C:$C,Detail!$A704,'Leave Management'!$B:$B,Detail!F$1)</f>
        <v>0</v>
      </c>
      <c r="G704" s="7">
        <f>SUMIFS('Leave Management'!$L:$L,'Leave Management'!$C:$C,Detail!$A704,'Leave Management'!$B:$B,Detail!G$1)</f>
        <v>0</v>
      </c>
      <c r="H704" s="7">
        <f>SUMIFS('Leave Management'!$L:$L,'Leave Management'!$C:$C,Detail!$A704,'Leave Management'!$B:$B,Detail!H$1)</f>
        <v>0</v>
      </c>
      <c r="I704" s="7">
        <f>SUMIFS('Leave Management'!$L:$L,'Leave Management'!$C:$C,Detail!$A704,'Leave Management'!$B:$B,Detail!I$1)</f>
        <v>0</v>
      </c>
      <c r="J704" s="7">
        <f>SUMIFS('Leave Management'!$L:$L,'Leave Management'!$C:$C,Detail!$A704,'Leave Management'!$B:$B,Detail!J$1)</f>
        <v>0</v>
      </c>
      <c r="K704" s="7">
        <f>SUMIFS('Leave Management'!$L:$L,'Leave Management'!$C:$C,Detail!$A704,'Leave Management'!$B:$B,Detail!K$1)</f>
        <v>0</v>
      </c>
      <c r="L704" s="7">
        <f>SUMIFS('Leave Management'!$L:$L,'Leave Management'!$C:$C,Detail!$A704,'Leave Management'!$B:$B,Detail!L$1)</f>
        <v>0</v>
      </c>
      <c r="M704" s="7">
        <f>SUMIFS('Leave Management'!$L:$L,'Leave Management'!$C:$C,Detail!$A704,'Leave Management'!$B:$B,Detail!M$1)</f>
        <v>0</v>
      </c>
      <c r="N704" s="7">
        <f>SUMIFS('Leave Management'!$L:$L,'Leave Management'!$C:$C,Detail!$A704,'Leave Management'!$B:$B,Detail!N$1)</f>
        <v>0</v>
      </c>
      <c r="O704" s="7">
        <f t="shared" si="25"/>
        <v>11</v>
      </c>
    </row>
    <row r="705" spans="1:15" x14ac:dyDescent="0.25">
      <c r="A705" s="24">
        <v>43803</v>
      </c>
      <c r="B705" s="2" t="str">
        <f t="shared" si="24"/>
        <v>Wed</v>
      </c>
      <c r="C705" s="7">
        <f>SUMIFS('Leave Management'!$L:$L,'Leave Management'!$C:$C,Detail!$A705,'Leave Management'!$B:$B,Detail!C$1)</f>
        <v>0</v>
      </c>
      <c r="D705" s="7">
        <f>SUMIFS('Leave Management'!$L:$L,'Leave Management'!$C:$C,Detail!$A705,'Leave Management'!$B:$B,Detail!D$1)</f>
        <v>0</v>
      </c>
      <c r="E705" s="7">
        <f>SUMIFS('Leave Management'!$L:$L,'Leave Management'!$C:$C,Detail!$A705,'Leave Management'!$B:$B,Detail!E$1)</f>
        <v>0</v>
      </c>
      <c r="F705" s="7">
        <f>SUMIFS('Leave Management'!$L:$L,'Leave Management'!$C:$C,Detail!$A705,'Leave Management'!$B:$B,Detail!F$1)</f>
        <v>0</v>
      </c>
      <c r="G705" s="7">
        <f>SUMIFS('Leave Management'!$L:$L,'Leave Management'!$C:$C,Detail!$A705,'Leave Management'!$B:$B,Detail!G$1)</f>
        <v>0</v>
      </c>
      <c r="H705" s="7">
        <f>SUMIFS('Leave Management'!$L:$L,'Leave Management'!$C:$C,Detail!$A705,'Leave Management'!$B:$B,Detail!H$1)</f>
        <v>0</v>
      </c>
      <c r="I705" s="7">
        <f>SUMIFS('Leave Management'!$L:$L,'Leave Management'!$C:$C,Detail!$A705,'Leave Management'!$B:$B,Detail!I$1)</f>
        <v>0</v>
      </c>
      <c r="J705" s="7">
        <f>SUMIFS('Leave Management'!$L:$L,'Leave Management'!$C:$C,Detail!$A705,'Leave Management'!$B:$B,Detail!J$1)</f>
        <v>0</v>
      </c>
      <c r="K705" s="7">
        <f>SUMIFS('Leave Management'!$L:$L,'Leave Management'!$C:$C,Detail!$A705,'Leave Management'!$B:$B,Detail!K$1)</f>
        <v>0</v>
      </c>
      <c r="L705" s="7">
        <f>SUMIFS('Leave Management'!$L:$L,'Leave Management'!$C:$C,Detail!$A705,'Leave Management'!$B:$B,Detail!L$1)</f>
        <v>0</v>
      </c>
      <c r="M705" s="7">
        <f>SUMIFS('Leave Management'!$L:$L,'Leave Management'!$C:$C,Detail!$A705,'Leave Management'!$B:$B,Detail!M$1)</f>
        <v>0</v>
      </c>
      <c r="N705" s="7">
        <f>SUMIFS('Leave Management'!$L:$L,'Leave Management'!$C:$C,Detail!$A705,'Leave Management'!$B:$B,Detail!N$1)</f>
        <v>0</v>
      </c>
      <c r="O705" s="7">
        <f t="shared" si="25"/>
        <v>11</v>
      </c>
    </row>
    <row r="706" spans="1:15" x14ac:dyDescent="0.25">
      <c r="A706" s="24">
        <v>43804</v>
      </c>
      <c r="B706" s="2" t="str">
        <f t="shared" si="24"/>
        <v>Thu</v>
      </c>
      <c r="C706" s="7">
        <f>SUMIFS('Leave Management'!$L:$L,'Leave Management'!$C:$C,Detail!$A706,'Leave Management'!$B:$B,Detail!C$1)</f>
        <v>0</v>
      </c>
      <c r="D706" s="7">
        <f>SUMIFS('Leave Management'!$L:$L,'Leave Management'!$C:$C,Detail!$A706,'Leave Management'!$B:$B,Detail!D$1)</f>
        <v>0</v>
      </c>
      <c r="E706" s="7">
        <f>SUMIFS('Leave Management'!$L:$L,'Leave Management'!$C:$C,Detail!$A706,'Leave Management'!$B:$B,Detail!E$1)</f>
        <v>0</v>
      </c>
      <c r="F706" s="7">
        <f>SUMIFS('Leave Management'!$L:$L,'Leave Management'!$C:$C,Detail!$A706,'Leave Management'!$B:$B,Detail!F$1)</f>
        <v>0</v>
      </c>
      <c r="G706" s="7">
        <f>SUMIFS('Leave Management'!$L:$L,'Leave Management'!$C:$C,Detail!$A706,'Leave Management'!$B:$B,Detail!G$1)</f>
        <v>0</v>
      </c>
      <c r="H706" s="7">
        <f>SUMIFS('Leave Management'!$L:$L,'Leave Management'!$C:$C,Detail!$A706,'Leave Management'!$B:$B,Detail!H$1)</f>
        <v>0</v>
      </c>
      <c r="I706" s="7">
        <f>SUMIFS('Leave Management'!$L:$L,'Leave Management'!$C:$C,Detail!$A706,'Leave Management'!$B:$B,Detail!I$1)</f>
        <v>0</v>
      </c>
      <c r="J706" s="7">
        <f>SUMIFS('Leave Management'!$L:$L,'Leave Management'!$C:$C,Detail!$A706,'Leave Management'!$B:$B,Detail!J$1)</f>
        <v>0</v>
      </c>
      <c r="K706" s="7">
        <f>SUMIFS('Leave Management'!$L:$L,'Leave Management'!$C:$C,Detail!$A706,'Leave Management'!$B:$B,Detail!K$1)</f>
        <v>0</v>
      </c>
      <c r="L706" s="7">
        <f>SUMIFS('Leave Management'!$L:$L,'Leave Management'!$C:$C,Detail!$A706,'Leave Management'!$B:$B,Detail!L$1)</f>
        <v>0</v>
      </c>
      <c r="M706" s="7">
        <f>SUMIFS('Leave Management'!$L:$L,'Leave Management'!$C:$C,Detail!$A706,'Leave Management'!$B:$B,Detail!M$1)</f>
        <v>0</v>
      </c>
      <c r="N706" s="7">
        <f>SUMIFS('Leave Management'!$L:$L,'Leave Management'!$C:$C,Detail!$A706,'Leave Management'!$B:$B,Detail!N$1)</f>
        <v>0</v>
      </c>
      <c r="O706" s="7">
        <f t="shared" si="25"/>
        <v>11</v>
      </c>
    </row>
    <row r="707" spans="1:15" x14ac:dyDescent="0.25">
      <c r="A707" s="24">
        <v>43805</v>
      </c>
      <c r="B707" s="2" t="str">
        <f t="shared" si="24"/>
        <v>Fri</v>
      </c>
      <c r="C707" s="7">
        <f>SUMIFS('Leave Management'!$L:$L,'Leave Management'!$C:$C,Detail!$A707,'Leave Management'!$B:$B,Detail!C$1)</f>
        <v>0</v>
      </c>
      <c r="D707" s="7">
        <f>SUMIFS('Leave Management'!$L:$L,'Leave Management'!$C:$C,Detail!$A707,'Leave Management'!$B:$B,Detail!D$1)</f>
        <v>0</v>
      </c>
      <c r="E707" s="7">
        <f>SUMIFS('Leave Management'!$L:$L,'Leave Management'!$C:$C,Detail!$A707,'Leave Management'!$B:$B,Detail!E$1)</f>
        <v>0</v>
      </c>
      <c r="F707" s="7">
        <f>SUMIFS('Leave Management'!$L:$L,'Leave Management'!$C:$C,Detail!$A707,'Leave Management'!$B:$B,Detail!F$1)</f>
        <v>0</v>
      </c>
      <c r="G707" s="7">
        <f>SUMIFS('Leave Management'!$L:$L,'Leave Management'!$C:$C,Detail!$A707,'Leave Management'!$B:$B,Detail!G$1)</f>
        <v>0</v>
      </c>
      <c r="H707" s="7">
        <f>SUMIFS('Leave Management'!$L:$L,'Leave Management'!$C:$C,Detail!$A707,'Leave Management'!$B:$B,Detail!H$1)</f>
        <v>0</v>
      </c>
      <c r="I707" s="7">
        <f>SUMIFS('Leave Management'!$L:$L,'Leave Management'!$C:$C,Detail!$A707,'Leave Management'!$B:$B,Detail!I$1)</f>
        <v>0</v>
      </c>
      <c r="J707" s="7">
        <f>SUMIFS('Leave Management'!$L:$L,'Leave Management'!$C:$C,Detail!$A707,'Leave Management'!$B:$B,Detail!J$1)</f>
        <v>0</v>
      </c>
      <c r="K707" s="7">
        <f>SUMIFS('Leave Management'!$L:$L,'Leave Management'!$C:$C,Detail!$A707,'Leave Management'!$B:$B,Detail!K$1)</f>
        <v>0</v>
      </c>
      <c r="L707" s="7">
        <f>SUMIFS('Leave Management'!$L:$L,'Leave Management'!$C:$C,Detail!$A707,'Leave Management'!$B:$B,Detail!L$1)</f>
        <v>0</v>
      </c>
      <c r="M707" s="7">
        <f>SUMIFS('Leave Management'!$L:$L,'Leave Management'!$C:$C,Detail!$A707,'Leave Management'!$B:$B,Detail!M$1)</f>
        <v>0</v>
      </c>
      <c r="N707" s="7">
        <f>SUMIFS('Leave Management'!$L:$L,'Leave Management'!$C:$C,Detail!$A707,'Leave Management'!$B:$B,Detail!N$1)</f>
        <v>0</v>
      </c>
      <c r="O707" s="7">
        <f t="shared" si="25"/>
        <v>11</v>
      </c>
    </row>
    <row r="708" spans="1:15" x14ac:dyDescent="0.25">
      <c r="A708" s="24">
        <v>43806</v>
      </c>
      <c r="B708" s="2" t="str">
        <f t="shared" si="24"/>
        <v>Sat</v>
      </c>
      <c r="C708" s="7">
        <f>SUMIFS('Leave Management'!$L:$L,'Leave Management'!$C:$C,Detail!$A708,'Leave Management'!$B:$B,Detail!C$1)</f>
        <v>0</v>
      </c>
      <c r="D708" s="7">
        <f>SUMIFS('Leave Management'!$L:$L,'Leave Management'!$C:$C,Detail!$A708,'Leave Management'!$B:$B,Detail!D$1)</f>
        <v>0</v>
      </c>
      <c r="E708" s="7">
        <f>SUMIFS('Leave Management'!$L:$L,'Leave Management'!$C:$C,Detail!$A708,'Leave Management'!$B:$B,Detail!E$1)</f>
        <v>0</v>
      </c>
      <c r="F708" s="7">
        <f>SUMIFS('Leave Management'!$L:$L,'Leave Management'!$C:$C,Detail!$A708,'Leave Management'!$B:$B,Detail!F$1)</f>
        <v>0</v>
      </c>
      <c r="G708" s="7">
        <f>SUMIFS('Leave Management'!$L:$L,'Leave Management'!$C:$C,Detail!$A708,'Leave Management'!$B:$B,Detail!G$1)</f>
        <v>0</v>
      </c>
      <c r="H708" s="7">
        <f>SUMIFS('Leave Management'!$L:$L,'Leave Management'!$C:$C,Detail!$A708,'Leave Management'!$B:$B,Detail!H$1)</f>
        <v>0</v>
      </c>
      <c r="I708" s="7">
        <f>SUMIFS('Leave Management'!$L:$L,'Leave Management'!$C:$C,Detail!$A708,'Leave Management'!$B:$B,Detail!I$1)</f>
        <v>0</v>
      </c>
      <c r="J708" s="7">
        <f>SUMIFS('Leave Management'!$L:$L,'Leave Management'!$C:$C,Detail!$A708,'Leave Management'!$B:$B,Detail!J$1)</f>
        <v>0</v>
      </c>
      <c r="K708" s="7">
        <f>SUMIFS('Leave Management'!$L:$L,'Leave Management'!$C:$C,Detail!$A708,'Leave Management'!$B:$B,Detail!K$1)</f>
        <v>0</v>
      </c>
      <c r="L708" s="7">
        <f>SUMIFS('Leave Management'!$L:$L,'Leave Management'!$C:$C,Detail!$A708,'Leave Management'!$B:$B,Detail!L$1)</f>
        <v>0</v>
      </c>
      <c r="M708" s="7">
        <f>SUMIFS('Leave Management'!$L:$L,'Leave Management'!$C:$C,Detail!$A708,'Leave Management'!$B:$B,Detail!M$1)</f>
        <v>0</v>
      </c>
      <c r="N708" s="7">
        <f>SUMIFS('Leave Management'!$L:$L,'Leave Management'!$C:$C,Detail!$A708,'Leave Management'!$B:$B,Detail!N$1)</f>
        <v>0</v>
      </c>
      <c r="O708" s="7">
        <f t="shared" si="25"/>
        <v>11</v>
      </c>
    </row>
    <row r="709" spans="1:15" x14ac:dyDescent="0.25">
      <c r="A709" s="24">
        <v>43807</v>
      </c>
      <c r="B709" s="2" t="str">
        <f t="shared" si="24"/>
        <v>Sun</v>
      </c>
      <c r="C709" s="7">
        <f>SUMIFS('Leave Management'!$L:$L,'Leave Management'!$C:$C,Detail!$A709,'Leave Management'!$B:$B,Detail!C$1)</f>
        <v>0</v>
      </c>
      <c r="D709" s="7">
        <f>SUMIFS('Leave Management'!$L:$L,'Leave Management'!$C:$C,Detail!$A709,'Leave Management'!$B:$B,Detail!D$1)</f>
        <v>0</v>
      </c>
      <c r="E709" s="7">
        <f>SUMIFS('Leave Management'!$L:$L,'Leave Management'!$C:$C,Detail!$A709,'Leave Management'!$B:$B,Detail!E$1)</f>
        <v>0</v>
      </c>
      <c r="F709" s="7">
        <f>SUMIFS('Leave Management'!$L:$L,'Leave Management'!$C:$C,Detail!$A709,'Leave Management'!$B:$B,Detail!F$1)</f>
        <v>0</v>
      </c>
      <c r="G709" s="7">
        <f>SUMIFS('Leave Management'!$L:$L,'Leave Management'!$C:$C,Detail!$A709,'Leave Management'!$B:$B,Detail!G$1)</f>
        <v>0</v>
      </c>
      <c r="H709" s="7">
        <f>SUMIFS('Leave Management'!$L:$L,'Leave Management'!$C:$C,Detail!$A709,'Leave Management'!$B:$B,Detail!H$1)</f>
        <v>0</v>
      </c>
      <c r="I709" s="7">
        <f>SUMIFS('Leave Management'!$L:$L,'Leave Management'!$C:$C,Detail!$A709,'Leave Management'!$B:$B,Detail!I$1)</f>
        <v>0</v>
      </c>
      <c r="J709" s="7">
        <f>SUMIFS('Leave Management'!$L:$L,'Leave Management'!$C:$C,Detail!$A709,'Leave Management'!$B:$B,Detail!J$1)</f>
        <v>0</v>
      </c>
      <c r="K709" s="7">
        <f>SUMIFS('Leave Management'!$L:$L,'Leave Management'!$C:$C,Detail!$A709,'Leave Management'!$B:$B,Detail!K$1)</f>
        <v>0</v>
      </c>
      <c r="L709" s="7">
        <f>SUMIFS('Leave Management'!$L:$L,'Leave Management'!$C:$C,Detail!$A709,'Leave Management'!$B:$B,Detail!L$1)</f>
        <v>0</v>
      </c>
      <c r="M709" s="7">
        <f>SUMIFS('Leave Management'!$L:$L,'Leave Management'!$C:$C,Detail!$A709,'Leave Management'!$B:$B,Detail!M$1)</f>
        <v>0</v>
      </c>
      <c r="N709" s="7">
        <f>SUMIFS('Leave Management'!$L:$L,'Leave Management'!$C:$C,Detail!$A709,'Leave Management'!$B:$B,Detail!N$1)</f>
        <v>0</v>
      </c>
      <c r="O709" s="7">
        <f t="shared" si="25"/>
        <v>11</v>
      </c>
    </row>
    <row r="710" spans="1:15" x14ac:dyDescent="0.25">
      <c r="A710" s="24">
        <v>43808</v>
      </c>
      <c r="B710" s="2" t="str">
        <f t="shared" si="24"/>
        <v>Mon</v>
      </c>
      <c r="C710" s="7">
        <f>SUMIFS('Leave Management'!$L:$L,'Leave Management'!$C:$C,Detail!$A710,'Leave Management'!$B:$B,Detail!C$1)</f>
        <v>0</v>
      </c>
      <c r="D710" s="7">
        <f>SUMIFS('Leave Management'!$L:$L,'Leave Management'!$C:$C,Detail!$A710,'Leave Management'!$B:$B,Detail!D$1)</f>
        <v>0</v>
      </c>
      <c r="E710" s="7">
        <f>SUMIFS('Leave Management'!$L:$L,'Leave Management'!$C:$C,Detail!$A710,'Leave Management'!$B:$B,Detail!E$1)</f>
        <v>0</v>
      </c>
      <c r="F710" s="7">
        <f>SUMIFS('Leave Management'!$L:$L,'Leave Management'!$C:$C,Detail!$A710,'Leave Management'!$B:$B,Detail!F$1)</f>
        <v>0</v>
      </c>
      <c r="G710" s="7">
        <f>SUMIFS('Leave Management'!$L:$L,'Leave Management'!$C:$C,Detail!$A710,'Leave Management'!$B:$B,Detail!G$1)</f>
        <v>0</v>
      </c>
      <c r="H710" s="7">
        <f>SUMIFS('Leave Management'!$L:$L,'Leave Management'!$C:$C,Detail!$A710,'Leave Management'!$B:$B,Detail!H$1)</f>
        <v>0</v>
      </c>
      <c r="I710" s="7">
        <f>SUMIFS('Leave Management'!$L:$L,'Leave Management'!$C:$C,Detail!$A710,'Leave Management'!$B:$B,Detail!I$1)</f>
        <v>0</v>
      </c>
      <c r="J710" s="7">
        <f>SUMIFS('Leave Management'!$L:$L,'Leave Management'!$C:$C,Detail!$A710,'Leave Management'!$B:$B,Detail!J$1)</f>
        <v>0</v>
      </c>
      <c r="K710" s="7">
        <f>SUMIFS('Leave Management'!$L:$L,'Leave Management'!$C:$C,Detail!$A710,'Leave Management'!$B:$B,Detail!K$1)</f>
        <v>0</v>
      </c>
      <c r="L710" s="7">
        <f>SUMIFS('Leave Management'!$L:$L,'Leave Management'!$C:$C,Detail!$A710,'Leave Management'!$B:$B,Detail!L$1)</f>
        <v>0</v>
      </c>
      <c r="M710" s="7">
        <f>SUMIFS('Leave Management'!$L:$L,'Leave Management'!$C:$C,Detail!$A710,'Leave Management'!$B:$B,Detail!M$1)</f>
        <v>0</v>
      </c>
      <c r="N710" s="7">
        <f>SUMIFS('Leave Management'!$L:$L,'Leave Management'!$C:$C,Detail!$A710,'Leave Management'!$B:$B,Detail!N$1)</f>
        <v>0</v>
      </c>
      <c r="O710" s="7">
        <f t="shared" si="25"/>
        <v>11</v>
      </c>
    </row>
    <row r="711" spans="1:15" x14ac:dyDescent="0.25">
      <c r="A711" s="24">
        <v>43809</v>
      </c>
      <c r="B711" s="2" t="str">
        <f t="shared" ref="B711:B725" si="26">CHOOSE(WEEKDAY(A711),"Sun","Mon","Tue","Wed","Thu","Fri","Sat")</f>
        <v>Tue</v>
      </c>
      <c r="C711" s="7">
        <f>SUMIFS('Leave Management'!$L:$L,'Leave Management'!$C:$C,Detail!$A711,'Leave Management'!$B:$B,Detail!C$1)</f>
        <v>0</v>
      </c>
      <c r="D711" s="7">
        <f>SUMIFS('Leave Management'!$L:$L,'Leave Management'!$C:$C,Detail!$A711,'Leave Management'!$B:$B,Detail!D$1)</f>
        <v>0</v>
      </c>
      <c r="E711" s="7">
        <f>SUMIFS('Leave Management'!$L:$L,'Leave Management'!$C:$C,Detail!$A711,'Leave Management'!$B:$B,Detail!E$1)</f>
        <v>0</v>
      </c>
      <c r="F711" s="7">
        <f>SUMIFS('Leave Management'!$L:$L,'Leave Management'!$C:$C,Detail!$A711,'Leave Management'!$B:$B,Detail!F$1)</f>
        <v>0</v>
      </c>
      <c r="G711" s="7">
        <f>SUMIFS('Leave Management'!$L:$L,'Leave Management'!$C:$C,Detail!$A711,'Leave Management'!$B:$B,Detail!G$1)</f>
        <v>0</v>
      </c>
      <c r="H711" s="7">
        <f>SUMIFS('Leave Management'!$L:$L,'Leave Management'!$C:$C,Detail!$A711,'Leave Management'!$B:$B,Detail!H$1)</f>
        <v>0</v>
      </c>
      <c r="I711" s="7">
        <f>SUMIFS('Leave Management'!$L:$L,'Leave Management'!$C:$C,Detail!$A711,'Leave Management'!$B:$B,Detail!I$1)</f>
        <v>0</v>
      </c>
      <c r="J711" s="7">
        <f>SUMIFS('Leave Management'!$L:$L,'Leave Management'!$C:$C,Detail!$A711,'Leave Management'!$B:$B,Detail!J$1)</f>
        <v>0</v>
      </c>
      <c r="K711" s="7">
        <f>SUMIFS('Leave Management'!$L:$L,'Leave Management'!$C:$C,Detail!$A711,'Leave Management'!$B:$B,Detail!K$1)</f>
        <v>0</v>
      </c>
      <c r="L711" s="7">
        <f>SUMIFS('Leave Management'!$L:$L,'Leave Management'!$C:$C,Detail!$A711,'Leave Management'!$B:$B,Detail!L$1)</f>
        <v>0</v>
      </c>
      <c r="M711" s="7">
        <f>SUMIFS('Leave Management'!$L:$L,'Leave Management'!$C:$C,Detail!$A711,'Leave Management'!$B:$B,Detail!M$1)</f>
        <v>0</v>
      </c>
      <c r="N711" s="7">
        <f>SUMIFS('Leave Management'!$L:$L,'Leave Management'!$C:$C,Detail!$A711,'Leave Management'!$B:$B,Detail!N$1)</f>
        <v>0</v>
      </c>
      <c r="O711" s="7">
        <f t="shared" si="25"/>
        <v>11</v>
      </c>
    </row>
    <row r="712" spans="1:15" x14ac:dyDescent="0.25">
      <c r="A712" s="24">
        <v>43810</v>
      </c>
      <c r="B712" s="2" t="str">
        <f t="shared" si="26"/>
        <v>Wed</v>
      </c>
      <c r="C712" s="7">
        <f>SUMIFS('Leave Management'!$L:$L,'Leave Management'!$C:$C,Detail!$A712,'Leave Management'!$B:$B,Detail!C$1)</f>
        <v>0</v>
      </c>
      <c r="D712" s="7">
        <f>SUMIFS('Leave Management'!$L:$L,'Leave Management'!$C:$C,Detail!$A712,'Leave Management'!$B:$B,Detail!D$1)</f>
        <v>0</v>
      </c>
      <c r="E712" s="7">
        <f>SUMIFS('Leave Management'!$L:$L,'Leave Management'!$C:$C,Detail!$A712,'Leave Management'!$B:$B,Detail!E$1)</f>
        <v>0</v>
      </c>
      <c r="F712" s="7">
        <f>SUMIFS('Leave Management'!$L:$L,'Leave Management'!$C:$C,Detail!$A712,'Leave Management'!$B:$B,Detail!F$1)</f>
        <v>0</v>
      </c>
      <c r="G712" s="7">
        <f>SUMIFS('Leave Management'!$L:$L,'Leave Management'!$C:$C,Detail!$A712,'Leave Management'!$B:$B,Detail!G$1)</f>
        <v>0</v>
      </c>
      <c r="H712" s="7">
        <f>SUMIFS('Leave Management'!$L:$L,'Leave Management'!$C:$C,Detail!$A712,'Leave Management'!$B:$B,Detail!H$1)</f>
        <v>0</v>
      </c>
      <c r="I712" s="7">
        <f>SUMIFS('Leave Management'!$L:$L,'Leave Management'!$C:$C,Detail!$A712,'Leave Management'!$B:$B,Detail!I$1)</f>
        <v>0</v>
      </c>
      <c r="J712" s="7">
        <f>SUMIFS('Leave Management'!$L:$L,'Leave Management'!$C:$C,Detail!$A712,'Leave Management'!$B:$B,Detail!J$1)</f>
        <v>0</v>
      </c>
      <c r="K712" s="7">
        <f>SUMIFS('Leave Management'!$L:$L,'Leave Management'!$C:$C,Detail!$A712,'Leave Management'!$B:$B,Detail!K$1)</f>
        <v>0</v>
      </c>
      <c r="L712" s="7">
        <f>SUMIFS('Leave Management'!$L:$L,'Leave Management'!$C:$C,Detail!$A712,'Leave Management'!$B:$B,Detail!L$1)</f>
        <v>0</v>
      </c>
      <c r="M712" s="7">
        <f>SUMIFS('Leave Management'!$L:$L,'Leave Management'!$C:$C,Detail!$A712,'Leave Management'!$B:$B,Detail!M$1)</f>
        <v>0</v>
      </c>
      <c r="N712" s="7">
        <f>SUMIFS('Leave Management'!$L:$L,'Leave Management'!$C:$C,Detail!$A712,'Leave Management'!$B:$B,Detail!N$1)</f>
        <v>0</v>
      </c>
      <c r="O712" s="7">
        <f t="shared" si="25"/>
        <v>11</v>
      </c>
    </row>
    <row r="713" spans="1:15" x14ac:dyDescent="0.25">
      <c r="A713" s="24">
        <v>43811</v>
      </c>
      <c r="B713" s="2" t="str">
        <f t="shared" si="26"/>
        <v>Thu</v>
      </c>
      <c r="C713" s="7">
        <f>SUMIFS('Leave Management'!$L:$L,'Leave Management'!$C:$C,Detail!$A713,'Leave Management'!$B:$B,Detail!C$1)</f>
        <v>0</v>
      </c>
      <c r="D713" s="7">
        <f>SUMIFS('Leave Management'!$L:$L,'Leave Management'!$C:$C,Detail!$A713,'Leave Management'!$B:$B,Detail!D$1)</f>
        <v>0</v>
      </c>
      <c r="E713" s="7">
        <f>SUMIFS('Leave Management'!$L:$L,'Leave Management'!$C:$C,Detail!$A713,'Leave Management'!$B:$B,Detail!E$1)</f>
        <v>0</v>
      </c>
      <c r="F713" s="7">
        <f>SUMIFS('Leave Management'!$L:$L,'Leave Management'!$C:$C,Detail!$A713,'Leave Management'!$B:$B,Detail!F$1)</f>
        <v>0</v>
      </c>
      <c r="G713" s="7">
        <f>SUMIFS('Leave Management'!$L:$L,'Leave Management'!$C:$C,Detail!$A713,'Leave Management'!$B:$B,Detail!G$1)</f>
        <v>0</v>
      </c>
      <c r="H713" s="7">
        <f>SUMIFS('Leave Management'!$L:$L,'Leave Management'!$C:$C,Detail!$A713,'Leave Management'!$B:$B,Detail!H$1)</f>
        <v>0</v>
      </c>
      <c r="I713" s="7">
        <f>SUMIFS('Leave Management'!$L:$L,'Leave Management'!$C:$C,Detail!$A713,'Leave Management'!$B:$B,Detail!I$1)</f>
        <v>0</v>
      </c>
      <c r="J713" s="7">
        <f>SUMIFS('Leave Management'!$L:$L,'Leave Management'!$C:$C,Detail!$A713,'Leave Management'!$B:$B,Detail!J$1)</f>
        <v>0</v>
      </c>
      <c r="K713" s="7">
        <f>SUMIFS('Leave Management'!$L:$L,'Leave Management'!$C:$C,Detail!$A713,'Leave Management'!$B:$B,Detail!K$1)</f>
        <v>0</v>
      </c>
      <c r="L713" s="7">
        <f>SUMIFS('Leave Management'!$L:$L,'Leave Management'!$C:$C,Detail!$A713,'Leave Management'!$B:$B,Detail!L$1)</f>
        <v>0</v>
      </c>
      <c r="M713" s="7">
        <f>SUMIFS('Leave Management'!$L:$L,'Leave Management'!$C:$C,Detail!$A713,'Leave Management'!$B:$B,Detail!M$1)</f>
        <v>0</v>
      </c>
      <c r="N713" s="7">
        <f>SUMIFS('Leave Management'!$L:$L,'Leave Management'!$C:$C,Detail!$A713,'Leave Management'!$B:$B,Detail!N$1)</f>
        <v>0</v>
      </c>
      <c r="O713" s="7">
        <f t="shared" si="25"/>
        <v>11</v>
      </c>
    </row>
    <row r="714" spans="1:15" x14ac:dyDescent="0.25">
      <c r="A714" s="24">
        <v>43812</v>
      </c>
      <c r="B714" s="2" t="str">
        <f t="shared" si="26"/>
        <v>Fri</v>
      </c>
      <c r="C714" s="7">
        <f>SUMIFS('Leave Management'!$L:$L,'Leave Management'!$C:$C,Detail!$A714,'Leave Management'!$B:$B,Detail!C$1)</f>
        <v>0</v>
      </c>
      <c r="D714" s="7">
        <f>SUMIFS('Leave Management'!$L:$L,'Leave Management'!$C:$C,Detail!$A714,'Leave Management'!$B:$B,Detail!D$1)</f>
        <v>0</v>
      </c>
      <c r="E714" s="7">
        <f>SUMIFS('Leave Management'!$L:$L,'Leave Management'!$C:$C,Detail!$A714,'Leave Management'!$B:$B,Detail!E$1)</f>
        <v>0</v>
      </c>
      <c r="F714" s="7">
        <f>SUMIFS('Leave Management'!$L:$L,'Leave Management'!$C:$C,Detail!$A714,'Leave Management'!$B:$B,Detail!F$1)</f>
        <v>0</v>
      </c>
      <c r="G714" s="7">
        <f>SUMIFS('Leave Management'!$L:$L,'Leave Management'!$C:$C,Detail!$A714,'Leave Management'!$B:$B,Detail!G$1)</f>
        <v>0</v>
      </c>
      <c r="H714" s="7">
        <f>SUMIFS('Leave Management'!$L:$L,'Leave Management'!$C:$C,Detail!$A714,'Leave Management'!$B:$B,Detail!H$1)</f>
        <v>0</v>
      </c>
      <c r="I714" s="7">
        <f>SUMIFS('Leave Management'!$L:$L,'Leave Management'!$C:$C,Detail!$A714,'Leave Management'!$B:$B,Detail!I$1)</f>
        <v>0</v>
      </c>
      <c r="J714" s="7">
        <f>SUMIFS('Leave Management'!$L:$L,'Leave Management'!$C:$C,Detail!$A714,'Leave Management'!$B:$B,Detail!J$1)</f>
        <v>0</v>
      </c>
      <c r="K714" s="7">
        <f>SUMIFS('Leave Management'!$L:$L,'Leave Management'!$C:$C,Detail!$A714,'Leave Management'!$B:$B,Detail!K$1)</f>
        <v>0</v>
      </c>
      <c r="L714" s="7">
        <f>SUMIFS('Leave Management'!$L:$L,'Leave Management'!$C:$C,Detail!$A714,'Leave Management'!$B:$B,Detail!L$1)</f>
        <v>0</v>
      </c>
      <c r="M714" s="7">
        <f>SUMIFS('Leave Management'!$L:$L,'Leave Management'!$C:$C,Detail!$A714,'Leave Management'!$B:$B,Detail!M$1)</f>
        <v>0</v>
      </c>
      <c r="N714" s="7">
        <f>SUMIFS('Leave Management'!$L:$L,'Leave Management'!$C:$C,Detail!$A714,'Leave Management'!$B:$B,Detail!N$1)</f>
        <v>0</v>
      </c>
      <c r="O714" s="7">
        <f t="shared" si="25"/>
        <v>11</v>
      </c>
    </row>
    <row r="715" spans="1:15" x14ac:dyDescent="0.25">
      <c r="A715" s="24">
        <v>43813</v>
      </c>
      <c r="B715" s="2" t="str">
        <f t="shared" si="26"/>
        <v>Sat</v>
      </c>
      <c r="C715" s="7">
        <f>SUMIFS('Leave Management'!$L:$L,'Leave Management'!$C:$C,Detail!$A715,'Leave Management'!$B:$B,Detail!C$1)</f>
        <v>0</v>
      </c>
      <c r="D715" s="7">
        <f>SUMIFS('Leave Management'!$L:$L,'Leave Management'!$C:$C,Detail!$A715,'Leave Management'!$B:$B,Detail!D$1)</f>
        <v>0</v>
      </c>
      <c r="E715" s="7">
        <f>SUMIFS('Leave Management'!$L:$L,'Leave Management'!$C:$C,Detail!$A715,'Leave Management'!$B:$B,Detail!E$1)</f>
        <v>0</v>
      </c>
      <c r="F715" s="7">
        <f>SUMIFS('Leave Management'!$L:$L,'Leave Management'!$C:$C,Detail!$A715,'Leave Management'!$B:$B,Detail!F$1)</f>
        <v>0</v>
      </c>
      <c r="G715" s="7">
        <f>SUMIFS('Leave Management'!$L:$L,'Leave Management'!$C:$C,Detail!$A715,'Leave Management'!$B:$B,Detail!G$1)</f>
        <v>0</v>
      </c>
      <c r="H715" s="7">
        <f>SUMIFS('Leave Management'!$L:$L,'Leave Management'!$C:$C,Detail!$A715,'Leave Management'!$B:$B,Detail!H$1)</f>
        <v>0</v>
      </c>
      <c r="I715" s="7">
        <f>SUMIFS('Leave Management'!$L:$L,'Leave Management'!$C:$C,Detail!$A715,'Leave Management'!$B:$B,Detail!I$1)</f>
        <v>0</v>
      </c>
      <c r="J715" s="7">
        <f>SUMIFS('Leave Management'!$L:$L,'Leave Management'!$C:$C,Detail!$A715,'Leave Management'!$B:$B,Detail!J$1)</f>
        <v>0</v>
      </c>
      <c r="K715" s="7">
        <f>SUMIFS('Leave Management'!$L:$L,'Leave Management'!$C:$C,Detail!$A715,'Leave Management'!$B:$B,Detail!K$1)</f>
        <v>0</v>
      </c>
      <c r="L715" s="7">
        <f>SUMIFS('Leave Management'!$L:$L,'Leave Management'!$C:$C,Detail!$A715,'Leave Management'!$B:$B,Detail!L$1)</f>
        <v>0</v>
      </c>
      <c r="M715" s="7">
        <f>SUMIFS('Leave Management'!$L:$L,'Leave Management'!$C:$C,Detail!$A715,'Leave Management'!$B:$B,Detail!M$1)</f>
        <v>0</v>
      </c>
      <c r="N715" s="7">
        <f>SUMIFS('Leave Management'!$L:$L,'Leave Management'!$C:$C,Detail!$A715,'Leave Management'!$B:$B,Detail!N$1)</f>
        <v>0</v>
      </c>
      <c r="O715" s="7">
        <f t="shared" ref="O715:O725" si="27">COUNTA($D$1:$N$1)-SUM($C715:$N715)</f>
        <v>11</v>
      </c>
    </row>
    <row r="716" spans="1:15" x14ac:dyDescent="0.25">
      <c r="A716" s="24">
        <v>43814</v>
      </c>
      <c r="B716" s="2" t="str">
        <f t="shared" si="26"/>
        <v>Sun</v>
      </c>
      <c r="C716" s="7">
        <f>SUMIFS('Leave Management'!$L:$L,'Leave Management'!$C:$C,Detail!$A716,'Leave Management'!$B:$B,Detail!C$1)</f>
        <v>0</v>
      </c>
      <c r="D716" s="7">
        <f>SUMIFS('Leave Management'!$L:$L,'Leave Management'!$C:$C,Detail!$A716,'Leave Management'!$B:$B,Detail!D$1)</f>
        <v>0</v>
      </c>
      <c r="E716" s="7">
        <f>SUMIFS('Leave Management'!$L:$L,'Leave Management'!$C:$C,Detail!$A716,'Leave Management'!$B:$B,Detail!E$1)</f>
        <v>0</v>
      </c>
      <c r="F716" s="7">
        <f>SUMIFS('Leave Management'!$L:$L,'Leave Management'!$C:$C,Detail!$A716,'Leave Management'!$B:$B,Detail!F$1)</f>
        <v>0</v>
      </c>
      <c r="G716" s="7">
        <f>SUMIFS('Leave Management'!$L:$L,'Leave Management'!$C:$C,Detail!$A716,'Leave Management'!$B:$B,Detail!G$1)</f>
        <v>0</v>
      </c>
      <c r="H716" s="7">
        <f>SUMIFS('Leave Management'!$L:$L,'Leave Management'!$C:$C,Detail!$A716,'Leave Management'!$B:$B,Detail!H$1)</f>
        <v>0</v>
      </c>
      <c r="I716" s="7">
        <f>SUMIFS('Leave Management'!$L:$L,'Leave Management'!$C:$C,Detail!$A716,'Leave Management'!$B:$B,Detail!I$1)</f>
        <v>0</v>
      </c>
      <c r="J716" s="7">
        <f>SUMIFS('Leave Management'!$L:$L,'Leave Management'!$C:$C,Detail!$A716,'Leave Management'!$B:$B,Detail!J$1)</f>
        <v>0</v>
      </c>
      <c r="K716" s="7">
        <f>SUMIFS('Leave Management'!$L:$L,'Leave Management'!$C:$C,Detail!$A716,'Leave Management'!$B:$B,Detail!K$1)</f>
        <v>0</v>
      </c>
      <c r="L716" s="7">
        <f>SUMIFS('Leave Management'!$L:$L,'Leave Management'!$C:$C,Detail!$A716,'Leave Management'!$B:$B,Detail!L$1)</f>
        <v>0</v>
      </c>
      <c r="M716" s="7">
        <f>SUMIFS('Leave Management'!$L:$L,'Leave Management'!$C:$C,Detail!$A716,'Leave Management'!$B:$B,Detail!M$1)</f>
        <v>0</v>
      </c>
      <c r="N716" s="7">
        <f>SUMIFS('Leave Management'!$L:$L,'Leave Management'!$C:$C,Detail!$A716,'Leave Management'!$B:$B,Detail!N$1)</f>
        <v>0</v>
      </c>
      <c r="O716" s="7">
        <f t="shared" si="27"/>
        <v>11</v>
      </c>
    </row>
    <row r="717" spans="1:15" x14ac:dyDescent="0.25">
      <c r="A717" s="24">
        <v>43815</v>
      </c>
      <c r="B717" s="2" t="str">
        <f t="shared" si="26"/>
        <v>Mon</v>
      </c>
      <c r="C717" s="7">
        <f>SUMIFS('Leave Management'!$L:$L,'Leave Management'!$C:$C,Detail!$A717,'Leave Management'!$B:$B,Detail!C$1)</f>
        <v>0</v>
      </c>
      <c r="D717" s="7">
        <f>SUMIFS('Leave Management'!$L:$L,'Leave Management'!$C:$C,Detail!$A717,'Leave Management'!$B:$B,Detail!D$1)</f>
        <v>0</v>
      </c>
      <c r="E717" s="7">
        <f>SUMIFS('Leave Management'!$L:$L,'Leave Management'!$C:$C,Detail!$A717,'Leave Management'!$B:$B,Detail!E$1)</f>
        <v>0</v>
      </c>
      <c r="F717" s="7">
        <f>SUMIFS('Leave Management'!$L:$L,'Leave Management'!$C:$C,Detail!$A717,'Leave Management'!$B:$B,Detail!F$1)</f>
        <v>0</v>
      </c>
      <c r="G717" s="7">
        <f>SUMIFS('Leave Management'!$L:$L,'Leave Management'!$C:$C,Detail!$A717,'Leave Management'!$B:$B,Detail!G$1)</f>
        <v>0</v>
      </c>
      <c r="H717" s="7">
        <f>SUMIFS('Leave Management'!$L:$L,'Leave Management'!$C:$C,Detail!$A717,'Leave Management'!$B:$B,Detail!H$1)</f>
        <v>0</v>
      </c>
      <c r="I717" s="7">
        <f>SUMIFS('Leave Management'!$L:$L,'Leave Management'!$C:$C,Detail!$A717,'Leave Management'!$B:$B,Detail!I$1)</f>
        <v>0</v>
      </c>
      <c r="J717" s="7">
        <f>SUMIFS('Leave Management'!$L:$L,'Leave Management'!$C:$C,Detail!$A717,'Leave Management'!$B:$B,Detail!J$1)</f>
        <v>0</v>
      </c>
      <c r="K717" s="7">
        <f>SUMIFS('Leave Management'!$L:$L,'Leave Management'!$C:$C,Detail!$A717,'Leave Management'!$B:$B,Detail!K$1)</f>
        <v>0</v>
      </c>
      <c r="L717" s="7">
        <f>SUMIFS('Leave Management'!$L:$L,'Leave Management'!$C:$C,Detail!$A717,'Leave Management'!$B:$B,Detail!L$1)</f>
        <v>0</v>
      </c>
      <c r="M717" s="7">
        <f>SUMIFS('Leave Management'!$L:$L,'Leave Management'!$C:$C,Detail!$A717,'Leave Management'!$B:$B,Detail!M$1)</f>
        <v>0</v>
      </c>
      <c r="N717" s="7">
        <f>SUMIFS('Leave Management'!$L:$L,'Leave Management'!$C:$C,Detail!$A717,'Leave Management'!$B:$B,Detail!N$1)</f>
        <v>0</v>
      </c>
      <c r="O717" s="7">
        <f t="shared" si="27"/>
        <v>11</v>
      </c>
    </row>
    <row r="718" spans="1:15" x14ac:dyDescent="0.25">
      <c r="A718" s="24">
        <v>43816</v>
      </c>
      <c r="B718" s="2" t="str">
        <f t="shared" si="26"/>
        <v>Tue</v>
      </c>
      <c r="C718" s="7">
        <f>SUMIFS('Leave Management'!$L:$L,'Leave Management'!$C:$C,Detail!$A718,'Leave Management'!$B:$B,Detail!C$1)</f>
        <v>0</v>
      </c>
      <c r="D718" s="7">
        <f>SUMIFS('Leave Management'!$L:$L,'Leave Management'!$C:$C,Detail!$A718,'Leave Management'!$B:$B,Detail!D$1)</f>
        <v>0</v>
      </c>
      <c r="E718" s="7">
        <f>SUMIFS('Leave Management'!$L:$L,'Leave Management'!$C:$C,Detail!$A718,'Leave Management'!$B:$B,Detail!E$1)</f>
        <v>0</v>
      </c>
      <c r="F718" s="7">
        <f>SUMIFS('Leave Management'!$L:$L,'Leave Management'!$C:$C,Detail!$A718,'Leave Management'!$B:$B,Detail!F$1)</f>
        <v>0</v>
      </c>
      <c r="G718" s="7">
        <f>SUMIFS('Leave Management'!$L:$L,'Leave Management'!$C:$C,Detail!$A718,'Leave Management'!$B:$B,Detail!G$1)</f>
        <v>0</v>
      </c>
      <c r="H718" s="7">
        <f>SUMIFS('Leave Management'!$L:$L,'Leave Management'!$C:$C,Detail!$A718,'Leave Management'!$B:$B,Detail!H$1)</f>
        <v>0</v>
      </c>
      <c r="I718" s="7">
        <f>SUMIFS('Leave Management'!$L:$L,'Leave Management'!$C:$C,Detail!$A718,'Leave Management'!$B:$B,Detail!I$1)</f>
        <v>0</v>
      </c>
      <c r="J718" s="7">
        <f>SUMIFS('Leave Management'!$L:$L,'Leave Management'!$C:$C,Detail!$A718,'Leave Management'!$B:$B,Detail!J$1)</f>
        <v>0</v>
      </c>
      <c r="K718" s="7">
        <f>SUMIFS('Leave Management'!$L:$L,'Leave Management'!$C:$C,Detail!$A718,'Leave Management'!$B:$B,Detail!K$1)</f>
        <v>0</v>
      </c>
      <c r="L718" s="7">
        <f>SUMIFS('Leave Management'!$L:$L,'Leave Management'!$C:$C,Detail!$A718,'Leave Management'!$B:$B,Detail!L$1)</f>
        <v>0</v>
      </c>
      <c r="M718" s="7">
        <f>SUMIFS('Leave Management'!$L:$L,'Leave Management'!$C:$C,Detail!$A718,'Leave Management'!$B:$B,Detail!M$1)</f>
        <v>0</v>
      </c>
      <c r="N718" s="7">
        <f>SUMIFS('Leave Management'!$L:$L,'Leave Management'!$C:$C,Detail!$A718,'Leave Management'!$B:$B,Detail!N$1)</f>
        <v>0</v>
      </c>
      <c r="O718" s="7">
        <f t="shared" si="27"/>
        <v>11</v>
      </c>
    </row>
    <row r="719" spans="1:15" x14ac:dyDescent="0.25">
      <c r="A719" s="24">
        <v>43817</v>
      </c>
      <c r="B719" s="2" t="str">
        <f t="shared" si="26"/>
        <v>Wed</v>
      </c>
      <c r="C719" s="7">
        <f>SUMIFS('Leave Management'!$L:$L,'Leave Management'!$C:$C,Detail!$A719,'Leave Management'!$B:$B,Detail!C$1)</f>
        <v>0</v>
      </c>
      <c r="D719" s="7">
        <f>SUMIFS('Leave Management'!$L:$L,'Leave Management'!$C:$C,Detail!$A719,'Leave Management'!$B:$B,Detail!D$1)</f>
        <v>0</v>
      </c>
      <c r="E719" s="7">
        <f>SUMIFS('Leave Management'!$L:$L,'Leave Management'!$C:$C,Detail!$A719,'Leave Management'!$B:$B,Detail!E$1)</f>
        <v>0</v>
      </c>
      <c r="F719" s="7">
        <f>SUMIFS('Leave Management'!$L:$L,'Leave Management'!$C:$C,Detail!$A719,'Leave Management'!$B:$B,Detail!F$1)</f>
        <v>0</v>
      </c>
      <c r="G719" s="7">
        <f>SUMIFS('Leave Management'!$L:$L,'Leave Management'!$C:$C,Detail!$A719,'Leave Management'!$B:$B,Detail!G$1)</f>
        <v>0</v>
      </c>
      <c r="H719" s="7">
        <f>SUMIFS('Leave Management'!$L:$L,'Leave Management'!$C:$C,Detail!$A719,'Leave Management'!$B:$B,Detail!H$1)</f>
        <v>0</v>
      </c>
      <c r="I719" s="7">
        <f>SUMIFS('Leave Management'!$L:$L,'Leave Management'!$C:$C,Detail!$A719,'Leave Management'!$B:$B,Detail!I$1)</f>
        <v>0</v>
      </c>
      <c r="J719" s="7">
        <f>SUMIFS('Leave Management'!$L:$L,'Leave Management'!$C:$C,Detail!$A719,'Leave Management'!$B:$B,Detail!J$1)</f>
        <v>0</v>
      </c>
      <c r="K719" s="7">
        <f>SUMIFS('Leave Management'!$L:$L,'Leave Management'!$C:$C,Detail!$A719,'Leave Management'!$B:$B,Detail!K$1)</f>
        <v>0</v>
      </c>
      <c r="L719" s="7">
        <f>SUMIFS('Leave Management'!$L:$L,'Leave Management'!$C:$C,Detail!$A719,'Leave Management'!$B:$B,Detail!L$1)</f>
        <v>0</v>
      </c>
      <c r="M719" s="7">
        <f>SUMIFS('Leave Management'!$L:$L,'Leave Management'!$C:$C,Detail!$A719,'Leave Management'!$B:$B,Detail!M$1)</f>
        <v>0</v>
      </c>
      <c r="N719" s="7">
        <f>SUMIFS('Leave Management'!$L:$L,'Leave Management'!$C:$C,Detail!$A719,'Leave Management'!$B:$B,Detail!N$1)</f>
        <v>0</v>
      </c>
      <c r="O719" s="7">
        <f t="shared" si="27"/>
        <v>11</v>
      </c>
    </row>
    <row r="720" spans="1:15" x14ac:dyDescent="0.25">
      <c r="A720" s="24">
        <v>43818</v>
      </c>
      <c r="B720" s="2" t="str">
        <f t="shared" si="26"/>
        <v>Thu</v>
      </c>
      <c r="C720" s="7">
        <f>SUMIFS('Leave Management'!$L:$L,'Leave Management'!$C:$C,Detail!$A720,'Leave Management'!$B:$B,Detail!C$1)</f>
        <v>0</v>
      </c>
      <c r="D720" s="7">
        <f>SUMIFS('Leave Management'!$L:$L,'Leave Management'!$C:$C,Detail!$A720,'Leave Management'!$B:$B,Detail!D$1)</f>
        <v>0</v>
      </c>
      <c r="E720" s="7">
        <f>SUMIFS('Leave Management'!$L:$L,'Leave Management'!$C:$C,Detail!$A720,'Leave Management'!$B:$B,Detail!E$1)</f>
        <v>0</v>
      </c>
      <c r="F720" s="7">
        <f>SUMIFS('Leave Management'!$L:$L,'Leave Management'!$C:$C,Detail!$A720,'Leave Management'!$B:$B,Detail!F$1)</f>
        <v>0</v>
      </c>
      <c r="G720" s="7">
        <f>SUMIFS('Leave Management'!$L:$L,'Leave Management'!$C:$C,Detail!$A720,'Leave Management'!$B:$B,Detail!G$1)</f>
        <v>0</v>
      </c>
      <c r="H720" s="7">
        <f>SUMIFS('Leave Management'!$L:$L,'Leave Management'!$C:$C,Detail!$A720,'Leave Management'!$B:$B,Detail!H$1)</f>
        <v>0</v>
      </c>
      <c r="I720" s="7">
        <f>SUMIFS('Leave Management'!$L:$L,'Leave Management'!$C:$C,Detail!$A720,'Leave Management'!$B:$B,Detail!I$1)</f>
        <v>0</v>
      </c>
      <c r="J720" s="7">
        <f>SUMIFS('Leave Management'!$L:$L,'Leave Management'!$C:$C,Detail!$A720,'Leave Management'!$B:$B,Detail!J$1)</f>
        <v>0</v>
      </c>
      <c r="K720" s="7">
        <f>SUMIFS('Leave Management'!$L:$L,'Leave Management'!$C:$C,Detail!$A720,'Leave Management'!$B:$B,Detail!K$1)</f>
        <v>0</v>
      </c>
      <c r="L720" s="7">
        <f>SUMIFS('Leave Management'!$L:$L,'Leave Management'!$C:$C,Detail!$A720,'Leave Management'!$B:$B,Detail!L$1)</f>
        <v>0</v>
      </c>
      <c r="M720" s="7">
        <f>SUMIFS('Leave Management'!$L:$L,'Leave Management'!$C:$C,Detail!$A720,'Leave Management'!$B:$B,Detail!M$1)</f>
        <v>0</v>
      </c>
      <c r="N720" s="7">
        <f>SUMIFS('Leave Management'!$L:$L,'Leave Management'!$C:$C,Detail!$A720,'Leave Management'!$B:$B,Detail!N$1)</f>
        <v>0</v>
      </c>
      <c r="O720" s="7">
        <f t="shared" si="27"/>
        <v>11</v>
      </c>
    </row>
    <row r="721" spans="1:15" x14ac:dyDescent="0.25">
      <c r="A721" s="24">
        <v>43819</v>
      </c>
      <c r="B721" s="2" t="str">
        <f t="shared" si="26"/>
        <v>Fri</v>
      </c>
      <c r="C721" s="7">
        <f>SUMIFS('Leave Management'!$L:$L,'Leave Management'!$C:$C,Detail!$A721,'Leave Management'!$B:$B,Detail!C$1)</f>
        <v>0</v>
      </c>
      <c r="D721" s="7">
        <f>SUMIFS('Leave Management'!$L:$L,'Leave Management'!$C:$C,Detail!$A721,'Leave Management'!$B:$B,Detail!D$1)</f>
        <v>0</v>
      </c>
      <c r="E721" s="7">
        <f>SUMIFS('Leave Management'!$L:$L,'Leave Management'!$C:$C,Detail!$A721,'Leave Management'!$B:$B,Detail!E$1)</f>
        <v>0</v>
      </c>
      <c r="F721" s="7">
        <f>SUMIFS('Leave Management'!$L:$L,'Leave Management'!$C:$C,Detail!$A721,'Leave Management'!$B:$B,Detail!F$1)</f>
        <v>0</v>
      </c>
      <c r="G721" s="7">
        <f>SUMIFS('Leave Management'!$L:$L,'Leave Management'!$C:$C,Detail!$A721,'Leave Management'!$B:$B,Detail!G$1)</f>
        <v>0</v>
      </c>
      <c r="H721" s="7">
        <f>SUMIFS('Leave Management'!$L:$L,'Leave Management'!$C:$C,Detail!$A721,'Leave Management'!$B:$B,Detail!H$1)</f>
        <v>0</v>
      </c>
      <c r="I721" s="7">
        <f>SUMIFS('Leave Management'!$L:$L,'Leave Management'!$C:$C,Detail!$A721,'Leave Management'!$B:$B,Detail!I$1)</f>
        <v>0</v>
      </c>
      <c r="J721" s="7">
        <f>SUMIFS('Leave Management'!$L:$L,'Leave Management'!$C:$C,Detail!$A721,'Leave Management'!$B:$B,Detail!J$1)</f>
        <v>0</v>
      </c>
      <c r="K721" s="7">
        <f>SUMIFS('Leave Management'!$L:$L,'Leave Management'!$C:$C,Detail!$A721,'Leave Management'!$B:$B,Detail!K$1)</f>
        <v>0</v>
      </c>
      <c r="L721" s="7">
        <f>SUMIFS('Leave Management'!$L:$L,'Leave Management'!$C:$C,Detail!$A721,'Leave Management'!$B:$B,Detail!L$1)</f>
        <v>0</v>
      </c>
      <c r="M721" s="7">
        <f>SUMIFS('Leave Management'!$L:$L,'Leave Management'!$C:$C,Detail!$A721,'Leave Management'!$B:$B,Detail!M$1)</f>
        <v>0</v>
      </c>
      <c r="N721" s="7">
        <f>SUMIFS('Leave Management'!$L:$L,'Leave Management'!$C:$C,Detail!$A721,'Leave Management'!$B:$B,Detail!N$1)</f>
        <v>0</v>
      </c>
      <c r="O721" s="7">
        <f t="shared" si="27"/>
        <v>11</v>
      </c>
    </row>
    <row r="722" spans="1:15" x14ac:dyDescent="0.25">
      <c r="A722" s="24">
        <v>43820</v>
      </c>
      <c r="B722" s="2" t="str">
        <f t="shared" si="26"/>
        <v>Sat</v>
      </c>
      <c r="C722" s="7">
        <f>SUMIFS('Leave Management'!$L:$L,'Leave Management'!$C:$C,Detail!$A722,'Leave Management'!$B:$B,Detail!C$1)</f>
        <v>0</v>
      </c>
      <c r="D722" s="7">
        <f>SUMIFS('Leave Management'!$L:$L,'Leave Management'!$C:$C,Detail!$A722,'Leave Management'!$B:$B,Detail!D$1)</f>
        <v>0</v>
      </c>
      <c r="E722" s="7">
        <f>SUMIFS('Leave Management'!$L:$L,'Leave Management'!$C:$C,Detail!$A722,'Leave Management'!$B:$B,Detail!E$1)</f>
        <v>0</v>
      </c>
      <c r="F722" s="7">
        <f>SUMIFS('Leave Management'!$L:$L,'Leave Management'!$C:$C,Detail!$A722,'Leave Management'!$B:$B,Detail!F$1)</f>
        <v>0</v>
      </c>
      <c r="G722" s="7">
        <f>SUMIFS('Leave Management'!$L:$L,'Leave Management'!$C:$C,Detail!$A722,'Leave Management'!$B:$B,Detail!G$1)</f>
        <v>0</v>
      </c>
      <c r="H722" s="7">
        <f>SUMIFS('Leave Management'!$L:$L,'Leave Management'!$C:$C,Detail!$A722,'Leave Management'!$B:$B,Detail!H$1)</f>
        <v>0</v>
      </c>
      <c r="I722" s="7">
        <f>SUMIFS('Leave Management'!$L:$L,'Leave Management'!$C:$C,Detail!$A722,'Leave Management'!$B:$B,Detail!I$1)</f>
        <v>0</v>
      </c>
      <c r="J722" s="7">
        <f>SUMIFS('Leave Management'!$L:$L,'Leave Management'!$C:$C,Detail!$A722,'Leave Management'!$B:$B,Detail!J$1)</f>
        <v>0</v>
      </c>
      <c r="K722" s="7">
        <f>SUMIFS('Leave Management'!$L:$L,'Leave Management'!$C:$C,Detail!$A722,'Leave Management'!$B:$B,Detail!K$1)</f>
        <v>0</v>
      </c>
      <c r="L722" s="7">
        <f>SUMIFS('Leave Management'!$L:$L,'Leave Management'!$C:$C,Detail!$A722,'Leave Management'!$B:$B,Detail!L$1)</f>
        <v>0</v>
      </c>
      <c r="M722" s="7">
        <f>SUMIFS('Leave Management'!$L:$L,'Leave Management'!$C:$C,Detail!$A722,'Leave Management'!$B:$B,Detail!M$1)</f>
        <v>0</v>
      </c>
      <c r="N722" s="7">
        <f>SUMIFS('Leave Management'!$L:$L,'Leave Management'!$C:$C,Detail!$A722,'Leave Management'!$B:$B,Detail!N$1)</f>
        <v>0</v>
      </c>
      <c r="O722" s="7">
        <f t="shared" si="27"/>
        <v>11</v>
      </c>
    </row>
    <row r="723" spans="1:15" x14ac:dyDescent="0.25">
      <c r="A723" s="24">
        <v>43821</v>
      </c>
      <c r="B723" s="2" t="str">
        <f t="shared" si="26"/>
        <v>Sun</v>
      </c>
      <c r="C723" s="7">
        <f>SUMIFS('Leave Management'!$L:$L,'Leave Management'!$C:$C,Detail!$A723,'Leave Management'!$B:$B,Detail!C$1)</f>
        <v>0</v>
      </c>
      <c r="D723" s="7">
        <f>SUMIFS('Leave Management'!$L:$L,'Leave Management'!$C:$C,Detail!$A723,'Leave Management'!$B:$B,Detail!D$1)</f>
        <v>0</v>
      </c>
      <c r="E723" s="7">
        <f>SUMIFS('Leave Management'!$L:$L,'Leave Management'!$C:$C,Detail!$A723,'Leave Management'!$B:$B,Detail!E$1)</f>
        <v>0</v>
      </c>
      <c r="F723" s="7">
        <f>SUMIFS('Leave Management'!$L:$L,'Leave Management'!$C:$C,Detail!$A723,'Leave Management'!$B:$B,Detail!F$1)</f>
        <v>0</v>
      </c>
      <c r="G723" s="7">
        <f>SUMIFS('Leave Management'!$L:$L,'Leave Management'!$C:$C,Detail!$A723,'Leave Management'!$B:$B,Detail!G$1)</f>
        <v>0</v>
      </c>
      <c r="H723" s="7">
        <f>SUMIFS('Leave Management'!$L:$L,'Leave Management'!$C:$C,Detail!$A723,'Leave Management'!$B:$B,Detail!H$1)</f>
        <v>0</v>
      </c>
      <c r="I723" s="7">
        <f>SUMIFS('Leave Management'!$L:$L,'Leave Management'!$C:$C,Detail!$A723,'Leave Management'!$B:$B,Detail!I$1)</f>
        <v>0</v>
      </c>
      <c r="J723" s="7">
        <f>SUMIFS('Leave Management'!$L:$L,'Leave Management'!$C:$C,Detail!$A723,'Leave Management'!$B:$B,Detail!J$1)</f>
        <v>0</v>
      </c>
      <c r="K723" s="7">
        <f>SUMIFS('Leave Management'!$L:$L,'Leave Management'!$C:$C,Detail!$A723,'Leave Management'!$B:$B,Detail!K$1)</f>
        <v>0</v>
      </c>
      <c r="L723" s="7">
        <f>SUMIFS('Leave Management'!$L:$L,'Leave Management'!$C:$C,Detail!$A723,'Leave Management'!$B:$B,Detail!L$1)</f>
        <v>0</v>
      </c>
      <c r="M723" s="7">
        <f>SUMIFS('Leave Management'!$L:$L,'Leave Management'!$C:$C,Detail!$A723,'Leave Management'!$B:$B,Detail!M$1)</f>
        <v>0</v>
      </c>
      <c r="N723" s="7">
        <f>SUMIFS('Leave Management'!$L:$L,'Leave Management'!$C:$C,Detail!$A723,'Leave Management'!$B:$B,Detail!N$1)</f>
        <v>0</v>
      </c>
      <c r="O723" s="7">
        <f t="shared" si="27"/>
        <v>11</v>
      </c>
    </row>
    <row r="724" spans="1:15" x14ac:dyDescent="0.25">
      <c r="A724" s="24">
        <v>43822</v>
      </c>
      <c r="B724" s="2" t="str">
        <f t="shared" si="26"/>
        <v>Mon</v>
      </c>
      <c r="C724" s="7">
        <f>SUMIFS('Leave Management'!$L:$L,'Leave Management'!$C:$C,Detail!$A724,'Leave Management'!$B:$B,Detail!C$1)</f>
        <v>0</v>
      </c>
      <c r="D724" s="7">
        <f>SUMIFS('Leave Management'!$L:$L,'Leave Management'!$C:$C,Detail!$A724,'Leave Management'!$B:$B,Detail!D$1)</f>
        <v>0</v>
      </c>
      <c r="E724" s="7">
        <f>SUMIFS('Leave Management'!$L:$L,'Leave Management'!$C:$C,Detail!$A724,'Leave Management'!$B:$B,Detail!E$1)</f>
        <v>0</v>
      </c>
      <c r="F724" s="7">
        <f>SUMIFS('Leave Management'!$L:$L,'Leave Management'!$C:$C,Detail!$A724,'Leave Management'!$B:$B,Detail!F$1)</f>
        <v>0</v>
      </c>
      <c r="G724" s="7">
        <f>SUMIFS('Leave Management'!$L:$L,'Leave Management'!$C:$C,Detail!$A724,'Leave Management'!$B:$B,Detail!G$1)</f>
        <v>0</v>
      </c>
      <c r="H724" s="7">
        <f>SUMIFS('Leave Management'!$L:$L,'Leave Management'!$C:$C,Detail!$A724,'Leave Management'!$B:$B,Detail!H$1)</f>
        <v>0</v>
      </c>
      <c r="I724" s="7">
        <f>SUMIFS('Leave Management'!$L:$L,'Leave Management'!$C:$C,Detail!$A724,'Leave Management'!$B:$B,Detail!I$1)</f>
        <v>0</v>
      </c>
      <c r="J724" s="7">
        <f>SUMIFS('Leave Management'!$L:$L,'Leave Management'!$C:$C,Detail!$A724,'Leave Management'!$B:$B,Detail!J$1)</f>
        <v>0</v>
      </c>
      <c r="K724" s="7">
        <f>SUMIFS('Leave Management'!$L:$L,'Leave Management'!$C:$C,Detail!$A724,'Leave Management'!$B:$B,Detail!K$1)</f>
        <v>0</v>
      </c>
      <c r="L724" s="7">
        <f>SUMIFS('Leave Management'!$L:$L,'Leave Management'!$C:$C,Detail!$A724,'Leave Management'!$B:$B,Detail!L$1)</f>
        <v>0</v>
      </c>
      <c r="M724" s="7">
        <f>SUMIFS('Leave Management'!$L:$L,'Leave Management'!$C:$C,Detail!$A724,'Leave Management'!$B:$B,Detail!M$1)</f>
        <v>0</v>
      </c>
      <c r="N724" s="7">
        <f>SUMIFS('Leave Management'!$L:$L,'Leave Management'!$C:$C,Detail!$A724,'Leave Management'!$B:$B,Detail!N$1)</f>
        <v>0</v>
      </c>
      <c r="O724" s="7">
        <f t="shared" si="27"/>
        <v>11</v>
      </c>
    </row>
    <row r="725" spans="1:15" x14ac:dyDescent="0.25">
      <c r="A725" s="24">
        <v>43823</v>
      </c>
      <c r="B725" s="2" t="str">
        <f t="shared" si="26"/>
        <v>Tue</v>
      </c>
      <c r="C725" s="7">
        <f>SUMIFS('Leave Management'!$L:$L,'Leave Management'!$C:$C,Detail!$A725,'Leave Management'!$B:$B,Detail!C$1)</f>
        <v>0</v>
      </c>
      <c r="D725" s="7">
        <f>SUMIFS('Leave Management'!$L:$L,'Leave Management'!$C:$C,Detail!$A725,'Leave Management'!$B:$B,Detail!D$1)</f>
        <v>0</v>
      </c>
      <c r="E725" s="7">
        <f>SUMIFS('Leave Management'!$L:$L,'Leave Management'!$C:$C,Detail!$A725,'Leave Management'!$B:$B,Detail!E$1)</f>
        <v>0</v>
      </c>
      <c r="F725" s="7">
        <f>SUMIFS('Leave Management'!$L:$L,'Leave Management'!$C:$C,Detail!$A725,'Leave Management'!$B:$B,Detail!F$1)</f>
        <v>0</v>
      </c>
      <c r="G725" s="7">
        <f>SUMIFS('Leave Management'!$L:$L,'Leave Management'!$C:$C,Detail!$A725,'Leave Management'!$B:$B,Detail!G$1)</f>
        <v>0</v>
      </c>
      <c r="H725" s="7">
        <f>SUMIFS('Leave Management'!$L:$L,'Leave Management'!$C:$C,Detail!$A725,'Leave Management'!$B:$B,Detail!H$1)</f>
        <v>0</v>
      </c>
      <c r="I725" s="7">
        <f>SUMIFS('Leave Management'!$L:$L,'Leave Management'!$C:$C,Detail!$A725,'Leave Management'!$B:$B,Detail!I$1)</f>
        <v>0</v>
      </c>
      <c r="J725" s="7">
        <f>SUMIFS('Leave Management'!$L:$L,'Leave Management'!$C:$C,Detail!$A725,'Leave Management'!$B:$B,Detail!J$1)</f>
        <v>0</v>
      </c>
      <c r="K725" s="7">
        <f>SUMIFS('Leave Management'!$L:$L,'Leave Management'!$C:$C,Detail!$A725,'Leave Management'!$B:$B,Detail!K$1)</f>
        <v>0</v>
      </c>
      <c r="L725" s="7">
        <f>SUMIFS('Leave Management'!$L:$L,'Leave Management'!$C:$C,Detail!$A725,'Leave Management'!$B:$B,Detail!L$1)</f>
        <v>0</v>
      </c>
      <c r="M725" s="7">
        <f>SUMIFS('Leave Management'!$L:$L,'Leave Management'!$C:$C,Detail!$A725,'Leave Management'!$B:$B,Detail!M$1)</f>
        <v>0</v>
      </c>
      <c r="N725" s="7">
        <f>SUMIFS('Leave Management'!$L:$L,'Leave Management'!$C:$C,Detail!$A725,'Leave Management'!$B:$B,Detail!N$1)</f>
        <v>0</v>
      </c>
      <c r="O725" s="7">
        <f t="shared" si="27"/>
        <v>11</v>
      </c>
    </row>
  </sheetData>
  <mergeCells count="1">
    <mergeCell ref="A1:B1"/>
  </mergeCells>
  <conditionalFormatting sqref="B3:B725">
    <cfRule type="cellIs" dxfId="31" priority="17" operator="equal">
      <formula>"Fri"</formula>
    </cfRule>
    <cfRule type="cellIs" dxfId="30" priority="18" operator="equal">
      <formula>"Thu"</formula>
    </cfRule>
    <cfRule type="containsText" dxfId="29" priority="19" operator="containsText" text="Wed">
      <formula>NOT(ISERROR(SEARCH("Wed",B3)))</formula>
    </cfRule>
    <cfRule type="cellIs" dxfId="28" priority="20" operator="equal">
      <formula>"Tue"</formula>
    </cfRule>
    <cfRule type="containsText" dxfId="27" priority="21" operator="containsText" text="Mon">
      <formula>NOT(ISERROR(SEARCH("Mon",B3)))</formula>
    </cfRule>
  </conditionalFormatting>
  <conditionalFormatting sqref="C3:H601 C603:H621 C602:D602 F602:H602 K602 C631:H725 C630:F630 H630 C624:H629 C623:D623 F623:H623 C622 E622:H622">
    <cfRule type="cellIs" dxfId="26" priority="16" operator="equal">
      <formula>0</formula>
    </cfRule>
  </conditionalFormatting>
  <conditionalFormatting sqref="I3:K601 I603:K625 I602:J602 I628:K725 I626:I627 K626:K627">
    <cfRule type="cellIs" dxfId="25" priority="15" operator="equal">
      <formula>0</formula>
    </cfRule>
  </conditionalFormatting>
  <conditionalFormatting sqref="N3:N725">
    <cfRule type="cellIs" dxfId="24" priority="13" operator="equal">
      <formula>0</formula>
    </cfRule>
  </conditionalFormatting>
  <conditionalFormatting sqref="J3:J625 J628:J725">
    <cfRule type="cellIs" dxfId="23" priority="12" operator="equal">
      <formula>0</formula>
    </cfRule>
  </conditionalFormatting>
  <conditionalFormatting sqref="K3:K601 K603:K725">
    <cfRule type="cellIs" dxfId="22" priority="11" operator="equal">
      <formula>0</formula>
    </cfRule>
  </conditionalFormatting>
  <conditionalFormatting sqref="O458:O725">
    <cfRule type="cellIs" dxfId="21" priority="10" operator="lessThan">
      <formula>8</formula>
    </cfRule>
  </conditionalFormatting>
  <conditionalFormatting sqref="M3:M725">
    <cfRule type="cellIs" dxfId="20" priority="9" operator="equal">
      <formula>0</formula>
    </cfRule>
  </conditionalFormatting>
  <conditionalFormatting sqref="L3:L725">
    <cfRule type="cellIs" dxfId="19" priority="8" operator="equal">
      <formula>0</formula>
    </cfRule>
  </conditionalFormatting>
  <conditionalFormatting sqref="G630">
    <cfRule type="cellIs" dxfId="18" priority="5" operator="equal">
      <formula>0</formula>
    </cfRule>
  </conditionalFormatting>
  <conditionalFormatting sqref="E623">
    <cfRule type="cellIs" dxfId="17" priority="4" operator="equal">
      <formula>0</formula>
    </cfRule>
  </conditionalFormatting>
  <conditionalFormatting sqref="D622">
    <cfRule type="cellIs" dxfId="2" priority="3" operator="equal">
      <formula>0</formula>
    </cfRule>
  </conditionalFormatting>
  <conditionalFormatting sqref="J626">
    <cfRule type="cellIs" dxfId="1" priority="2" operator="equal">
      <formula>0</formula>
    </cfRule>
  </conditionalFormatting>
  <conditionalFormatting sqref="J627">
    <cfRule type="cellIs" dxfId="0" priority="1" operator="equal">
      <formula>0</formula>
    </cfRule>
  </conditionalFormatting>
  <pageMargins left="0.7" right="0.7" top="0.75" bottom="0.75" header="0.3" footer="0.3"/>
  <pageSetup paperSize="158"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3"/>
  <sheetViews>
    <sheetView showGridLines="0" zoomScaleNormal="100" workbookViewId="0">
      <pane xSplit="2" ySplit="3" topLeftCell="C4" activePane="bottomRight" state="frozen"/>
      <selection pane="topRight" activeCell="C1" sqref="C1"/>
      <selection pane="bottomLeft" activeCell="A4" sqref="A4"/>
      <selection pane="bottomRight" activeCell="F10" sqref="F10"/>
    </sheetView>
  </sheetViews>
  <sheetFormatPr defaultRowHeight="16.5" x14ac:dyDescent="0.25"/>
  <cols>
    <col min="1" max="1" width="4" style="33" bestFit="1" customWidth="1"/>
    <col min="2" max="2" width="28.140625" style="3" customWidth="1"/>
    <col min="3" max="7" width="9.140625" style="3"/>
    <col min="8" max="8" width="8.5703125" style="3" bestFit="1" customWidth="1"/>
    <col min="9" max="16384" width="9.140625" style="3"/>
  </cols>
  <sheetData>
    <row r="1" spans="1:9" ht="32.25" customHeight="1" x14ac:dyDescent="0.25">
      <c r="A1" s="42" t="s">
        <v>5</v>
      </c>
      <c r="B1" s="43"/>
      <c r="C1" s="43"/>
      <c r="D1" s="43"/>
      <c r="E1" s="43"/>
      <c r="F1" s="43"/>
      <c r="G1" s="43"/>
      <c r="H1" s="43"/>
      <c r="I1" s="44"/>
    </row>
    <row r="3" spans="1:9" ht="66" x14ac:dyDescent="0.25">
      <c r="A3" s="19" t="s">
        <v>0</v>
      </c>
      <c r="B3" s="5" t="s">
        <v>2</v>
      </c>
      <c r="C3" s="9" t="s">
        <v>1</v>
      </c>
      <c r="D3" s="9" t="s">
        <v>3</v>
      </c>
      <c r="E3" s="9" t="s">
        <v>12</v>
      </c>
      <c r="F3" s="9" t="s">
        <v>20</v>
      </c>
      <c r="G3" s="9" t="s">
        <v>9</v>
      </c>
      <c r="H3" s="10" t="s">
        <v>4</v>
      </c>
      <c r="I3" s="9" t="s">
        <v>8</v>
      </c>
    </row>
    <row r="4" spans="1:9" x14ac:dyDescent="0.25">
      <c r="A4" s="36">
        <v>1</v>
      </c>
      <c r="B4" s="35" t="s">
        <v>6</v>
      </c>
      <c r="C4" s="7">
        <f>SUMIFS('Leave Management'!E$3:E$10029,'Leave Management'!$B$3:$B$10029,$B4)</f>
        <v>24.5</v>
      </c>
      <c r="D4" s="7">
        <f>SUMIFS('Leave Management'!G$3:G$10029,'Leave Management'!$B$3:$B$10029,$B4)</f>
        <v>0</v>
      </c>
      <c r="E4" s="7">
        <f>SUMIFS('Leave Management'!H$3:H$10029,'Leave Management'!$B$3:$B$10029,$B4)</f>
        <v>3</v>
      </c>
      <c r="F4" s="7">
        <f>SUMIFS('Leave Management'!I$3:I$10029,'Leave Management'!$B$3:$B$10029,$B4)</f>
        <v>3</v>
      </c>
      <c r="G4" s="7">
        <f>SUMIFS('Leave Management'!J$3:J$10029,'Leave Management'!$B$3:$B$10029,$B4)</f>
        <v>0</v>
      </c>
      <c r="H4" s="7">
        <f t="shared" ref="H4:H13" si="0">I4-C4</f>
        <v>-6.5</v>
      </c>
      <c r="I4" s="7">
        <v>18</v>
      </c>
    </row>
    <row r="5" spans="1:9" x14ac:dyDescent="0.25">
      <c r="A5" s="36">
        <v>2</v>
      </c>
      <c r="B5" s="35" t="s">
        <v>7</v>
      </c>
      <c r="C5" s="7">
        <f>SUMIFS('Leave Management'!E$3:E$10029,'Leave Management'!$B$3:$B$10029,$B5)</f>
        <v>35</v>
      </c>
      <c r="D5" s="7">
        <f>SUMIFS('Leave Management'!G$3:G$10029,'Leave Management'!$B$3:$B$10029,$B5)</f>
        <v>0</v>
      </c>
      <c r="E5" s="7">
        <f>SUMIFS('Leave Management'!H$3:H$10029,'Leave Management'!$B$3:$B$10029,$B5)</f>
        <v>0</v>
      </c>
      <c r="F5" s="7">
        <f>SUMIFS('Leave Management'!I$3:I$10029,'Leave Management'!$B$3:$B$10029,$B5)</f>
        <v>0</v>
      </c>
      <c r="G5" s="7">
        <f>SUMIFS('Leave Management'!J$3:J$10029,'Leave Management'!$B$3:$B$10029,$B5)</f>
        <v>0</v>
      </c>
      <c r="H5" s="7">
        <f t="shared" si="0"/>
        <v>-23</v>
      </c>
      <c r="I5" s="7">
        <v>12</v>
      </c>
    </row>
    <row r="6" spans="1:9" x14ac:dyDescent="0.25">
      <c r="A6" s="36">
        <v>3</v>
      </c>
      <c r="B6" s="35" t="s">
        <v>11</v>
      </c>
      <c r="C6" s="7">
        <f>SUMIFS('Leave Management'!E$3:E$10029,'Leave Management'!$B$3:$B$10029,$B6)</f>
        <v>44</v>
      </c>
      <c r="D6" s="7">
        <f>SUMIFS('Leave Management'!G$3:G$10029,'Leave Management'!$B$3:$B$10029,$B6)</f>
        <v>0</v>
      </c>
      <c r="E6" s="7">
        <f>SUMIFS('Leave Management'!H$3:H$10029,'Leave Management'!$B$3:$B$10029,$B6)</f>
        <v>4</v>
      </c>
      <c r="F6" s="7">
        <f>SUMIFS('Leave Management'!I$3:I$10029,'Leave Management'!$B$3:$B$10029,$B6)</f>
        <v>0</v>
      </c>
      <c r="G6" s="7">
        <f>SUMIFS('Leave Management'!J$3:J$10029,'Leave Management'!$B$3:$B$10029,$B6)</f>
        <v>0</v>
      </c>
      <c r="H6" s="7">
        <f t="shared" si="0"/>
        <v>-32</v>
      </c>
      <c r="I6" s="7">
        <v>12</v>
      </c>
    </row>
    <row r="7" spans="1:9" x14ac:dyDescent="0.25">
      <c r="A7" s="36">
        <v>4</v>
      </c>
      <c r="B7" s="35" t="s">
        <v>13</v>
      </c>
      <c r="C7" s="7">
        <f>SUMIFS('Leave Management'!E$3:E$10029,'Leave Management'!$B$3:$B$10029,$B7)</f>
        <v>35</v>
      </c>
      <c r="D7" s="7">
        <f>SUMIFS('Leave Management'!G$3:G$10029,'Leave Management'!$B$3:$B$10029,$B7)</f>
        <v>1</v>
      </c>
      <c r="E7" s="7">
        <f>SUMIFS('Leave Management'!H$3:H$10029,'Leave Management'!$B$3:$B$10029,$B7)</f>
        <v>3</v>
      </c>
      <c r="F7" s="7">
        <f>SUMIFS('Leave Management'!I$3:I$10029,'Leave Management'!$B$3:$B$10029,$B7)</f>
        <v>0</v>
      </c>
      <c r="G7" s="7">
        <f>SUMIFS('Leave Management'!J$3:J$10029,'Leave Management'!$B$3:$B$10029,$B7)</f>
        <v>0</v>
      </c>
      <c r="H7" s="7">
        <f t="shared" si="0"/>
        <v>-23</v>
      </c>
      <c r="I7" s="7">
        <v>12</v>
      </c>
    </row>
    <row r="8" spans="1:9" x14ac:dyDescent="0.25">
      <c r="A8" s="36">
        <v>5</v>
      </c>
      <c r="B8" s="35" t="s">
        <v>14</v>
      </c>
      <c r="C8" s="7">
        <f>SUMIFS('Leave Management'!E$3:E$10029,'Leave Management'!$B$3:$B$10029,$B8)</f>
        <v>14.5</v>
      </c>
      <c r="D8" s="7">
        <f>SUMIFS('Leave Management'!G$3:G$10029,'Leave Management'!$B$3:$B$10029,$B8)</f>
        <v>0</v>
      </c>
      <c r="E8" s="7">
        <f>SUMIFS('Leave Management'!H$3:H$10029,'Leave Management'!$B$3:$B$10029,$B8)</f>
        <v>0</v>
      </c>
      <c r="F8" s="7">
        <f>SUMIFS('Leave Management'!I$3:I$10029,'Leave Management'!$B$3:$B$10029,$B8)</f>
        <v>0</v>
      </c>
      <c r="G8" s="7">
        <f>SUMIFS('Leave Management'!J$3:J$10029,'Leave Management'!$B$3:$B$10029,$B8)</f>
        <v>0</v>
      </c>
      <c r="H8" s="7">
        <f t="shared" si="0"/>
        <v>-2.5</v>
      </c>
      <c r="I8" s="7">
        <v>12</v>
      </c>
    </row>
    <row r="9" spans="1:9" x14ac:dyDescent="0.25">
      <c r="A9" s="36">
        <v>6</v>
      </c>
      <c r="B9" s="35" t="s">
        <v>15</v>
      </c>
      <c r="C9" s="7">
        <f>SUMIFS('Leave Management'!E$3:E$10029,'Leave Management'!$B$3:$B$10029,$B9)</f>
        <v>13</v>
      </c>
      <c r="D9" s="7">
        <f>SUMIFS('Leave Management'!G$3:G$10029,'Leave Management'!$B$3:$B$10029,$B9)</f>
        <v>0</v>
      </c>
      <c r="E9" s="7">
        <f>SUMIFS('Leave Management'!H$3:H$10029,'Leave Management'!$B$3:$B$10029,$B9)</f>
        <v>0</v>
      </c>
      <c r="F9" s="7">
        <f>SUMIFS('Leave Management'!I$3:I$10029,'Leave Management'!$B$3:$B$10029,$B9)</f>
        <v>0</v>
      </c>
      <c r="G9" s="7">
        <f>SUMIFS('Leave Management'!J$3:J$10029,'Leave Management'!$B$3:$B$10029,$B9)</f>
        <v>1</v>
      </c>
      <c r="H9" s="7">
        <f t="shared" si="0"/>
        <v>-1</v>
      </c>
      <c r="I9" s="7">
        <v>12</v>
      </c>
    </row>
    <row r="10" spans="1:9" x14ac:dyDescent="0.25">
      <c r="A10" s="36">
        <v>7</v>
      </c>
      <c r="B10" s="35" t="s">
        <v>24</v>
      </c>
      <c r="C10" s="7">
        <f>SUMIFS('Leave Management'!E$3:E$10029,'Leave Management'!$B$3:$B$10029,$B10)</f>
        <v>9</v>
      </c>
      <c r="D10" s="7">
        <f>SUMIFS('Leave Management'!G$3:G$10029,'Leave Management'!$B$3:$B$10029,$B10)</f>
        <v>0</v>
      </c>
      <c r="E10" s="7">
        <f>SUMIFS('Leave Management'!H$3:H$10029,'Leave Management'!$B$3:$B$10029,$B10)</f>
        <v>0</v>
      </c>
      <c r="F10" s="7">
        <f>SUMIFS('Leave Management'!I$3:I$10029,'Leave Management'!$B$3:$B$10029,$B10)</f>
        <v>0</v>
      </c>
      <c r="G10" s="7">
        <f>SUMIFS('Leave Management'!J$3:J$10029,'Leave Management'!$B$3:$B$10029,$B10)</f>
        <v>0</v>
      </c>
      <c r="H10" s="7">
        <f t="shared" si="0"/>
        <v>3</v>
      </c>
      <c r="I10" s="7">
        <v>12</v>
      </c>
    </row>
    <row r="11" spans="1:9" x14ac:dyDescent="0.25">
      <c r="A11" s="36">
        <v>8</v>
      </c>
      <c r="B11" s="35" t="s">
        <v>45</v>
      </c>
      <c r="C11" s="7">
        <f>SUMIFS('Leave Management'!E$3:E$10029,'Leave Management'!$B$3:$B$10029,$B11)</f>
        <v>0</v>
      </c>
      <c r="D11" s="7">
        <f>SUMIFS('Leave Management'!G$3:G$10029,'Leave Management'!$B$3:$B$10029,$B11)</f>
        <v>0</v>
      </c>
      <c r="E11" s="7">
        <f>SUMIFS('Leave Management'!H$3:H$10029,'Leave Management'!$B$3:$B$10029,$B11)</f>
        <v>0</v>
      </c>
      <c r="F11" s="7">
        <f>SUMIFS('Leave Management'!I$3:I$10029,'Leave Management'!$B$3:$B$10029,$B11)</f>
        <v>0</v>
      </c>
      <c r="G11" s="7">
        <f>SUMIFS('Leave Management'!J$3:J$10029,'Leave Management'!$B$3:$B$10029,$B11)</f>
        <v>0</v>
      </c>
      <c r="H11" s="7">
        <f t="shared" si="0"/>
        <v>12</v>
      </c>
      <c r="I11" s="7">
        <v>12</v>
      </c>
    </row>
    <row r="12" spans="1:9" x14ac:dyDescent="0.25">
      <c r="A12" s="36">
        <v>9</v>
      </c>
      <c r="B12" s="35" t="s">
        <v>39</v>
      </c>
      <c r="C12" s="7">
        <f>SUMIFS('Leave Management'!E$3:E$10029,'Leave Management'!$B$3:$B$10029,$B12)</f>
        <v>5</v>
      </c>
      <c r="D12" s="7">
        <f>SUMIFS('Leave Management'!G$3:G$10029,'Leave Management'!$B$3:$B$10029,$B12)</f>
        <v>0</v>
      </c>
      <c r="E12" s="7">
        <f>SUMIFS('Leave Management'!H$3:H$10029,'Leave Management'!$B$3:$B$10029,$B12)</f>
        <v>0</v>
      </c>
      <c r="F12" s="7">
        <f>SUMIFS('Leave Management'!I$3:I$10029,'Leave Management'!$B$3:$B$10029,$B12)</f>
        <v>0</v>
      </c>
      <c r="G12" s="7">
        <f>SUMIFS('Leave Management'!J$3:J$10029,'Leave Management'!$B$3:$B$10029,$B12)</f>
        <v>4</v>
      </c>
      <c r="H12" s="7">
        <f t="shared" si="0"/>
        <v>7</v>
      </c>
      <c r="I12" s="7">
        <v>12</v>
      </c>
    </row>
    <row r="13" spans="1:9" x14ac:dyDescent="0.25">
      <c r="A13" s="36">
        <v>10</v>
      </c>
      <c r="B13" s="35" t="s">
        <v>30</v>
      </c>
      <c r="C13" s="7">
        <f>SUMIFS('Leave Management'!E$3:E$10029,'Leave Management'!$B$3:$B$10029,$B13)</f>
        <v>2</v>
      </c>
      <c r="D13" s="7">
        <f>SUMIFS('Leave Management'!G$3:G$10029,'Leave Management'!$B$3:$B$10029,$B13)</f>
        <v>0</v>
      </c>
      <c r="E13" s="7">
        <f>SUMIFS('Leave Management'!H$3:H$10029,'Leave Management'!$B$3:$B$10029,$B13)</f>
        <v>0</v>
      </c>
      <c r="F13" s="7">
        <f>SUMIFS('Leave Management'!I$3:I$10029,'Leave Management'!$B$3:$B$10029,$B13)</f>
        <v>0</v>
      </c>
      <c r="G13" s="7">
        <f>SUMIFS('Leave Management'!J$3:J$10029,'Leave Management'!$B$3:$B$10029,$B13)</f>
        <v>0</v>
      </c>
      <c r="H13" s="7">
        <f t="shared" si="0"/>
        <v>10</v>
      </c>
      <c r="I13" s="7">
        <v>12</v>
      </c>
    </row>
  </sheetData>
  <mergeCells count="1">
    <mergeCell ref="A1:I1"/>
  </mergeCells>
  <conditionalFormatting sqref="C4:E13 H4:I13">
    <cfRule type="cellIs" dxfId="16" priority="14" operator="equal">
      <formula>0</formula>
    </cfRule>
  </conditionalFormatting>
  <conditionalFormatting sqref="F5:F7 F13">
    <cfRule type="cellIs" dxfId="15" priority="13" operator="equal">
      <formula>0</formula>
    </cfRule>
  </conditionalFormatting>
  <conditionalFormatting sqref="H12:I12 C12:E12">
    <cfRule type="cellIs" dxfId="14" priority="12" operator="equal">
      <formula>0</formula>
    </cfRule>
  </conditionalFormatting>
  <conditionalFormatting sqref="F12">
    <cfRule type="cellIs" dxfId="13" priority="11" operator="equal">
      <formula>0</formula>
    </cfRule>
  </conditionalFormatting>
  <conditionalFormatting sqref="H11:I11 C11:E11">
    <cfRule type="cellIs" dxfId="12" priority="10" operator="equal">
      <formula>0</formula>
    </cfRule>
  </conditionalFormatting>
  <conditionalFormatting sqref="F11">
    <cfRule type="cellIs" dxfId="11" priority="9" operator="equal">
      <formula>0</formula>
    </cfRule>
  </conditionalFormatting>
  <conditionalFormatting sqref="H10:I10 C10:E10">
    <cfRule type="cellIs" dxfId="10" priority="8" operator="equal">
      <formula>0</formula>
    </cfRule>
  </conditionalFormatting>
  <conditionalFormatting sqref="F10">
    <cfRule type="cellIs" dxfId="9" priority="7" operator="equal">
      <formula>0</formula>
    </cfRule>
  </conditionalFormatting>
  <conditionalFormatting sqref="H9:I9 C9:E9">
    <cfRule type="cellIs" dxfId="8" priority="6" operator="equal">
      <formula>0</formula>
    </cfRule>
  </conditionalFormatting>
  <conditionalFormatting sqref="F9">
    <cfRule type="cellIs" dxfId="7" priority="5" operator="equal">
      <formula>0</formula>
    </cfRule>
  </conditionalFormatting>
  <conditionalFormatting sqref="H8:I8 C8:E8">
    <cfRule type="cellIs" dxfId="6" priority="4" operator="equal">
      <formula>0</formula>
    </cfRule>
  </conditionalFormatting>
  <conditionalFormatting sqref="F8">
    <cfRule type="cellIs" dxfId="5" priority="3" operator="equal">
      <formula>0</formula>
    </cfRule>
  </conditionalFormatting>
  <conditionalFormatting sqref="F4:F13">
    <cfRule type="cellIs" dxfId="4" priority="2" operator="equal">
      <formula>0</formula>
    </cfRule>
  </conditionalFormatting>
  <conditionalFormatting sqref="G4:G13">
    <cfRule type="cellIs" dxfId="3" priority="1" operator="equal">
      <formula>0</formula>
    </cfRule>
  </conditionalFormatting>
  <pageMargins left="0.7" right="0.7" top="0.75" bottom="0.75" header="0.3" footer="0.3"/>
  <pageSetup paperSize="9" orientation="portrait" copies="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M21"/>
  <sheetViews>
    <sheetView showGridLines="0" zoomScale="85" zoomScaleNormal="85" workbookViewId="0">
      <pane xSplit="2" ySplit="1" topLeftCell="C11" activePane="bottomRight" state="frozen"/>
      <selection pane="topRight" activeCell="C1" sqref="C1"/>
      <selection pane="bottomLeft" activeCell="A3" sqref="A3"/>
      <selection pane="bottomRight" activeCell="C16" sqref="C16"/>
    </sheetView>
  </sheetViews>
  <sheetFormatPr defaultRowHeight="16.5" x14ac:dyDescent="0.25"/>
  <cols>
    <col min="1" max="1" width="3.85546875" style="14" bestFit="1" customWidth="1"/>
    <col min="2" max="2" width="15" style="3" customWidth="1"/>
    <col min="3" max="3" width="99.5703125" style="3" bestFit="1" customWidth="1"/>
    <col min="4" max="4" width="9" style="33" bestFit="1" customWidth="1"/>
    <col min="5" max="13" width="10.140625" style="3" customWidth="1"/>
    <col min="14" max="18" width="8.28515625" style="3" customWidth="1"/>
    <col min="19" max="16384" width="9.140625" style="3"/>
  </cols>
  <sheetData>
    <row r="1" spans="1:13" ht="98.25" customHeight="1" x14ac:dyDescent="0.25">
      <c r="A1" s="28" t="s">
        <v>49</v>
      </c>
      <c r="B1" s="26" t="s">
        <v>52</v>
      </c>
      <c r="C1" s="26" t="s">
        <v>53</v>
      </c>
      <c r="D1" s="30" t="s">
        <v>57</v>
      </c>
      <c r="E1" s="29" t="s">
        <v>7</v>
      </c>
      <c r="F1" s="29" t="s">
        <v>11</v>
      </c>
      <c r="G1" s="29" t="s">
        <v>13</v>
      </c>
      <c r="H1" s="29" t="s">
        <v>14</v>
      </c>
      <c r="I1" s="29" t="s">
        <v>15</v>
      </c>
      <c r="J1" s="29" t="s">
        <v>24</v>
      </c>
      <c r="K1" s="29" t="s">
        <v>45</v>
      </c>
      <c r="L1" s="29" t="s">
        <v>39</v>
      </c>
      <c r="M1" s="29" t="s">
        <v>30</v>
      </c>
    </row>
    <row r="2" spans="1:13" ht="115.5" x14ac:dyDescent="0.25">
      <c r="A2" s="27">
        <v>1</v>
      </c>
      <c r="B2" s="25" t="s">
        <v>55</v>
      </c>
      <c r="C2" s="25" t="s">
        <v>56</v>
      </c>
      <c r="D2" s="32">
        <v>0.35</v>
      </c>
      <c r="E2" s="6"/>
      <c r="F2" s="6"/>
      <c r="G2" s="6"/>
      <c r="H2" s="6"/>
      <c r="I2" s="6"/>
      <c r="J2" s="6"/>
      <c r="K2" s="6"/>
      <c r="L2" s="6"/>
      <c r="M2" s="6"/>
    </row>
    <row r="3" spans="1:13" x14ac:dyDescent="0.25">
      <c r="A3" s="27"/>
      <c r="B3" s="25"/>
      <c r="C3" s="34" t="s">
        <v>58</v>
      </c>
      <c r="D3" s="31"/>
      <c r="E3" s="6"/>
      <c r="F3" s="6"/>
      <c r="G3" s="6"/>
      <c r="H3" s="6"/>
      <c r="I3" s="6"/>
      <c r="J3" s="6"/>
      <c r="K3" s="6"/>
      <c r="L3" s="6"/>
      <c r="M3" s="6"/>
    </row>
    <row r="4" spans="1:13" x14ac:dyDescent="0.25">
      <c r="A4" s="27"/>
      <c r="B4" s="25"/>
      <c r="C4" s="34" t="s">
        <v>59</v>
      </c>
      <c r="D4" s="31"/>
      <c r="E4" s="6"/>
      <c r="F4" s="6"/>
      <c r="G4" s="6"/>
      <c r="H4" s="6"/>
      <c r="I4" s="6"/>
      <c r="J4" s="6"/>
      <c r="K4" s="6"/>
      <c r="L4" s="6"/>
      <c r="M4" s="6"/>
    </row>
    <row r="5" spans="1:13" x14ac:dyDescent="0.25">
      <c r="A5" s="27"/>
      <c r="B5" s="25"/>
      <c r="C5" s="34" t="s">
        <v>60</v>
      </c>
      <c r="D5" s="31"/>
      <c r="E5" s="6"/>
      <c r="F5" s="6"/>
      <c r="G5" s="6"/>
      <c r="H5" s="6"/>
      <c r="I5" s="6"/>
      <c r="J5" s="6"/>
      <c r="K5" s="6"/>
      <c r="L5" s="6"/>
      <c r="M5" s="6"/>
    </row>
    <row r="6" spans="1:13" ht="115.5" x14ac:dyDescent="0.25">
      <c r="A6" s="27">
        <v>2</v>
      </c>
      <c r="B6" s="25" t="s">
        <v>68</v>
      </c>
      <c r="C6" s="25" t="s">
        <v>62</v>
      </c>
      <c r="D6" s="32">
        <v>0.2</v>
      </c>
      <c r="E6" s="6"/>
      <c r="F6" s="6"/>
      <c r="G6" s="6"/>
      <c r="H6" s="6"/>
      <c r="I6" s="6"/>
      <c r="J6" s="6"/>
      <c r="K6" s="6"/>
      <c r="L6" s="6"/>
      <c r="M6" s="6"/>
    </row>
    <row r="7" spans="1:13" x14ac:dyDescent="0.25">
      <c r="A7" s="27"/>
      <c r="B7" s="25"/>
      <c r="C7" s="34" t="s">
        <v>58</v>
      </c>
      <c r="D7" s="31"/>
      <c r="E7" s="6"/>
      <c r="F7" s="6"/>
      <c r="G7" s="6"/>
      <c r="H7" s="6"/>
      <c r="I7" s="6"/>
      <c r="J7" s="6"/>
      <c r="K7" s="6"/>
      <c r="L7" s="6"/>
      <c r="M7" s="6"/>
    </row>
    <row r="8" spans="1:13" x14ac:dyDescent="0.25">
      <c r="A8" s="27"/>
      <c r="B8" s="25"/>
      <c r="C8" s="34" t="s">
        <v>59</v>
      </c>
      <c r="D8" s="31"/>
      <c r="E8" s="6"/>
      <c r="F8" s="6"/>
      <c r="G8" s="6"/>
      <c r="H8" s="6"/>
      <c r="I8" s="6"/>
      <c r="J8" s="6"/>
      <c r="K8" s="6"/>
      <c r="L8" s="6"/>
      <c r="M8" s="6"/>
    </row>
    <row r="9" spans="1:13" x14ac:dyDescent="0.25">
      <c r="A9" s="27"/>
      <c r="B9" s="25"/>
      <c r="C9" s="34" t="s">
        <v>60</v>
      </c>
      <c r="D9" s="31"/>
      <c r="E9" s="6"/>
      <c r="F9" s="6"/>
      <c r="G9" s="6"/>
      <c r="H9" s="6"/>
      <c r="I9" s="6"/>
      <c r="J9" s="6"/>
      <c r="K9" s="6"/>
      <c r="L9" s="6"/>
      <c r="M9" s="6"/>
    </row>
    <row r="10" spans="1:13" ht="109.5" customHeight="1" x14ac:dyDescent="0.25">
      <c r="A10" s="27">
        <v>3</v>
      </c>
      <c r="B10" s="25" t="s">
        <v>54</v>
      </c>
      <c r="C10" s="25" t="s">
        <v>64</v>
      </c>
      <c r="D10" s="32">
        <v>0.15</v>
      </c>
      <c r="E10" s="37" t="s">
        <v>70</v>
      </c>
      <c r="F10" s="6"/>
      <c r="G10" s="6"/>
      <c r="H10" s="6"/>
      <c r="I10" s="6"/>
      <c r="J10" s="37" t="s">
        <v>69</v>
      </c>
      <c r="K10" s="6"/>
      <c r="L10" s="37" t="s">
        <v>65</v>
      </c>
      <c r="M10" s="6"/>
    </row>
    <row r="11" spans="1:13" x14ac:dyDescent="0.25">
      <c r="A11" s="27"/>
      <c r="B11" s="25"/>
      <c r="C11" s="34" t="s">
        <v>58</v>
      </c>
      <c r="D11" s="31"/>
      <c r="E11" s="6"/>
      <c r="F11" s="6"/>
      <c r="G11" s="6"/>
      <c r="H11" s="6"/>
      <c r="I11" s="6"/>
      <c r="J11" s="6"/>
      <c r="K11" s="6"/>
      <c r="L11" s="6"/>
      <c r="M11" s="6"/>
    </row>
    <row r="12" spans="1:13" x14ac:dyDescent="0.25">
      <c r="A12" s="27"/>
      <c r="B12" s="25"/>
      <c r="C12" s="34" t="s">
        <v>59</v>
      </c>
      <c r="D12" s="31"/>
      <c r="E12" s="6"/>
      <c r="F12" s="6"/>
      <c r="G12" s="6"/>
      <c r="H12" s="6"/>
      <c r="I12" s="6"/>
      <c r="J12" s="6"/>
      <c r="K12" s="6"/>
      <c r="L12" s="6"/>
      <c r="M12" s="6"/>
    </row>
    <row r="13" spans="1:13" x14ac:dyDescent="0.25">
      <c r="A13" s="27"/>
      <c r="B13" s="25"/>
      <c r="C13" s="34" t="s">
        <v>60</v>
      </c>
      <c r="D13" s="31"/>
      <c r="E13" s="6"/>
      <c r="F13" s="6"/>
      <c r="G13" s="6"/>
      <c r="H13" s="6"/>
      <c r="I13" s="6"/>
      <c r="J13" s="6"/>
      <c r="K13" s="6"/>
      <c r="L13" s="6"/>
      <c r="M13" s="6"/>
    </row>
    <row r="14" spans="1:13" ht="69" customHeight="1" x14ac:dyDescent="0.25">
      <c r="A14" s="27">
        <v>4</v>
      </c>
      <c r="B14" s="25" t="s">
        <v>61</v>
      </c>
      <c r="C14" s="25" t="s">
        <v>63</v>
      </c>
      <c r="D14" s="32">
        <v>0.1</v>
      </c>
      <c r="E14" s="6"/>
      <c r="F14" s="6"/>
      <c r="G14" s="6"/>
      <c r="H14" s="6"/>
      <c r="I14" s="6"/>
      <c r="J14" s="6"/>
      <c r="K14" s="6"/>
      <c r="L14" s="6"/>
      <c r="M14" s="6"/>
    </row>
    <row r="15" spans="1:13" x14ac:dyDescent="0.25">
      <c r="A15" s="27"/>
      <c r="B15" s="25"/>
      <c r="C15" s="34" t="s">
        <v>58</v>
      </c>
      <c r="D15" s="31"/>
      <c r="E15" s="6"/>
      <c r="F15" s="6"/>
      <c r="G15" s="6"/>
      <c r="H15" s="6"/>
      <c r="I15" s="6"/>
      <c r="J15" s="6"/>
      <c r="K15" s="6"/>
      <c r="L15" s="6"/>
      <c r="M15" s="6"/>
    </row>
    <row r="16" spans="1:13" x14ac:dyDescent="0.25">
      <c r="A16" s="27"/>
      <c r="B16" s="25"/>
      <c r="C16" s="34" t="s">
        <v>59</v>
      </c>
      <c r="D16" s="31"/>
      <c r="E16" s="6"/>
      <c r="F16" s="6"/>
      <c r="G16" s="6"/>
      <c r="H16" s="6"/>
      <c r="I16" s="6"/>
      <c r="J16" s="6"/>
      <c r="K16" s="6"/>
      <c r="L16" s="6"/>
      <c r="M16" s="6"/>
    </row>
    <row r="17" spans="1:13" x14ac:dyDescent="0.25">
      <c r="A17" s="27"/>
      <c r="B17" s="25"/>
      <c r="C17" s="34" t="s">
        <v>60</v>
      </c>
      <c r="D17" s="31"/>
      <c r="E17" s="6"/>
      <c r="F17" s="6"/>
      <c r="G17" s="6"/>
      <c r="H17" s="6"/>
      <c r="I17" s="6"/>
      <c r="J17" s="6"/>
      <c r="K17" s="6"/>
      <c r="L17" s="6"/>
      <c r="M17" s="6"/>
    </row>
    <row r="18" spans="1:13" ht="99" x14ac:dyDescent="0.25">
      <c r="A18" s="27">
        <v>5</v>
      </c>
      <c r="B18" s="25" t="s">
        <v>50</v>
      </c>
      <c r="C18" s="25" t="s">
        <v>51</v>
      </c>
      <c r="D18" s="32">
        <v>0.2</v>
      </c>
      <c r="E18" s="6"/>
      <c r="F18" s="6"/>
      <c r="G18" s="6"/>
      <c r="H18" s="6"/>
      <c r="I18" s="6"/>
      <c r="J18" s="6"/>
      <c r="K18" s="6"/>
      <c r="L18" s="6"/>
      <c r="M18" s="6"/>
    </row>
    <row r="19" spans="1:13" x14ac:dyDescent="0.25">
      <c r="A19" s="27"/>
      <c r="B19" s="25"/>
      <c r="C19" s="34" t="s">
        <v>58</v>
      </c>
      <c r="D19" s="31"/>
      <c r="E19" s="6"/>
      <c r="F19" s="6"/>
      <c r="G19" s="6"/>
      <c r="H19" s="6"/>
      <c r="I19" s="6"/>
      <c r="J19" s="6"/>
      <c r="K19" s="6"/>
      <c r="L19" s="6"/>
      <c r="M19" s="6"/>
    </row>
    <row r="20" spans="1:13" x14ac:dyDescent="0.25">
      <c r="A20" s="27"/>
      <c r="B20" s="25"/>
      <c r="C20" s="34" t="s">
        <v>59</v>
      </c>
      <c r="D20" s="31"/>
      <c r="E20" s="6"/>
      <c r="F20" s="6"/>
      <c r="G20" s="6"/>
      <c r="H20" s="6"/>
      <c r="I20" s="6"/>
      <c r="J20" s="6"/>
      <c r="K20" s="6"/>
      <c r="L20" s="6"/>
      <c r="M20" s="6"/>
    </row>
    <row r="21" spans="1:13" x14ac:dyDescent="0.25">
      <c r="A21" s="27"/>
      <c r="B21" s="25"/>
      <c r="C21" s="34" t="s">
        <v>60</v>
      </c>
      <c r="D21" s="31"/>
      <c r="E21" s="6"/>
      <c r="F21" s="6"/>
      <c r="G21" s="6"/>
      <c r="H21" s="6"/>
      <c r="I21" s="6"/>
      <c r="J21" s="6"/>
      <c r="K21" s="6"/>
      <c r="L21" s="6"/>
      <c r="M21" s="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Leave Management</vt:lpstr>
      <vt:lpstr>Detail</vt:lpstr>
      <vt:lpstr>Summary</vt:lpstr>
      <vt:lpstr>KPI Tracker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FXML PrintRoom (FXV, HCM)</dc:creator>
  <cp:lastModifiedBy>FXML PrintRoom (FXV HCM)</cp:lastModifiedBy>
  <dcterms:created xsi:type="dcterms:W3CDTF">2016-07-04T09:03:49Z</dcterms:created>
  <dcterms:modified xsi:type="dcterms:W3CDTF">2019-09-12T01:30:49Z</dcterms:modified>
</cp:coreProperties>
</file>