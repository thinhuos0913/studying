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int Room Issues\FXV_Overtime Payment\"/>
    </mc:Choice>
  </mc:AlternateContent>
  <bookViews>
    <workbookView xWindow="0" yWindow="0" windowWidth="24000" windowHeight="9735" firstSheet="2" activeTab="6"/>
  </bookViews>
  <sheets>
    <sheet name="Nguyen Ngoc Truong Loc" sheetId="597" r:id="rId1"/>
    <sheet name="Le Thanh Vi" sheetId="598" r:id="rId2"/>
    <sheet name="Dinh Thi Ngoc Van" sheetId="599" r:id="rId3"/>
    <sheet name="Nguyen Thi Anh Thi" sheetId="600" r:id="rId4"/>
    <sheet name="Do Thi Hue" sheetId="601" r:id="rId5"/>
    <sheet name="Mai Thi Quynh Huong" sheetId="602" r:id="rId6"/>
    <sheet name="Macro" sheetId="176" r:id="rId7"/>
    <sheet name="Template" sheetId="385" r:id="rId8"/>
    <sheet name="2017OT" sheetId="177" r:id="rId9"/>
    <sheet name="Consolidation" sheetId="383" r:id="rId10"/>
  </sheets>
  <functionGroups builtInGroupCount="18"/>
  <definedNames>
    <definedName name="_xlnm._FilterDatabase" localSheetId="8" hidden="1">'2017OT'!$A$1:$M$1</definedName>
    <definedName name="_xlnm.Print_Area" localSheetId="2">'Dinh Thi Ngoc Van'!$A$1:$M$45</definedName>
    <definedName name="_xlnm.Print_Area" localSheetId="4">'Do Thi Hue'!$A$1:$M$45</definedName>
    <definedName name="_xlnm.Print_Area" localSheetId="1">'Le Thanh Vi'!$A$1:$M$45</definedName>
    <definedName name="_xlnm.Print_Area" localSheetId="5">'Mai Thi Quynh Huong'!$A$1:$M$45</definedName>
    <definedName name="_xlnm.Print_Area" localSheetId="0">'Nguyen Ngoc Truong Loc'!$A$1:$M$45</definedName>
    <definedName name="_xlnm.Print_Area" localSheetId="3">'Nguyen Thi Anh Thi'!$A$1:$M$45</definedName>
    <definedName name="_xlnm.Print_Area" localSheetId="7">Template!$A$1:$M$45</definedName>
  </definedNames>
  <calcPr calcId="171027"/>
</workbook>
</file>

<file path=xl/calcChain.xml><?xml version="1.0" encoding="utf-8"?>
<calcChain xmlns="http://schemas.openxmlformats.org/spreadsheetml/2006/main">
  <c r="E38" i="602" l="1"/>
  <c r="O37" i="602"/>
  <c r="G37" i="602"/>
  <c r="O36" i="602"/>
  <c r="G36" i="602"/>
  <c r="O35" i="602"/>
  <c r="G35" i="602"/>
  <c r="O34" i="602"/>
  <c r="G34" i="602"/>
  <c r="O33" i="602"/>
  <c r="G33" i="602"/>
  <c r="O32" i="602"/>
  <c r="G32" i="602"/>
  <c r="O31" i="602"/>
  <c r="G31" i="602"/>
  <c r="O30" i="602"/>
  <c r="G30" i="602"/>
  <c r="O29" i="602"/>
  <c r="G29" i="602"/>
  <c r="O28" i="602"/>
  <c r="G28" i="602"/>
  <c r="O27" i="602"/>
  <c r="G27" i="602"/>
  <c r="O26" i="602"/>
  <c r="G26" i="602"/>
  <c r="O25" i="602"/>
  <c r="G25" i="602"/>
  <c r="O24" i="602"/>
  <c r="G24" i="602"/>
  <c r="O23" i="602"/>
  <c r="G23" i="602"/>
  <c r="O22" i="602"/>
  <c r="G22" i="602"/>
  <c r="O21" i="602"/>
  <c r="G21" i="602"/>
  <c r="O20" i="602"/>
  <c r="G20" i="602"/>
  <c r="O19" i="602"/>
  <c r="G19" i="602"/>
  <c r="O18" i="602"/>
  <c r="G18" i="602"/>
  <c r="O17" i="602"/>
  <c r="G17" i="602"/>
  <c r="O16" i="602"/>
  <c r="G16" i="602"/>
  <c r="O15" i="602"/>
  <c r="G15" i="602"/>
  <c r="O14" i="602"/>
  <c r="G14" i="602"/>
  <c r="O13" i="602"/>
  <c r="G13" i="602"/>
  <c r="O12" i="602"/>
  <c r="G12" i="602"/>
  <c r="O11" i="602"/>
  <c r="G11" i="602"/>
  <c r="O10" i="602"/>
  <c r="G10" i="602"/>
  <c r="O9" i="602"/>
  <c r="O38" i="602" s="1"/>
  <c r="G9" i="602"/>
  <c r="P8" i="602"/>
  <c r="P7" i="602"/>
  <c r="Q5" i="602"/>
  <c r="A2" i="602"/>
  <c r="A1" i="602"/>
  <c r="E38" i="601"/>
  <c r="O37" i="601"/>
  <c r="G37" i="601"/>
  <c r="O36" i="601"/>
  <c r="G36" i="601"/>
  <c r="O35" i="601"/>
  <c r="G35" i="601"/>
  <c r="O34" i="601"/>
  <c r="G34" i="601"/>
  <c r="O33" i="601"/>
  <c r="G33" i="601"/>
  <c r="O32" i="601"/>
  <c r="G32" i="601"/>
  <c r="O31" i="601"/>
  <c r="G31" i="601"/>
  <c r="O30" i="601"/>
  <c r="G30" i="601"/>
  <c r="O29" i="601"/>
  <c r="G29" i="601"/>
  <c r="O28" i="601"/>
  <c r="G28" i="601"/>
  <c r="O27" i="601"/>
  <c r="G27" i="601"/>
  <c r="O26" i="601"/>
  <c r="G26" i="601"/>
  <c r="O25" i="601"/>
  <c r="G25" i="601"/>
  <c r="O24" i="601"/>
  <c r="G24" i="601"/>
  <c r="O23" i="601"/>
  <c r="G23" i="601"/>
  <c r="O22" i="601"/>
  <c r="G22" i="601"/>
  <c r="O21" i="601"/>
  <c r="G21" i="601"/>
  <c r="O20" i="601"/>
  <c r="G20" i="601"/>
  <c r="O19" i="601"/>
  <c r="G19" i="601"/>
  <c r="O18" i="601"/>
  <c r="G18" i="601"/>
  <c r="O17" i="601"/>
  <c r="G17" i="601"/>
  <c r="O16" i="601"/>
  <c r="G16" i="601"/>
  <c r="O15" i="601"/>
  <c r="G15" i="601"/>
  <c r="O14" i="601"/>
  <c r="G14" i="601"/>
  <c r="O13" i="601"/>
  <c r="G13" i="601"/>
  <c r="O12" i="601"/>
  <c r="G12" i="601"/>
  <c r="O11" i="601"/>
  <c r="G11" i="601"/>
  <c r="O10" i="601"/>
  <c r="G10" i="601"/>
  <c r="O9" i="601"/>
  <c r="G9" i="601"/>
  <c r="P8" i="601"/>
  <c r="P7" i="601"/>
  <c r="Q5" i="601"/>
  <c r="A2" i="601"/>
  <c r="A1" i="601"/>
  <c r="E38" i="600"/>
  <c r="O37" i="600"/>
  <c r="G37" i="600"/>
  <c r="O36" i="600"/>
  <c r="G36" i="600"/>
  <c r="O35" i="600"/>
  <c r="G35" i="600"/>
  <c r="O34" i="600"/>
  <c r="G34" i="600"/>
  <c r="O33" i="600"/>
  <c r="G33" i="600"/>
  <c r="O32" i="600"/>
  <c r="G32" i="600"/>
  <c r="O31" i="600"/>
  <c r="G31" i="600"/>
  <c r="O30" i="600"/>
  <c r="G30" i="600"/>
  <c r="O29" i="600"/>
  <c r="G29" i="600"/>
  <c r="O28" i="600"/>
  <c r="G28" i="600"/>
  <c r="O27" i="600"/>
  <c r="G27" i="600"/>
  <c r="O26" i="600"/>
  <c r="G26" i="600"/>
  <c r="O25" i="600"/>
  <c r="G25" i="600"/>
  <c r="O24" i="600"/>
  <c r="G24" i="600"/>
  <c r="O23" i="600"/>
  <c r="G23" i="600"/>
  <c r="O22" i="600"/>
  <c r="G22" i="600"/>
  <c r="O21" i="600"/>
  <c r="G21" i="600"/>
  <c r="O20" i="600"/>
  <c r="G20" i="600"/>
  <c r="O19" i="600"/>
  <c r="G19" i="600"/>
  <c r="O18" i="600"/>
  <c r="G18" i="600"/>
  <c r="O17" i="600"/>
  <c r="G17" i="600"/>
  <c r="O16" i="600"/>
  <c r="G16" i="600"/>
  <c r="O15" i="600"/>
  <c r="G15" i="600"/>
  <c r="O14" i="600"/>
  <c r="G14" i="600"/>
  <c r="O13" i="600"/>
  <c r="G13" i="600"/>
  <c r="O12" i="600"/>
  <c r="G12" i="600"/>
  <c r="O11" i="600"/>
  <c r="G11" i="600"/>
  <c r="O10" i="600"/>
  <c r="G10" i="600"/>
  <c r="O9" i="600"/>
  <c r="G9" i="600"/>
  <c r="P8" i="600"/>
  <c r="P7" i="600"/>
  <c r="Q5" i="600"/>
  <c r="A2" i="600"/>
  <c r="A1" i="600"/>
  <c r="E38" i="599"/>
  <c r="Q5" i="599" s="1"/>
  <c r="O37" i="599"/>
  <c r="G37" i="599"/>
  <c r="O36" i="599"/>
  <c r="G36" i="599"/>
  <c r="O35" i="599"/>
  <c r="G35" i="599"/>
  <c r="O34" i="599"/>
  <c r="G34" i="599"/>
  <c r="O33" i="599"/>
  <c r="G33" i="599"/>
  <c r="O32" i="599"/>
  <c r="G32" i="599"/>
  <c r="O31" i="599"/>
  <c r="G31" i="599"/>
  <c r="O30" i="599"/>
  <c r="G30" i="599"/>
  <c r="O29" i="599"/>
  <c r="G29" i="599"/>
  <c r="O28" i="599"/>
  <c r="G28" i="599"/>
  <c r="O27" i="599"/>
  <c r="G27" i="599"/>
  <c r="O26" i="599"/>
  <c r="G26" i="599"/>
  <c r="O25" i="599"/>
  <c r="G25" i="599"/>
  <c r="O24" i="599"/>
  <c r="G24" i="599"/>
  <c r="O23" i="599"/>
  <c r="G23" i="599"/>
  <c r="O22" i="599"/>
  <c r="G22" i="599"/>
  <c r="O21" i="599"/>
  <c r="G21" i="599"/>
  <c r="O20" i="599"/>
  <c r="G20" i="599"/>
  <c r="O19" i="599"/>
  <c r="G19" i="599"/>
  <c r="O18" i="599"/>
  <c r="G18" i="599"/>
  <c r="O17" i="599"/>
  <c r="G17" i="599"/>
  <c r="O16" i="599"/>
  <c r="G16" i="599"/>
  <c r="O15" i="599"/>
  <c r="G15" i="599"/>
  <c r="O14" i="599"/>
  <c r="G14" i="599"/>
  <c r="O13" i="599"/>
  <c r="G13" i="599"/>
  <c r="O12" i="599"/>
  <c r="G12" i="599"/>
  <c r="O11" i="599"/>
  <c r="G11" i="599"/>
  <c r="O10" i="599"/>
  <c r="G10" i="599"/>
  <c r="O9" i="599"/>
  <c r="G9" i="599"/>
  <c r="P8" i="599"/>
  <c r="P7" i="599"/>
  <c r="A2" i="599"/>
  <c r="A1" i="599"/>
  <c r="E38" i="598"/>
  <c r="Q5" i="598" s="1"/>
  <c r="O37" i="598"/>
  <c r="G37" i="598"/>
  <c r="O36" i="598"/>
  <c r="G36" i="598"/>
  <c r="O35" i="598"/>
  <c r="G35" i="598"/>
  <c r="O34" i="598"/>
  <c r="G34" i="598"/>
  <c r="O33" i="598"/>
  <c r="G33" i="598"/>
  <c r="O32" i="598"/>
  <c r="G32" i="598"/>
  <c r="O31" i="598"/>
  <c r="G31" i="598"/>
  <c r="O30" i="598"/>
  <c r="G30" i="598"/>
  <c r="O29" i="598"/>
  <c r="G29" i="598"/>
  <c r="O28" i="598"/>
  <c r="G28" i="598"/>
  <c r="O27" i="598"/>
  <c r="G27" i="598"/>
  <c r="O26" i="598"/>
  <c r="G26" i="598"/>
  <c r="O25" i="598"/>
  <c r="G25" i="598"/>
  <c r="O24" i="598"/>
  <c r="G24" i="598"/>
  <c r="O23" i="598"/>
  <c r="G23" i="598"/>
  <c r="O22" i="598"/>
  <c r="G22" i="598"/>
  <c r="O21" i="598"/>
  <c r="G21" i="598"/>
  <c r="O20" i="598"/>
  <c r="G20" i="598"/>
  <c r="O19" i="598"/>
  <c r="G19" i="598"/>
  <c r="O18" i="598"/>
  <c r="G18" i="598"/>
  <c r="O17" i="598"/>
  <c r="G17" i="598"/>
  <c r="O16" i="598"/>
  <c r="G16" i="598"/>
  <c r="O15" i="598"/>
  <c r="G15" i="598"/>
  <c r="O14" i="598"/>
  <c r="G14" i="598"/>
  <c r="O13" i="598"/>
  <c r="G13" i="598"/>
  <c r="O12" i="598"/>
  <c r="G12" i="598"/>
  <c r="O11" i="598"/>
  <c r="G11" i="598"/>
  <c r="O10" i="598"/>
  <c r="O38" i="598" s="1"/>
  <c r="G10" i="598"/>
  <c r="O9" i="598"/>
  <c r="G9" i="598"/>
  <c r="P8" i="598"/>
  <c r="P7" i="598"/>
  <c r="A2" i="598"/>
  <c r="A1" i="598"/>
  <c r="E38" i="597"/>
  <c r="O37" i="597"/>
  <c r="G37" i="597"/>
  <c r="O36" i="597"/>
  <c r="G36" i="597"/>
  <c r="O35" i="597"/>
  <c r="G35" i="597"/>
  <c r="O34" i="597"/>
  <c r="G34" i="597"/>
  <c r="O33" i="597"/>
  <c r="G33" i="597"/>
  <c r="O32" i="597"/>
  <c r="G32" i="597"/>
  <c r="O31" i="597"/>
  <c r="G31" i="597"/>
  <c r="O30" i="597"/>
  <c r="G30" i="597"/>
  <c r="O29" i="597"/>
  <c r="G29" i="597"/>
  <c r="O28" i="597"/>
  <c r="G28" i="597"/>
  <c r="O27" i="597"/>
  <c r="G27" i="597"/>
  <c r="O26" i="597"/>
  <c r="G26" i="597"/>
  <c r="O25" i="597"/>
  <c r="G25" i="597"/>
  <c r="O24" i="597"/>
  <c r="G24" i="597"/>
  <c r="O23" i="597"/>
  <c r="G23" i="597"/>
  <c r="O22" i="597"/>
  <c r="G22" i="597"/>
  <c r="O21" i="597"/>
  <c r="G21" i="597"/>
  <c r="O20" i="597"/>
  <c r="G20" i="597"/>
  <c r="O19" i="597"/>
  <c r="G19" i="597"/>
  <c r="O18" i="597"/>
  <c r="G18" i="597"/>
  <c r="O17" i="597"/>
  <c r="G17" i="597"/>
  <c r="O16" i="597"/>
  <c r="G16" i="597"/>
  <c r="O15" i="597"/>
  <c r="G15" i="597"/>
  <c r="O14" i="597"/>
  <c r="G14" i="597"/>
  <c r="O13" i="597"/>
  <c r="G13" i="597"/>
  <c r="O12" i="597"/>
  <c r="G12" i="597"/>
  <c r="O11" i="597"/>
  <c r="G11" i="597"/>
  <c r="O10" i="597"/>
  <c r="G10" i="597"/>
  <c r="O9" i="597"/>
  <c r="G9" i="597"/>
  <c r="P8" i="597"/>
  <c r="P7" i="597"/>
  <c r="Q5" i="597"/>
  <c r="A2" i="597"/>
  <c r="A1" i="597"/>
  <c r="C17" i="176"/>
  <c r="B17" i="176"/>
  <c r="C16" i="176"/>
  <c r="B16" i="176"/>
  <c r="C15" i="176"/>
  <c r="B15" i="176"/>
  <c r="C14" i="176"/>
  <c r="B14" i="176"/>
  <c r="C13" i="176"/>
  <c r="B13" i="176"/>
  <c r="C12" i="176"/>
  <c r="B12" i="176"/>
  <c r="M92" i="177"/>
  <c r="M91" i="177"/>
  <c r="M90" i="177"/>
  <c r="M89" i="177"/>
  <c r="M88" i="177"/>
  <c r="M87" i="177"/>
  <c r="M86" i="177"/>
  <c r="M85" i="177"/>
  <c r="M84" i="177"/>
  <c r="M83" i="177"/>
  <c r="M82" i="177"/>
  <c r="M81" i="177"/>
  <c r="M80" i="177"/>
  <c r="M79" i="177"/>
  <c r="M78" i="177"/>
  <c r="M77" i="177"/>
  <c r="M76" i="177"/>
  <c r="M75" i="177"/>
  <c r="M74" i="177"/>
  <c r="M73" i="177"/>
  <c r="M72" i="177"/>
  <c r="M71" i="177"/>
  <c r="M70" i="177"/>
  <c r="M69" i="177"/>
  <c r="M68" i="177"/>
  <c r="M67" i="177"/>
  <c r="M66" i="177"/>
  <c r="M65" i="177"/>
  <c r="M64" i="177"/>
  <c r="M63" i="177"/>
  <c r="M62" i="177"/>
  <c r="M61" i="177"/>
  <c r="M60" i="177"/>
  <c r="M59" i="177"/>
  <c r="M58" i="177"/>
  <c r="M57" i="177"/>
  <c r="M56" i="177"/>
  <c r="M55" i="177"/>
  <c r="M54" i="177"/>
  <c r="M53" i="177"/>
  <c r="M52" i="177"/>
  <c r="M51" i="177"/>
  <c r="M50" i="177"/>
  <c r="M49" i="177"/>
  <c r="M48" i="177"/>
  <c r="M47" i="177"/>
  <c r="M46" i="177"/>
  <c r="M45" i="177"/>
  <c r="M44" i="177"/>
  <c r="M43" i="177"/>
  <c r="M42" i="177"/>
  <c r="M41" i="177"/>
  <c r="M40" i="177"/>
  <c r="M39" i="177"/>
  <c r="M38" i="177"/>
  <c r="M37" i="177"/>
  <c r="M36" i="177"/>
  <c r="M35" i="177"/>
  <c r="M34" i="177"/>
  <c r="M33" i="177"/>
  <c r="M32" i="177"/>
  <c r="M31" i="177"/>
  <c r="M30" i="177"/>
  <c r="M29" i="177"/>
  <c r="M28" i="177"/>
  <c r="M27" i="177"/>
  <c r="M26" i="177"/>
  <c r="M25" i="177"/>
  <c r="M24" i="177"/>
  <c r="M23" i="177"/>
  <c r="M22" i="177"/>
  <c r="M21" i="177"/>
  <c r="M20" i="177"/>
  <c r="M19" i="177"/>
  <c r="M18" i="177"/>
  <c r="M17" i="177"/>
  <c r="M16" i="177"/>
  <c r="M15" i="177"/>
  <c r="M14" i="177"/>
  <c r="M13" i="177"/>
  <c r="M12" i="177"/>
  <c r="M11" i="177"/>
  <c r="M10" i="177"/>
  <c r="M9" i="177"/>
  <c r="M8" i="177"/>
  <c r="M7" i="177"/>
  <c r="M6" i="177"/>
  <c r="M5" i="177"/>
  <c r="M4" i="177"/>
  <c r="M3" i="177"/>
  <c r="M2" i="177"/>
  <c r="O38" i="601" l="1"/>
  <c r="O38" i="600"/>
  <c r="O44" i="600" s="1"/>
  <c r="O38" i="599"/>
  <c r="Q6" i="599" s="1"/>
  <c r="Q3" i="599" s="1"/>
  <c r="O38" i="597"/>
  <c r="O44" i="597" s="1"/>
  <c r="O44" i="602"/>
  <c r="Q6" i="602"/>
  <c r="Q3" i="602" s="1"/>
  <c r="O44" i="601"/>
  <c r="Q6" i="601"/>
  <c r="Q3" i="601" s="1"/>
  <c r="O44" i="598"/>
  <c r="Q6" i="598"/>
  <c r="Q3" i="598" s="1"/>
  <c r="D7" i="176"/>
  <c r="Q6" i="600" l="1"/>
  <c r="Q3" i="600" s="1"/>
  <c r="O44" i="599"/>
  <c r="Q6" i="597"/>
  <c r="Q3" i="597" s="1"/>
  <c r="G10" i="385"/>
  <c r="G11" i="385"/>
  <c r="G12" i="385"/>
  <c r="G13" i="385"/>
  <c r="G14" i="385"/>
  <c r="G15" i="385"/>
  <c r="G16" i="385"/>
  <c r="G17" i="385"/>
  <c r="G18" i="385"/>
  <c r="G19" i="385"/>
  <c r="G20" i="385"/>
  <c r="G21" i="385"/>
  <c r="G22" i="385"/>
  <c r="G23" i="385"/>
  <c r="G24" i="385"/>
  <c r="G25" i="385"/>
  <c r="G26" i="385"/>
  <c r="G27" i="385"/>
  <c r="G28" i="385"/>
  <c r="G29" i="385"/>
  <c r="G30" i="385"/>
  <c r="G31" i="385"/>
  <c r="G32" i="385"/>
  <c r="G33" i="385"/>
  <c r="G34" i="385"/>
  <c r="G35" i="385"/>
  <c r="G36" i="385"/>
  <c r="G37" i="385"/>
  <c r="G9" i="385"/>
  <c r="E38" i="385" l="1"/>
  <c r="Q5" i="385" s="1"/>
  <c r="O37" i="385"/>
  <c r="O36" i="385"/>
  <c r="O35" i="385"/>
  <c r="O34" i="385"/>
  <c r="O33" i="385"/>
  <c r="O32" i="385"/>
  <c r="O31" i="385"/>
  <c r="O30" i="385"/>
  <c r="O29" i="385"/>
  <c r="O28" i="385"/>
  <c r="O27" i="385"/>
  <c r="O26" i="385"/>
  <c r="O25" i="385"/>
  <c r="O24" i="385"/>
  <c r="O23" i="385"/>
  <c r="O22" i="385"/>
  <c r="O21" i="385"/>
  <c r="O20" i="385"/>
  <c r="O19" i="385"/>
  <c r="O18" i="385"/>
  <c r="O17" i="385"/>
  <c r="O16" i="385"/>
  <c r="O15" i="385"/>
  <c r="O14" i="385"/>
  <c r="O13" i="385"/>
  <c r="O12" i="385"/>
  <c r="O11" i="385"/>
  <c r="O10" i="385"/>
  <c r="O9" i="385"/>
  <c r="D65" i="176" l="1"/>
  <c r="O38" i="385"/>
  <c r="Q6" i="385" s="1"/>
  <c r="Q3" i="385" s="1"/>
  <c r="O44" i="385" l="1"/>
  <c r="B72" i="176"/>
  <c r="B73" i="176" s="1"/>
  <c r="B71" i="176"/>
  <c r="B67" i="176"/>
  <c r="C65" i="176"/>
  <c r="B65" i="176"/>
  <c r="C7" i="176"/>
  <c r="C4" i="176"/>
  <c r="B7" i="176" l="1"/>
  <c r="B68" i="176"/>
  <c r="A1" i="385"/>
  <c r="F7" i="176"/>
  <c r="P7" i="385" l="1"/>
  <c r="C8" i="176"/>
  <c r="D8" i="176" l="1"/>
  <c r="F8" i="176" s="1"/>
  <c r="A2" i="385" l="1"/>
  <c r="B8" i="176"/>
  <c r="P8" i="385" l="1"/>
</calcChain>
</file>

<file path=xl/sharedStrings.xml><?xml version="1.0" encoding="utf-8"?>
<sst xmlns="http://schemas.openxmlformats.org/spreadsheetml/2006/main" count="887" uniqueCount="123">
  <si>
    <t>Path</t>
  </si>
  <si>
    <t>Name       :</t>
  </si>
  <si>
    <t>Staff No.    :</t>
  </si>
  <si>
    <t>Department :</t>
  </si>
  <si>
    <t>South &amp; Central Sales Operation</t>
  </si>
  <si>
    <t>Position     :</t>
  </si>
  <si>
    <t>Part timer onsite</t>
  </si>
  <si>
    <t>Orignal OT</t>
  </si>
  <si>
    <t>Calculated OT</t>
  </si>
  <si>
    <t>DATE</t>
  </si>
  <si>
    <t>DAY</t>
  </si>
  <si>
    <t>TIME</t>
  </si>
  <si>
    <t>TOTAL OVERTIME HOURS</t>
  </si>
  <si>
    <t>COST CENTRE</t>
  </si>
  <si>
    <t>PURPOSE</t>
  </si>
  <si>
    <t>FOR HUMAN RESOURCES 
USE ONLY</t>
  </si>
  <si>
    <t>(mm/dd/yyyy)</t>
  </si>
  <si>
    <t>FROM</t>
  </si>
  <si>
    <t>TO</t>
  </si>
  <si>
    <t>From</t>
  </si>
  <si>
    <t>Normal Working Days before 10pm</t>
  </si>
  <si>
    <t>Thu</t>
  </si>
  <si>
    <t>Fri</t>
  </si>
  <si>
    <t>Mon</t>
  </si>
  <si>
    <t>Tue</t>
  </si>
  <si>
    <t>Total</t>
  </si>
  <si>
    <t>Submitted By:</t>
  </si>
  <si>
    <t>Approved By:</t>
  </si>
  <si>
    <t>Employee Signature</t>
  </si>
  <si>
    <t>Date</t>
  </si>
  <si>
    <t>Senior Manager/Manager of Department</t>
  </si>
  <si>
    <t>Head of Department</t>
  </si>
  <si>
    <t>Today</t>
  </si>
  <si>
    <t>Month</t>
  </si>
  <si>
    <t>Year</t>
  </si>
  <si>
    <t>Choose the period of time for payment</t>
  </si>
  <si>
    <t>Day</t>
  </si>
  <si>
    <t>To</t>
  </si>
  <si>
    <t>Filename</t>
  </si>
  <si>
    <t>OT</t>
  </si>
  <si>
    <t>Tran Thai Thuan</t>
  </si>
  <si>
    <t>Nguyen Trung Tin</t>
  </si>
  <si>
    <t>Le Phuoc Trung</t>
  </si>
  <si>
    <t>Le Hoang Ngoc</t>
  </si>
  <si>
    <t>Duong Quoc Huy</t>
  </si>
  <si>
    <t>Dong Tran Hai Son</t>
  </si>
  <si>
    <t>Pham Nguyen Dang Khoa</t>
  </si>
  <si>
    <t>Nguyen Kim Hoa</t>
  </si>
  <si>
    <t>Nguyen Ngoc Duc Huy</t>
  </si>
  <si>
    <t>Total Partime OT FXV Hour</t>
  </si>
  <si>
    <t>Total All Sheets</t>
  </si>
  <si>
    <t>Total sheet 2017OT</t>
  </si>
  <si>
    <t>Total Sheet Macro</t>
  </si>
  <si>
    <t>Filter Month</t>
  </si>
  <si>
    <t>SourceData</t>
  </si>
  <si>
    <t>SourceFile</t>
  </si>
  <si>
    <t>SourceFileName</t>
  </si>
  <si>
    <t>DesFile</t>
  </si>
  <si>
    <t>DesFileName</t>
  </si>
  <si>
    <t>Employment Type</t>
  </si>
  <si>
    <t>Employee Name</t>
  </si>
  <si>
    <t>OT date</t>
  </si>
  <si>
    <t>OT Day</t>
  </si>
  <si>
    <t>Time From</t>
  </si>
  <si>
    <t>Time To</t>
  </si>
  <si>
    <t>Regular Work Hours</t>
  </si>
  <si>
    <t>Total OT Hours FXV</t>
  </si>
  <si>
    <t>MLV-Billable Total OT Hours</t>
  </si>
  <si>
    <t>Rate Type</t>
  </si>
  <si>
    <t>Purpose</t>
  </si>
  <si>
    <t>Meal Allowance</t>
  </si>
  <si>
    <t/>
  </si>
  <si>
    <t>Nguyen Thanh My</t>
  </si>
  <si>
    <t>Dang Minh Phuc</t>
  </si>
  <si>
    <t>Le Thanh Vi</t>
  </si>
  <si>
    <t>Nguyen Minh Tuan</t>
  </si>
  <si>
    <t>D:\Print Room Issues\PDF Work files\2016_Overtime Claim PDF\</t>
  </si>
  <si>
    <t>Annual Statement 2018 (Phrase 2: Brochure Manual Insertion)</t>
  </si>
  <si>
    <t>Backlog</t>
  </si>
  <si>
    <t>Annual</t>
  </si>
  <si>
    <t>D:\Print Room Issues\FXV_Overtime Payment\FXV_OT Hours_2018.xlsm</t>
  </si>
  <si>
    <t>Nguyen Ngoc Truong Loc</t>
  </si>
  <si>
    <t>Wed</t>
  </si>
  <si>
    <t>Perm staff onsite</t>
  </si>
  <si>
    <t>Nguyen Nhu Y Vi</t>
  </si>
  <si>
    <t>Nguyen Thanh Loc</t>
  </si>
  <si>
    <t>Tran Thi Kim Thoa</t>
  </si>
  <si>
    <t>Tran Thi Kim Oanh</t>
  </si>
  <si>
    <t>Nguyen Thi Hai Yen</t>
  </si>
  <si>
    <t>Tran Kim Thuong</t>
  </si>
  <si>
    <t>Dinh Thi Ngoc Van</t>
  </si>
  <si>
    <t>06</t>
  </si>
  <si>
    <t>Total: 991 Policies</t>
  </si>
  <si>
    <t>Total: 1350 Policies</t>
  </si>
  <si>
    <t>Total: 1350 Policies (Backfill for Y Vi)</t>
  </si>
  <si>
    <t>Total: 1350 Policies (Backfill for Tuan)</t>
  </si>
  <si>
    <t>Total: 1088 Policies</t>
  </si>
  <si>
    <t>Total: 1088 Policies (Backfill for Y Vi)</t>
  </si>
  <si>
    <t>Nguyen Thi Anh Thi</t>
  </si>
  <si>
    <t>Total: 1088 Policies (Backfill for Tuan)</t>
  </si>
  <si>
    <t>Total: 1321 Policies</t>
  </si>
  <si>
    <t>Total: 1166 Policies</t>
  </si>
  <si>
    <t>Total: 1273 Policies</t>
  </si>
  <si>
    <t>Total: 1821 Policies</t>
  </si>
  <si>
    <t>Total: 1929 Policies</t>
  </si>
  <si>
    <t>Total: 1831 Policies</t>
  </si>
  <si>
    <t>Total: 1618 Policies</t>
  </si>
  <si>
    <t>Total: 1618 Policies (Backfill for 2 half day off of fulltime due to Company Annual Health Check)</t>
  </si>
  <si>
    <t>Total: 2937 Policies</t>
  </si>
  <si>
    <t>Total: 2937 Policies (Backfill for 2 half day off of fulltime due to Company Annual Health Check)</t>
  </si>
  <si>
    <t>Do Thi Hue</t>
  </si>
  <si>
    <t>Total: 2937 Policies (Backfill for fulltime staffs and partime who was unable to work Overtime)</t>
  </si>
  <si>
    <t>Trinh Kim Toan</t>
  </si>
  <si>
    <t>Mai Thi Quynh Huong</t>
  </si>
  <si>
    <t>Tran Tan Thinh</t>
  </si>
  <si>
    <t>Total: 2696 Policies</t>
  </si>
  <si>
    <t>Total: 2778 Policies</t>
  </si>
  <si>
    <t>Total: 2713 Policies</t>
  </si>
  <si>
    <t>Total: 2666 Policies</t>
  </si>
  <si>
    <t>Total: 2915 Policies ( 20190704_1437: Total Pol Policies,)</t>
  </si>
  <si>
    <t>Total: 1049 Policies</t>
  </si>
  <si>
    <t>Total: 808 Policies</t>
  </si>
  <si>
    <t>Total: 867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</si>
</sst>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[$-409]d\-mmm\-yy;@"/>
    <numFmt numFmtId="165" formatCode="_(* #,##0_);_(* \(#,##0\);_(* &quot;-&quot;??_);_(@_)"/>
    <numFmt numFmtId="166" formatCode="h:mm;@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新細明體"/>
      <charset val="136"/>
    </font>
    <font>
      <b/>
      <u/>
      <sz val="18"/>
      <name val="Xerox Sans"/>
      <family val="3"/>
    </font>
    <font>
      <b/>
      <sz val="14"/>
      <name val="Xerox Sans"/>
      <family val="3"/>
    </font>
    <font>
      <sz val="12"/>
      <name val="Xerox Sans"/>
      <family val="3"/>
    </font>
    <font>
      <sz val="11"/>
      <name val="Xerox Sans"/>
      <family val="3"/>
    </font>
    <font>
      <sz val="13"/>
      <name val="Times New Roman"/>
      <family val="1"/>
    </font>
    <font>
      <sz val="10"/>
      <name val="Xerox Sans"/>
      <family val="3"/>
    </font>
    <font>
      <sz val="10"/>
      <name val="Xerox Sans"/>
    </font>
    <font>
      <sz val="13"/>
      <color theme="1"/>
      <name val="Times New Roman"/>
      <family val="1"/>
    </font>
    <font>
      <sz val="9"/>
      <name val="Xerox Sans"/>
      <family val="3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0"/>
      <color indexed="9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2"/>
      <color theme="0"/>
      <name val="新細明體"/>
      <charset val="136"/>
    </font>
    <font>
      <b/>
      <u/>
      <sz val="12"/>
      <name val="Xerox Sans"/>
      <family val="3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indexed="31"/>
        <bgColor indexed="64"/>
      </patternFill>
    </fill>
    <fill>
      <patternFill patternType="gray06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16" fillId="7" borderId="15" applyNumberFormat="0" applyFont="0" applyBorder="0" applyAlignment="0" applyProtection="0">
      <alignment horizontal="left"/>
    </xf>
    <xf numFmtId="0" fontId="17" fillId="0" borderId="1" applyNumberFormat="0">
      <alignment horizontal="center" vertical="center"/>
    </xf>
    <xf numFmtId="43" fontId="1" fillId="0" borderId="0" applyFont="0" applyFill="0" applyBorder="0" applyAlignment="0" applyProtection="0"/>
    <xf numFmtId="0" fontId="17" fillId="8" borderId="1" applyNumberFormat="0" applyFont="0" applyBorder="0" applyAlignment="0" applyProtection="0"/>
    <xf numFmtId="0" fontId="17" fillId="0" borderId="1" applyNumberFormat="0" applyFont="0" applyBorder="0" applyAlignment="0" applyProtection="0"/>
    <xf numFmtId="0" fontId="17" fillId="0" borderId="1" applyNumberFormat="0" applyFont="0" applyBorder="0" applyAlignment="0" applyProtection="0">
      <alignment horizontal="center"/>
    </xf>
    <xf numFmtId="0" fontId="18" fillId="9" borderId="16" applyFont="0" applyBorder="0">
      <alignment horizontal="left" vertical="center"/>
    </xf>
    <xf numFmtId="0" fontId="17" fillId="0" borderId="16" applyFont="0" applyBorder="0" applyAlignment="0">
      <alignment horizontal="left" vertical="center"/>
    </xf>
    <xf numFmtId="0" fontId="17" fillId="10" borderId="11" applyNumberFormat="0" applyFont="0" applyBorder="0" applyAlignment="0" applyProtection="0"/>
    <xf numFmtId="0" fontId="17" fillId="11" borderId="1" applyNumberFormat="0" applyFont="0" applyBorder="0" applyAlignment="0" applyProtection="0">
      <alignment horizontal="center"/>
    </xf>
  </cellStyleXfs>
  <cellXfs count="107">
    <xf numFmtId="0" fontId="0" fillId="0" borderId="0" xfId="0"/>
    <xf numFmtId="0" fontId="4" fillId="0" borderId="0" xfId="2" applyFont="1" applyAlignment="1">
      <alignment horizontal="center"/>
    </xf>
    <xf numFmtId="0" fontId="2" fillId="0" borderId="0" xfId="2" applyAlignment="1">
      <alignment horizontal="center"/>
    </xf>
    <xf numFmtId="0" fontId="5" fillId="0" borderId="0" xfId="2" applyFont="1" applyAlignment="1">
      <alignment vertical="center"/>
    </xf>
    <xf numFmtId="0" fontId="5" fillId="0" borderId="2" xfId="2" applyFont="1" applyBorder="1" applyAlignment="1">
      <alignment vertical="center"/>
    </xf>
    <xf numFmtId="0" fontId="2" fillId="0" borderId="0" xfId="2" applyAlignment="1">
      <alignment vertical="center"/>
    </xf>
    <xf numFmtId="0" fontId="6" fillId="0" borderId="0" xfId="2" applyFont="1" applyAlignment="1">
      <alignment horizontal="center" wrapText="1"/>
    </xf>
    <xf numFmtId="43" fontId="7" fillId="0" borderId="1" xfId="1" applyFont="1" applyBorder="1" applyAlignment="1">
      <alignment horizontal="center"/>
    </xf>
    <xf numFmtId="2" fontId="7" fillId="0" borderId="1" xfId="2" applyNumberFormat="1" applyFont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5" fillId="0" borderId="8" xfId="2" applyFont="1" applyBorder="1" applyAlignment="1">
      <alignment horizontal="left" vertical="center"/>
    </xf>
    <xf numFmtId="20" fontId="5" fillId="0" borderId="1" xfId="2" applyNumberFormat="1" applyFont="1" applyBorder="1" applyAlignment="1">
      <alignment horizontal="center" vertical="center"/>
    </xf>
    <xf numFmtId="2" fontId="5" fillId="0" borderId="1" xfId="2" applyNumberFormat="1" applyFont="1" applyBorder="1" applyAlignment="1">
      <alignment horizontal="center" vertical="center" wrapText="1"/>
    </xf>
    <xf numFmtId="0" fontId="5" fillId="0" borderId="9" xfId="2" applyFont="1" applyBorder="1" applyAlignment="1">
      <alignment horizontal="left" vertical="center"/>
    </xf>
    <xf numFmtId="0" fontId="5" fillId="0" borderId="10" xfId="2" applyFont="1" applyBorder="1" applyAlignment="1">
      <alignment horizontal="left" vertical="center"/>
    </xf>
    <xf numFmtId="0" fontId="8" fillId="0" borderId="11" xfId="2" applyFont="1" applyBorder="1" applyAlignment="1">
      <alignment horizontal="center" vertical="center" wrapText="1"/>
    </xf>
    <xf numFmtId="0" fontId="8" fillId="0" borderId="0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 wrapText="1"/>
    </xf>
    <xf numFmtId="0" fontId="2" fillId="0" borderId="1" xfId="2" applyBorder="1" applyAlignment="1">
      <alignment horizontal="center"/>
    </xf>
    <xf numFmtId="0" fontId="0" fillId="2" borderId="0" xfId="0" applyFill="1"/>
    <xf numFmtId="0" fontId="6" fillId="0" borderId="0" xfId="2" applyFont="1" applyBorder="1" applyAlignment="1">
      <alignment horizontal="center" vertical="center"/>
    </xf>
    <xf numFmtId="2" fontId="5" fillId="0" borderId="13" xfId="2" applyNumberFormat="1" applyFont="1" applyBorder="1" applyAlignment="1">
      <alignment horizontal="center" vertical="center"/>
    </xf>
    <xf numFmtId="2" fontId="6" fillId="0" borderId="0" xfId="2" applyNumberFormat="1" applyFont="1" applyAlignment="1">
      <alignment horizontal="center" vertical="center"/>
    </xf>
    <xf numFmtId="2" fontId="0" fillId="0" borderId="0" xfId="0" applyNumberForma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2" xfId="2" applyFont="1" applyBorder="1" applyAlignment="1">
      <alignment vertical="center"/>
    </xf>
    <xf numFmtId="0" fontId="6" fillId="0" borderId="2" xfId="2" applyFont="1" applyBorder="1" applyAlignment="1">
      <alignment vertical="center"/>
    </xf>
    <xf numFmtId="0" fontId="11" fillId="0" borderId="0" xfId="2" applyFont="1" applyAlignment="1">
      <alignment vertical="center"/>
    </xf>
    <xf numFmtId="0" fontId="6" fillId="0" borderId="0" xfId="2" applyFont="1" applyAlignment="1">
      <alignment horizontal="right" vertical="center"/>
    </xf>
    <xf numFmtId="165" fontId="0" fillId="0" borderId="0" xfId="0" applyNumberFormat="1" applyAlignment="1">
      <alignment horizontal="center"/>
    </xf>
    <xf numFmtId="0" fontId="12" fillId="0" borderId="0" xfId="0" applyFont="1"/>
    <xf numFmtId="0" fontId="12" fillId="0" borderId="0" xfId="0" quotePrefix="1" applyFont="1"/>
    <xf numFmtId="0" fontId="12" fillId="0" borderId="1" xfId="0" applyFont="1" applyBorder="1" applyAlignment="1">
      <alignment horizontal="right"/>
    </xf>
    <xf numFmtId="1" fontId="12" fillId="0" borderId="1" xfId="0" applyNumberFormat="1" applyFont="1" applyBorder="1" applyAlignment="1">
      <alignment horizontal="left"/>
    </xf>
    <xf numFmtId="49" fontId="12" fillId="2" borderId="1" xfId="0" quotePrefix="1" applyNumberFormat="1" applyFont="1" applyFill="1" applyBorder="1"/>
    <xf numFmtId="0" fontId="12" fillId="0" borderId="1" xfId="0" applyFont="1" applyBorder="1"/>
    <xf numFmtId="0" fontId="12" fillId="0" borderId="14" xfId="0" applyFont="1" applyBorder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0" borderId="8" xfId="0" applyFont="1" applyBorder="1"/>
    <xf numFmtId="0" fontId="12" fillId="0" borderId="1" xfId="0" applyFont="1" applyBorder="1" applyAlignment="1">
      <alignment horizontal="center"/>
    </xf>
    <xf numFmtId="164" fontId="12" fillId="3" borderId="8" xfId="0" applyNumberFormat="1" applyFont="1" applyFill="1" applyBorder="1" applyAlignment="1">
      <alignment horizontal="center"/>
    </xf>
    <xf numFmtId="1" fontId="12" fillId="3" borderId="1" xfId="0" applyNumberFormat="1" applyFont="1" applyFill="1" applyBorder="1" applyAlignment="1">
      <alignment horizontal="center"/>
    </xf>
    <xf numFmtId="0" fontId="13" fillId="4" borderId="1" xfId="0" applyFont="1" applyFill="1" applyBorder="1"/>
    <xf numFmtId="0" fontId="13" fillId="4" borderId="1" xfId="0" applyFont="1" applyFill="1" applyBorder="1" applyAlignment="1">
      <alignment horizontal="center"/>
    </xf>
    <xf numFmtId="43" fontId="13" fillId="0" borderId="1" xfId="1" applyNumberFormat="1" applyFont="1" applyBorder="1" applyAlignment="1">
      <alignment horizontal="center"/>
    </xf>
    <xf numFmtId="0" fontId="12" fillId="4" borderId="8" xfId="0" applyFont="1" applyFill="1" applyBorder="1" applyAlignment="1">
      <alignment horizontal="left"/>
    </xf>
    <xf numFmtId="0" fontId="12" fillId="4" borderId="1" xfId="0" applyFont="1" applyFill="1" applyBorder="1"/>
    <xf numFmtId="2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/>
    </xf>
    <xf numFmtId="43" fontId="12" fillId="0" borderId="0" xfId="0" applyNumberFormat="1" applyFont="1"/>
    <xf numFmtId="2" fontId="12" fillId="0" borderId="1" xfId="0" applyNumberFormat="1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4" fillId="5" borderId="1" xfId="0" applyFont="1" applyFill="1" applyBorder="1" applyAlignment="1">
      <alignment horizontal="left" vertical="center" wrapText="1"/>
    </xf>
    <xf numFmtId="0" fontId="14" fillId="0" borderId="1" xfId="0" applyFont="1" applyFill="1" applyBorder="1"/>
    <xf numFmtId="0" fontId="15" fillId="0" borderId="1" xfId="0" applyFont="1" applyFill="1" applyBorder="1"/>
    <xf numFmtId="14" fontId="15" fillId="6" borderId="1" xfId="0" applyNumberFormat="1" applyFont="1" applyFill="1" applyBorder="1" applyAlignment="1">
      <alignment horizontal="center" vertical="center"/>
    </xf>
    <xf numFmtId="14" fontId="15" fillId="0" borderId="1" xfId="0" applyNumberFormat="1" applyFont="1" applyFill="1" applyBorder="1" applyAlignment="1">
      <alignment horizontal="center" vertical="center"/>
    </xf>
    <xf numFmtId="166" fontId="15" fillId="6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166" fontId="15" fillId="6" borderId="1" xfId="0" applyNumberFormat="1" applyFont="1" applyFill="1" applyBorder="1" applyAlignment="1">
      <alignment horizontal="left" vertical="center"/>
    </xf>
    <xf numFmtId="166" fontId="15" fillId="6" borderId="1" xfId="0" applyNumberFormat="1" applyFont="1" applyFill="1" applyBorder="1" applyAlignment="1">
      <alignment vertical="top"/>
    </xf>
    <xf numFmtId="0" fontId="8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8" fillId="0" borderId="7" xfId="2" applyFont="1" applyBorder="1" applyAlignment="1">
      <alignment horizontal="center" vertical="center" wrapText="1"/>
    </xf>
    <xf numFmtId="0" fontId="6" fillId="0" borderId="2" xfId="2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2" fontId="19" fillId="0" borderId="0" xfId="2" applyNumberFormat="1" applyFont="1" applyAlignment="1">
      <alignment vertical="center"/>
    </xf>
    <xf numFmtId="0" fontId="5" fillId="0" borderId="8" xfId="2" applyFont="1" applyBorder="1" applyAlignment="1">
      <alignment horizontal="center" vertical="center"/>
    </xf>
    <xf numFmtId="14" fontId="5" fillId="0" borderId="8" xfId="2" applyNumberFormat="1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8" fillId="0" borderId="7" xfId="2" applyFont="1" applyBorder="1" applyAlignment="1">
      <alignment horizontal="center" vertical="center" wrapText="1"/>
    </xf>
    <xf numFmtId="0" fontId="15" fillId="6" borderId="1" xfId="0" applyFont="1" applyFill="1" applyBorder="1"/>
    <xf numFmtId="164" fontId="10" fillId="3" borderId="1" xfId="0" applyNumberFormat="1" applyFon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0" fontId="6" fillId="0" borderId="2" xfId="2" applyFont="1" applyBorder="1" applyAlignment="1">
      <alignment horizontal="center" vertical="center"/>
    </xf>
    <xf numFmtId="0" fontId="6" fillId="0" borderId="4" xfId="2" applyFont="1" applyBorder="1" applyAlignment="1">
      <alignment horizontal="left" vertical="center" wrapText="1"/>
    </xf>
    <xf numFmtId="0" fontId="6" fillId="0" borderId="0" xfId="2" applyFont="1" applyAlignment="1">
      <alignment horizontal="left" vertical="center" wrapText="1"/>
    </xf>
    <xf numFmtId="43" fontId="0" fillId="0" borderId="0" xfId="0" applyNumberFormat="1" applyAlignment="1">
      <alignment horizontal="center"/>
    </xf>
    <xf numFmtId="0" fontId="8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 wrapText="1"/>
    </xf>
    <xf numFmtId="0" fontId="8" fillId="0" borderId="1" xfId="2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2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 wrapText="1"/>
    </xf>
    <xf numFmtId="0" fontId="8" fillId="0" borderId="5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8" fillId="0" borderId="2" xfId="2" applyFont="1" applyBorder="1" applyAlignment="1">
      <alignment horizontal="center" vertical="center" wrapText="1"/>
    </xf>
    <xf numFmtId="0" fontId="8" fillId="0" borderId="7" xfId="2" applyFont="1" applyBorder="1" applyAlignment="1">
      <alignment horizontal="center" vertical="center" wrapText="1"/>
    </xf>
    <xf numFmtId="0" fontId="3" fillId="0" borderId="0" xfId="2" applyFont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5" fillId="0" borderId="0" xfId="2" applyFont="1" applyAlignment="1">
      <alignment horizontal="left" vertical="center"/>
    </xf>
    <xf numFmtId="0" fontId="7" fillId="2" borderId="1" xfId="2" applyFont="1" applyFill="1" applyBorder="1" applyAlignment="1">
      <alignment horizontal="center" vertical="center"/>
    </xf>
  </cellXfs>
  <cellStyles count="13">
    <cellStyle name="calc" xfId="3"/>
    <cellStyle name="cell" xfId="4"/>
    <cellStyle name="Comma" xfId="1" builtinId="3"/>
    <cellStyle name="Comma 2" xfId="5"/>
    <cellStyle name="hatched" xfId="6"/>
    <cellStyle name="input 2" xfId="7"/>
    <cellStyle name="no" xfId="8"/>
    <cellStyle name="Normal" xfId="0" builtinId="0"/>
    <cellStyle name="Normal 2" xfId="2"/>
    <cellStyle name="title 2" xfId="9"/>
    <cellStyle name="title2" xfId="10"/>
    <cellStyle name="yellow" xfId="11"/>
    <cellStyle name="yes" xfId="12"/>
  </cellStyles>
  <dxfs count="547"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344021</xdr:colOff>
      <xdr:row>20</xdr:row>
      <xdr:rowOff>145117</xdr:rowOff>
    </xdr:from>
    <xdr:to>
      <xdr:col>9</xdr:col>
      <xdr:colOff>222998</xdr:colOff>
      <xdr:row>23</xdr:row>
      <xdr:rowOff>122257</xdr:rowOff>
    </xdr:to>
    <xdr:sp macro="[0]!PrintAllPD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84727" y="3955117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latin typeface="Times New Roman" panose="02020603050405020304" pitchFamily="18" charset="0"/>
            </a:rPr>
            <a:t>6. Import PDF data</a:t>
          </a:r>
        </a:p>
      </xdr:txBody>
    </xdr:sp>
    <xdr:clientData/>
  </xdr:twoCellAnchor>
  <xdr:twoCellAnchor>
    <xdr:from>
      <xdr:col>6</xdr:col>
      <xdr:colOff>344021</xdr:colOff>
      <xdr:row>16</xdr:row>
      <xdr:rowOff>149263</xdr:rowOff>
    </xdr:from>
    <xdr:to>
      <xdr:col>9</xdr:col>
      <xdr:colOff>222998</xdr:colOff>
      <xdr:row>19</xdr:row>
      <xdr:rowOff>126403</xdr:rowOff>
    </xdr:to>
    <xdr:sp macro="[0]!UpdateMonthlyO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784727" y="3197263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latin typeface="Times New Roman" panose="02020603050405020304" pitchFamily="18" charset="0"/>
            </a:rPr>
            <a:t>5. Update latest Overtime to each sheet</a:t>
          </a:r>
        </a:p>
      </xdr:txBody>
    </xdr:sp>
    <xdr:clientData/>
  </xdr:twoCellAnchor>
  <xdr:twoCellAnchor>
    <xdr:from>
      <xdr:col>6</xdr:col>
      <xdr:colOff>344021</xdr:colOff>
      <xdr:row>12</xdr:row>
      <xdr:rowOff>153409</xdr:rowOff>
    </xdr:from>
    <xdr:to>
      <xdr:col>9</xdr:col>
      <xdr:colOff>222998</xdr:colOff>
      <xdr:row>15</xdr:row>
      <xdr:rowOff>130549</xdr:rowOff>
    </xdr:to>
    <xdr:sp macro="[0]!CreateNewShee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784727" y="2439409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latin typeface="Times New Roman" panose="02020603050405020304" pitchFamily="18" charset="0"/>
            </a:rPr>
            <a:t>4. Create new sheet with updated employee list </a:t>
          </a:r>
        </a:p>
      </xdr:txBody>
    </xdr:sp>
    <xdr:clientData/>
  </xdr:twoCellAnchor>
  <xdr:twoCellAnchor>
    <xdr:from>
      <xdr:col>6</xdr:col>
      <xdr:colOff>344021</xdr:colOff>
      <xdr:row>0</xdr:row>
      <xdr:rowOff>165847</xdr:rowOff>
    </xdr:from>
    <xdr:to>
      <xdr:col>9</xdr:col>
      <xdr:colOff>222998</xdr:colOff>
      <xdr:row>3</xdr:row>
      <xdr:rowOff>142987</xdr:rowOff>
    </xdr:to>
    <xdr:sp macro="[0]!Delete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784727" y="165847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latin typeface="Times New Roman" panose="02020603050405020304" pitchFamily="18" charset="0"/>
            </a:rPr>
            <a:t>1.Delete All Sheets Data</a:t>
          </a:r>
        </a:p>
      </xdr:txBody>
    </xdr:sp>
    <xdr:clientData/>
  </xdr:twoCellAnchor>
  <xdr:twoCellAnchor>
    <xdr:from>
      <xdr:col>6</xdr:col>
      <xdr:colOff>344021</xdr:colOff>
      <xdr:row>8</xdr:row>
      <xdr:rowOff>157555</xdr:rowOff>
    </xdr:from>
    <xdr:to>
      <xdr:col>9</xdr:col>
      <xdr:colOff>222998</xdr:colOff>
      <xdr:row>11</xdr:row>
      <xdr:rowOff>134695</xdr:rowOff>
    </xdr:to>
    <xdr:sp macro="[0]!Employeelis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784727" y="1681555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latin typeface="Times New Roman" panose="02020603050405020304" pitchFamily="18" charset="0"/>
            </a:rPr>
            <a:t>3. Update new employee list </a:t>
          </a:r>
        </a:p>
      </xdr:txBody>
    </xdr:sp>
    <xdr:clientData/>
  </xdr:twoCellAnchor>
  <xdr:twoCellAnchor>
    <xdr:from>
      <xdr:col>6</xdr:col>
      <xdr:colOff>344021</xdr:colOff>
      <xdr:row>4</xdr:row>
      <xdr:rowOff>161701</xdr:rowOff>
    </xdr:from>
    <xdr:to>
      <xdr:col>9</xdr:col>
      <xdr:colOff>222998</xdr:colOff>
      <xdr:row>7</xdr:row>
      <xdr:rowOff>138841</xdr:rowOff>
    </xdr:to>
    <xdr:sp macro="[0]!ImportO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784727" y="923701"/>
          <a:ext cx="1828800" cy="548640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i="0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2. Update Latest Overtime Data</a:t>
          </a:r>
        </a:p>
      </xdr:txBody>
    </xdr:sp>
    <xdr:clientData/>
  </xdr:twoCellAnchor>
  <xdr:twoCellAnchor>
    <xdr:from>
      <xdr:col>10</xdr:col>
      <xdr:colOff>220755</xdr:colOff>
      <xdr:row>0</xdr:row>
      <xdr:rowOff>165287</xdr:rowOff>
    </xdr:from>
    <xdr:to>
      <xdr:col>13</xdr:col>
      <xdr:colOff>99732</xdr:colOff>
      <xdr:row>3</xdr:row>
      <xdr:rowOff>142427</xdr:rowOff>
    </xdr:to>
    <xdr:sp macro="[0]!ImplementAllStep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261226" y="165287"/>
          <a:ext cx="1828800" cy="548640"/>
        </a:xfrm>
        <a:prstGeom prst="rect">
          <a:avLst/>
        </a:prstGeom>
        <a:solidFill>
          <a:schemeClr val="accent2"/>
        </a:solidFill>
        <a:ln>
          <a:solidFill>
            <a:schemeClr val="accent2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imes New Roman" panose="02020603050405020304" pitchFamily="18" charset="0"/>
            </a:rPr>
            <a:t>7. Implement all steps at a time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81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156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156</v>
      </c>
      <c r="R5" s="5"/>
      <c r="S5" s="5"/>
    </row>
    <row r="6" spans="1:20" ht="16.5">
      <c r="O6" s="106" t="s">
        <v>8</v>
      </c>
      <c r="P6" s="106"/>
      <c r="Q6" s="8">
        <f>O38</f>
        <v>156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43627</v>
      </c>
      <c r="B9" s="72" t="s">
        <v>24</v>
      </c>
      <c r="C9" s="11">
        <v>0.35416666666666669</v>
      </c>
      <c r="D9" s="11">
        <v>0.72916666666666663</v>
      </c>
      <c r="E9" s="12">
        <v>7.9999999999999982</v>
      </c>
      <c r="F9" s="10" t="s">
        <v>20</v>
      </c>
      <c r="G9" s="10" t="str">
        <f>IF(LEFT(P9,7)=$T$1,LEFT(P9,46),IF(LEFT(P9,6)=$T$2,$T$3,LEFT(P9,20)))</f>
        <v>Total: 991 Policies</v>
      </c>
      <c r="H9" s="13"/>
      <c r="I9" s="13"/>
      <c r="J9" s="14"/>
      <c r="K9" s="15"/>
      <c r="L9" s="16"/>
      <c r="M9" s="17"/>
      <c r="O9" s="18">
        <f>IF(B9="sun",E9*2,E9)</f>
        <v>7.9999999999999982</v>
      </c>
      <c r="P9" s="19" t="s">
        <v>92</v>
      </c>
      <c r="Q9"/>
      <c r="R9"/>
      <c r="S9"/>
      <c r="T9"/>
    </row>
    <row r="10" spans="1:20" ht="16.5">
      <c r="A10" s="73">
        <v>43629</v>
      </c>
      <c r="B10" s="72" t="s">
        <v>21</v>
      </c>
      <c r="C10" s="11">
        <v>0.35416666666666669</v>
      </c>
      <c r="D10" s="11">
        <v>0.72916666666666663</v>
      </c>
      <c r="E10" s="12">
        <v>7.9999999999999982</v>
      </c>
      <c r="F10" s="10" t="s">
        <v>20</v>
      </c>
      <c r="G10" s="10" t="str">
        <f t="shared" ref="G10:G37" si="0">IF(LEFT(P10,7)=$T$1,LEFT(P10,46),IF(LEFT(P10,6)=$T$2,$T$3,LEFT(P10,20)))</f>
        <v>Total: 1350 Policies</v>
      </c>
      <c r="H10" s="13"/>
      <c r="I10" s="13"/>
      <c r="J10" s="14"/>
      <c r="K10" s="15"/>
      <c r="L10" s="16"/>
      <c r="M10" s="17"/>
      <c r="O10" s="18">
        <f t="shared" ref="O10:O37" si="1">IF(B10="sun",E10*2,E10)</f>
        <v>7.9999999999999982</v>
      </c>
      <c r="P10" t="s">
        <v>93</v>
      </c>
      <c r="Q10"/>
      <c r="R10"/>
      <c r="S10"/>
      <c r="T10"/>
    </row>
    <row r="11" spans="1:20" ht="16.5">
      <c r="A11" s="73">
        <v>43630</v>
      </c>
      <c r="B11" s="72" t="s">
        <v>22</v>
      </c>
      <c r="C11" s="11">
        <v>0.35416666666666669</v>
      </c>
      <c r="D11" s="11">
        <v>0.72916666666666663</v>
      </c>
      <c r="E11" s="12">
        <v>7.9999999999999982</v>
      </c>
      <c r="F11" s="10" t="s">
        <v>20</v>
      </c>
      <c r="G11" s="10" t="str">
        <f t="shared" si="0"/>
        <v>Total: 1088 Policies</v>
      </c>
      <c r="H11" s="13"/>
      <c r="I11" s="13"/>
      <c r="J11" s="14"/>
      <c r="K11" s="15"/>
      <c r="L11" s="16"/>
      <c r="M11" s="17"/>
      <c r="O11" s="18">
        <f t="shared" si="1"/>
        <v>7.9999999999999982</v>
      </c>
      <c r="P11" t="s">
        <v>96</v>
      </c>
      <c r="Q11"/>
      <c r="R11"/>
      <c r="S11"/>
      <c r="T11"/>
    </row>
    <row r="12" spans="1:20" ht="16.5">
      <c r="A12" s="73">
        <v>43635</v>
      </c>
      <c r="B12" s="72" t="s">
        <v>82</v>
      </c>
      <c r="C12" s="11">
        <v>0.35416666666666669</v>
      </c>
      <c r="D12" s="11">
        <v>0.72916666666666663</v>
      </c>
      <c r="E12" s="12">
        <v>7.9999999999999982</v>
      </c>
      <c r="F12" s="10" t="s">
        <v>20</v>
      </c>
      <c r="G12" s="10" t="str">
        <f t="shared" si="0"/>
        <v>Total: 1321 Policies</v>
      </c>
      <c r="H12" s="13"/>
      <c r="I12" s="13"/>
      <c r="J12" s="14"/>
      <c r="K12" s="15"/>
      <c r="L12" s="16"/>
      <c r="M12" s="17"/>
      <c r="O12" s="18">
        <f t="shared" si="1"/>
        <v>7.9999999999999982</v>
      </c>
      <c r="P12" t="s">
        <v>100</v>
      </c>
      <c r="Q12"/>
      <c r="R12"/>
      <c r="S12"/>
      <c r="T12"/>
    </row>
    <row r="13" spans="1:20" ht="16.5">
      <c r="A13" s="73">
        <v>43636</v>
      </c>
      <c r="B13" s="72" t="s">
        <v>21</v>
      </c>
      <c r="C13" s="11">
        <v>0.35416666666666669</v>
      </c>
      <c r="D13" s="11">
        <v>0.72916666666666663</v>
      </c>
      <c r="E13" s="12">
        <v>7.9999999999999982</v>
      </c>
      <c r="F13" s="10" t="s">
        <v>20</v>
      </c>
      <c r="G13" s="10" t="str">
        <f t="shared" si="0"/>
        <v>Total: 1166 Policies</v>
      </c>
      <c r="H13" s="13"/>
      <c r="I13" s="13"/>
      <c r="J13" s="14"/>
      <c r="K13" s="15"/>
      <c r="L13" s="16"/>
      <c r="M13" s="17"/>
      <c r="O13" s="18">
        <f t="shared" si="1"/>
        <v>7.9999999999999982</v>
      </c>
      <c r="P13" t="s">
        <v>101</v>
      </c>
      <c r="Q13"/>
      <c r="R13"/>
      <c r="S13"/>
      <c r="T13"/>
    </row>
    <row r="14" spans="1:20" ht="16.5">
      <c r="A14" s="73">
        <v>43637</v>
      </c>
      <c r="B14" s="72" t="s">
        <v>22</v>
      </c>
      <c r="C14" s="11">
        <v>0.35416666666666669</v>
      </c>
      <c r="D14" s="11">
        <v>0.72916666666666663</v>
      </c>
      <c r="E14" s="12">
        <v>7.9999999999999982</v>
      </c>
      <c r="F14" s="10" t="s">
        <v>20</v>
      </c>
      <c r="G14" s="10" t="str">
        <f t="shared" si="0"/>
        <v>Total: 1273 Policies</v>
      </c>
      <c r="H14" s="13"/>
      <c r="I14" s="13"/>
      <c r="J14" s="14"/>
      <c r="K14" s="15"/>
      <c r="L14" s="16"/>
      <c r="M14" s="17"/>
      <c r="O14" s="18">
        <f t="shared" si="1"/>
        <v>7.9999999999999982</v>
      </c>
      <c r="P14" t="s">
        <v>102</v>
      </c>
      <c r="Q14"/>
      <c r="R14"/>
      <c r="S14"/>
      <c r="T14"/>
    </row>
    <row r="15" spans="1:20" ht="16.5">
      <c r="A15" s="73">
        <v>43642</v>
      </c>
      <c r="B15" s="72" t="s">
        <v>82</v>
      </c>
      <c r="C15" s="11">
        <v>0.35416666666666669</v>
      </c>
      <c r="D15" s="11">
        <v>0.72916666666666663</v>
      </c>
      <c r="E15" s="12">
        <v>7.9999999999999982</v>
      </c>
      <c r="F15" s="10" t="s">
        <v>20</v>
      </c>
      <c r="G15" s="10" t="str">
        <f t="shared" si="0"/>
        <v>Total: 1831 Policies</v>
      </c>
      <c r="H15" s="13"/>
      <c r="I15" s="13"/>
      <c r="J15" s="14"/>
      <c r="K15" s="15"/>
      <c r="L15" s="16"/>
      <c r="M15" s="17"/>
      <c r="O15" s="18">
        <f t="shared" si="1"/>
        <v>7.9999999999999982</v>
      </c>
      <c r="P15" t="s">
        <v>105</v>
      </c>
      <c r="Q15"/>
      <c r="R15"/>
      <c r="S15"/>
      <c r="T15"/>
    </row>
    <row r="16" spans="1:20" ht="16.5">
      <c r="A16" s="73">
        <v>43643</v>
      </c>
      <c r="B16" s="72" t="s">
        <v>21</v>
      </c>
      <c r="C16" s="11">
        <v>0.35416666666666669</v>
      </c>
      <c r="D16" s="11">
        <v>0.72916666666666663</v>
      </c>
      <c r="E16" s="12">
        <v>7.9999999999999982</v>
      </c>
      <c r="F16" s="10" t="s">
        <v>20</v>
      </c>
      <c r="G16" s="10" t="str">
        <f t="shared" si="0"/>
        <v>Total: 1618 Policies</v>
      </c>
      <c r="H16" s="13"/>
      <c r="I16" s="13"/>
      <c r="J16" s="14"/>
      <c r="K16" s="15"/>
      <c r="L16" s="16"/>
      <c r="M16" s="17"/>
      <c r="O16" s="18">
        <f t="shared" si="1"/>
        <v>7.9999999999999982</v>
      </c>
      <c r="P16" t="s">
        <v>106</v>
      </c>
      <c r="Q16"/>
      <c r="R16"/>
      <c r="S16"/>
      <c r="T16"/>
    </row>
    <row r="17" spans="1:20" ht="16.5">
      <c r="A17" s="73">
        <v>43644</v>
      </c>
      <c r="B17" s="72" t="s">
        <v>22</v>
      </c>
      <c r="C17" s="11">
        <v>0.35416666666666669</v>
      </c>
      <c r="D17" s="11">
        <v>0.72916666666666663</v>
      </c>
      <c r="E17" s="12">
        <v>7.9999999999999982</v>
      </c>
      <c r="F17" s="10" t="s">
        <v>20</v>
      </c>
      <c r="G17" s="10" t="str">
        <f t="shared" si="0"/>
        <v>Total: 2937 Policies</v>
      </c>
      <c r="H17" s="13"/>
      <c r="I17" s="13"/>
      <c r="J17" s="14"/>
      <c r="K17" s="15"/>
      <c r="L17" s="16"/>
      <c r="M17" s="17"/>
      <c r="O17" s="18">
        <f t="shared" si="1"/>
        <v>7.9999999999999982</v>
      </c>
      <c r="P17" t="s">
        <v>108</v>
      </c>
      <c r="Q17"/>
      <c r="R17"/>
      <c r="S17"/>
      <c r="T17"/>
    </row>
    <row r="18" spans="1:20" ht="16.5">
      <c r="A18" s="73">
        <v>43647</v>
      </c>
      <c r="B18" s="72" t="s">
        <v>23</v>
      </c>
      <c r="C18" s="11">
        <v>0.35416666666666669</v>
      </c>
      <c r="D18" s="11">
        <v>0.89583333333333337</v>
      </c>
      <c r="E18" s="12">
        <v>12.000000000000002</v>
      </c>
      <c r="F18" s="10" t="s">
        <v>20</v>
      </c>
      <c r="G18" s="10" t="str">
        <f t="shared" si="0"/>
        <v>Total: 2696 Policies</v>
      </c>
      <c r="H18" s="13"/>
      <c r="I18" s="13"/>
      <c r="J18" s="14"/>
      <c r="K18" s="15"/>
      <c r="L18" s="16"/>
      <c r="M18" s="17"/>
      <c r="O18" s="18">
        <f t="shared" si="1"/>
        <v>12.000000000000002</v>
      </c>
      <c r="P18" t="s">
        <v>115</v>
      </c>
      <c r="Q18"/>
      <c r="R18"/>
      <c r="S18"/>
      <c r="T18"/>
    </row>
    <row r="19" spans="1:20" ht="16.5">
      <c r="A19" s="73">
        <v>43648</v>
      </c>
      <c r="B19" s="72" t="s">
        <v>24</v>
      </c>
      <c r="C19" s="11">
        <v>0.35416666666666669</v>
      </c>
      <c r="D19" s="11">
        <v>0.89583333333333337</v>
      </c>
      <c r="E19" s="12">
        <v>12.000000000000002</v>
      </c>
      <c r="F19" s="10" t="s">
        <v>20</v>
      </c>
      <c r="G19" s="10" t="str">
        <f t="shared" si="0"/>
        <v>Total: 2778 Policies</v>
      </c>
      <c r="H19" s="13"/>
      <c r="I19" s="13"/>
      <c r="J19" s="14"/>
      <c r="K19" s="15"/>
      <c r="L19" s="16"/>
      <c r="M19" s="17"/>
      <c r="O19" s="18">
        <f t="shared" si="1"/>
        <v>12.000000000000002</v>
      </c>
      <c r="P19" t="s">
        <v>116</v>
      </c>
      <c r="Q19"/>
      <c r="R19"/>
      <c r="S19"/>
      <c r="T19"/>
    </row>
    <row r="20" spans="1:20" ht="16.5">
      <c r="A20" s="73">
        <v>43649</v>
      </c>
      <c r="B20" s="72" t="s">
        <v>82</v>
      </c>
      <c r="C20" s="11">
        <v>0.35416666666666669</v>
      </c>
      <c r="D20" s="11">
        <v>0.89583333333333337</v>
      </c>
      <c r="E20" s="12">
        <v>12.000000000000002</v>
      </c>
      <c r="F20" s="10" t="s">
        <v>20</v>
      </c>
      <c r="G20" s="10" t="str">
        <f t="shared" si="0"/>
        <v>Total: 2713 Policies</v>
      </c>
      <c r="H20" s="13"/>
      <c r="I20" s="13"/>
      <c r="J20" s="14"/>
      <c r="K20" s="15"/>
      <c r="L20" s="16"/>
      <c r="M20" s="17"/>
      <c r="O20" s="18">
        <f t="shared" si="1"/>
        <v>12.000000000000002</v>
      </c>
      <c r="P20" t="s">
        <v>117</v>
      </c>
      <c r="Q20"/>
      <c r="R20"/>
      <c r="S20"/>
      <c r="T20"/>
    </row>
    <row r="21" spans="1:20" ht="16.5">
      <c r="A21" s="73">
        <v>43650</v>
      </c>
      <c r="B21" s="72" t="s">
        <v>21</v>
      </c>
      <c r="C21" s="11">
        <v>0.35416666666666669</v>
      </c>
      <c r="D21" s="11">
        <v>0.89583333333333337</v>
      </c>
      <c r="E21" s="12">
        <v>12.000000000000002</v>
      </c>
      <c r="F21" s="10" t="s">
        <v>20</v>
      </c>
      <c r="G21" s="10" t="str">
        <f t="shared" si="0"/>
        <v>Total: 2666 Policies</v>
      </c>
      <c r="H21" s="13"/>
      <c r="I21" s="13"/>
      <c r="J21" s="14"/>
      <c r="K21" s="15"/>
      <c r="L21" s="16"/>
      <c r="M21" s="17"/>
      <c r="O21" s="18">
        <f t="shared" si="1"/>
        <v>12.000000000000002</v>
      </c>
      <c r="P21" t="s">
        <v>118</v>
      </c>
      <c r="Q21"/>
      <c r="R21"/>
      <c r="S21"/>
      <c r="T21"/>
    </row>
    <row r="22" spans="1:20" ht="16.5">
      <c r="A22" s="73">
        <v>43651</v>
      </c>
      <c r="B22" s="72" t="s">
        <v>22</v>
      </c>
      <c r="C22" s="11">
        <v>0.35416666666666669</v>
      </c>
      <c r="D22" s="11">
        <v>0.89583333333333337</v>
      </c>
      <c r="E22" s="12">
        <v>12.000000000000002</v>
      </c>
      <c r="F22" s="10" t="s">
        <v>20</v>
      </c>
      <c r="G22" s="10" t="str">
        <f t="shared" si="0"/>
        <v>Total: 2915 Policies</v>
      </c>
      <c r="H22" s="13"/>
      <c r="I22" s="13"/>
      <c r="J22" s="14"/>
      <c r="K22" s="15"/>
      <c r="L22" s="16"/>
      <c r="M22" s="17"/>
      <c r="O22" s="18">
        <f t="shared" si="1"/>
        <v>12.000000000000002</v>
      </c>
      <c r="P22" t="s">
        <v>119</v>
      </c>
      <c r="Q22"/>
      <c r="R22"/>
      <c r="S22"/>
      <c r="T22"/>
    </row>
    <row r="23" spans="1:20" ht="16.5">
      <c r="A23" s="73">
        <v>43654</v>
      </c>
      <c r="B23" s="72" t="s">
        <v>23</v>
      </c>
      <c r="C23" s="11">
        <v>0.35416666666666669</v>
      </c>
      <c r="D23" s="11">
        <v>0.72916666666666663</v>
      </c>
      <c r="E23" s="12">
        <v>7.9999999999999982</v>
      </c>
      <c r="F23" s="10" t="s">
        <v>20</v>
      </c>
      <c r="G23" s="10" t="str">
        <f t="shared" si="0"/>
        <v>Total: 1049 Policies</v>
      </c>
      <c r="H23" s="13"/>
      <c r="I23" s="13"/>
      <c r="J23" s="14"/>
      <c r="K23" s="15"/>
      <c r="L23" s="16"/>
      <c r="M23" s="17"/>
      <c r="O23" s="18">
        <f t="shared" si="1"/>
        <v>7.9999999999999982</v>
      </c>
      <c r="P23" t="s">
        <v>120</v>
      </c>
      <c r="Q23"/>
      <c r="R23"/>
      <c r="S23"/>
      <c r="T23"/>
    </row>
    <row r="24" spans="1:20" ht="16.5">
      <c r="A24" s="73">
        <v>43655</v>
      </c>
      <c r="B24" s="72" t="s">
        <v>24</v>
      </c>
      <c r="C24" s="11">
        <v>0.35416666666666669</v>
      </c>
      <c r="D24" s="11">
        <v>0.72916666666666663</v>
      </c>
      <c r="E24" s="12">
        <v>7.9999999999999982</v>
      </c>
      <c r="F24" s="10" t="s">
        <v>20</v>
      </c>
      <c r="G24" s="10" t="str">
        <f t="shared" si="0"/>
        <v>Total: 808 Policies</v>
      </c>
      <c r="H24" s="13"/>
      <c r="I24" s="13"/>
      <c r="J24" s="14"/>
      <c r="K24" s="15"/>
      <c r="L24" s="16"/>
      <c r="M24" s="17"/>
      <c r="O24" s="18">
        <f t="shared" si="1"/>
        <v>7.9999999999999982</v>
      </c>
      <c r="P24" t="s">
        <v>121</v>
      </c>
      <c r="Q24"/>
      <c r="R24"/>
      <c r="S24"/>
      <c r="T24"/>
    </row>
    <row r="25" spans="1:20" ht="16.5">
      <c r="A25" s="73">
        <v>43656</v>
      </c>
      <c r="B25" s="72" t="s">
        <v>82</v>
      </c>
      <c r="C25" s="11">
        <v>0.35416666666666669</v>
      </c>
      <c r="D25" s="11">
        <v>0.72916666666666663</v>
      </c>
      <c r="E25" s="12">
        <v>7.9999999999999982</v>
      </c>
      <c r="F25" s="10" t="s">
        <v>20</v>
      </c>
      <c r="G25" s="10" t="str">
        <f t="shared" si="0"/>
        <v>Total: 867 Policies</v>
      </c>
      <c r="H25" s="13"/>
      <c r="I25" s="13"/>
      <c r="J25" s="14"/>
      <c r="K25" s="15"/>
      <c r="L25" s="16"/>
      <c r="M25" s="17"/>
      <c r="O25" s="18">
        <f t="shared" si="1"/>
        <v>7.9999999999999982</v>
      </c>
      <c r="P25" t="s">
        <v>122</v>
      </c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156</v>
      </c>
      <c r="F38" s="3"/>
      <c r="G38" s="3"/>
      <c r="H38" s="3"/>
      <c r="I38" s="3"/>
      <c r="J38" s="3"/>
      <c r="O38" s="21">
        <f>SUM(O9:O37)</f>
        <v>156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5460000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74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66.5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66.5</v>
      </c>
      <c r="R5" s="5"/>
      <c r="S5" s="5"/>
    </row>
    <row r="6" spans="1:20" ht="16.5">
      <c r="O6" s="106" t="s">
        <v>8</v>
      </c>
      <c r="P6" s="106"/>
      <c r="Q6" s="8">
        <f>O38</f>
        <v>66.5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43629</v>
      </c>
      <c r="B9" s="72" t="s">
        <v>21</v>
      </c>
      <c r="C9" s="11">
        <v>0.35416666666666669</v>
      </c>
      <c r="D9" s="11">
        <v>0.72916666666666663</v>
      </c>
      <c r="E9" s="12">
        <v>7.9999999999999982</v>
      </c>
      <c r="F9" s="10" t="s">
        <v>20</v>
      </c>
      <c r="G9" s="10" t="str">
        <f>IF(LEFT(P9,7)=$T$1,LEFT(P9,46),IF(LEFT(P9,6)=$T$2,$T$3,LEFT(P9,20)))</f>
        <v>Total: 1350 Policies</v>
      </c>
      <c r="H9" s="13"/>
      <c r="I9" s="13"/>
      <c r="J9" s="14"/>
      <c r="K9" s="15"/>
      <c r="L9" s="16"/>
      <c r="M9" s="17"/>
      <c r="O9" s="18">
        <f>IF(B9="sun",E9*2,E9)</f>
        <v>7.9999999999999982</v>
      </c>
      <c r="P9" s="19" t="s">
        <v>94</v>
      </c>
      <c r="Q9"/>
      <c r="R9"/>
      <c r="S9"/>
      <c r="T9"/>
    </row>
    <row r="10" spans="1:20" ht="16.5">
      <c r="A10" s="73">
        <v>43630</v>
      </c>
      <c r="B10" s="72" t="s">
        <v>22</v>
      </c>
      <c r="C10" s="11">
        <v>0.35416666666666669</v>
      </c>
      <c r="D10" s="11">
        <v>0.72916666666666663</v>
      </c>
      <c r="E10" s="12">
        <v>7.9999999999999982</v>
      </c>
      <c r="F10" s="10" t="s">
        <v>20</v>
      </c>
      <c r="G10" s="10" t="str">
        <f t="shared" ref="G10:G37" si="0">IF(LEFT(P10,7)=$T$1,LEFT(P10,46),IF(LEFT(P10,6)=$T$2,$T$3,LEFT(P10,20)))</f>
        <v>Total: 1088 Policies</v>
      </c>
      <c r="H10" s="13"/>
      <c r="I10" s="13"/>
      <c r="J10" s="14"/>
      <c r="K10" s="15"/>
      <c r="L10" s="16"/>
      <c r="M10" s="17"/>
      <c r="O10" s="18">
        <f t="shared" ref="O10:O37" si="1">IF(B10="sun",E10*2,E10)</f>
        <v>7.9999999999999982</v>
      </c>
      <c r="P10" t="s">
        <v>97</v>
      </c>
      <c r="Q10"/>
      <c r="R10"/>
      <c r="S10"/>
      <c r="T10"/>
    </row>
    <row r="11" spans="1:20" ht="16.5">
      <c r="A11" s="73">
        <v>43637</v>
      </c>
      <c r="B11" s="72" t="s">
        <v>22</v>
      </c>
      <c r="C11" s="11">
        <v>0.375</v>
      </c>
      <c r="D11" s="11">
        <v>0.66666666666666663</v>
      </c>
      <c r="E11" s="12">
        <v>5.9999999999999991</v>
      </c>
      <c r="F11" s="10" t="s">
        <v>20</v>
      </c>
      <c r="G11" s="10" t="str">
        <f t="shared" si="0"/>
        <v>Total: 1273 Policies</v>
      </c>
      <c r="H11" s="13"/>
      <c r="I11" s="13"/>
      <c r="J11" s="14"/>
      <c r="K11" s="15"/>
      <c r="L11" s="16"/>
      <c r="M11" s="17"/>
      <c r="O11" s="18">
        <f t="shared" si="1"/>
        <v>5.9999999999999991</v>
      </c>
      <c r="P11" t="s">
        <v>102</v>
      </c>
      <c r="Q11"/>
      <c r="R11"/>
      <c r="S11"/>
      <c r="T11"/>
    </row>
    <row r="12" spans="1:20" ht="16.5">
      <c r="A12" s="73">
        <v>43640</v>
      </c>
      <c r="B12" s="72" t="s">
        <v>23</v>
      </c>
      <c r="C12" s="11">
        <v>0.35416666666666669</v>
      </c>
      <c r="D12" s="11">
        <v>0.72916666666666663</v>
      </c>
      <c r="E12" s="12">
        <v>7.9999999999999982</v>
      </c>
      <c r="F12" s="10" t="s">
        <v>20</v>
      </c>
      <c r="G12" s="10" t="str">
        <f t="shared" si="0"/>
        <v>Total: 1821 Policies</v>
      </c>
      <c r="H12" s="13"/>
      <c r="I12" s="13"/>
      <c r="J12" s="14"/>
      <c r="K12" s="15"/>
      <c r="L12" s="16"/>
      <c r="M12" s="17"/>
      <c r="O12" s="18">
        <f t="shared" si="1"/>
        <v>7.9999999999999982</v>
      </c>
      <c r="P12" t="s">
        <v>103</v>
      </c>
      <c r="Q12"/>
      <c r="R12"/>
      <c r="S12"/>
      <c r="T12"/>
    </row>
    <row r="13" spans="1:20" ht="16.5">
      <c r="A13" s="73">
        <v>43641</v>
      </c>
      <c r="B13" s="72" t="s">
        <v>24</v>
      </c>
      <c r="C13" s="11">
        <v>0.35416666666666669</v>
      </c>
      <c r="D13" s="11">
        <v>0.72916666666666663</v>
      </c>
      <c r="E13" s="12">
        <v>7.9999999999999982</v>
      </c>
      <c r="F13" s="10" t="s">
        <v>20</v>
      </c>
      <c r="G13" s="10" t="str">
        <f t="shared" si="0"/>
        <v>Total: 1929 Policies</v>
      </c>
      <c r="H13" s="13"/>
      <c r="I13" s="13"/>
      <c r="J13" s="14"/>
      <c r="K13" s="15"/>
      <c r="L13" s="16"/>
      <c r="M13" s="17"/>
      <c r="O13" s="18">
        <f t="shared" si="1"/>
        <v>7.9999999999999982</v>
      </c>
      <c r="P13" t="s">
        <v>104</v>
      </c>
      <c r="Q13"/>
      <c r="R13"/>
      <c r="S13"/>
      <c r="T13"/>
    </row>
    <row r="14" spans="1:20" ht="16.5">
      <c r="A14" s="73">
        <v>43643</v>
      </c>
      <c r="B14" s="72" t="s">
        <v>21</v>
      </c>
      <c r="C14" s="11">
        <v>0.35416666666666669</v>
      </c>
      <c r="D14" s="11">
        <v>0.72916666666666663</v>
      </c>
      <c r="E14" s="12">
        <v>7.9999999999999982</v>
      </c>
      <c r="F14" s="10" t="s">
        <v>20</v>
      </c>
      <c r="G14" s="10" t="str">
        <f t="shared" si="0"/>
        <v>Total: 1618 Policies</v>
      </c>
      <c r="H14" s="13"/>
      <c r="I14" s="13"/>
      <c r="J14" s="14"/>
      <c r="K14" s="15"/>
      <c r="L14" s="16"/>
      <c r="M14" s="17"/>
      <c r="O14" s="18">
        <f t="shared" si="1"/>
        <v>7.9999999999999982</v>
      </c>
      <c r="P14" t="s">
        <v>107</v>
      </c>
      <c r="Q14"/>
      <c r="R14"/>
      <c r="S14"/>
      <c r="T14"/>
    </row>
    <row r="15" spans="1:20" ht="16.5">
      <c r="A15" s="73">
        <v>43644</v>
      </c>
      <c r="B15" s="72" t="s">
        <v>22</v>
      </c>
      <c r="C15" s="11">
        <v>0.35416666666666669</v>
      </c>
      <c r="D15" s="11">
        <v>0.72916666666666663</v>
      </c>
      <c r="E15" s="12">
        <v>7.9999999999999982</v>
      </c>
      <c r="F15" s="10" t="s">
        <v>20</v>
      </c>
      <c r="G15" s="10" t="str">
        <f t="shared" si="0"/>
        <v>Total: 2937 Policies</v>
      </c>
      <c r="H15" s="13"/>
      <c r="I15" s="13"/>
      <c r="J15" s="14"/>
      <c r="K15" s="15"/>
      <c r="L15" s="16"/>
      <c r="M15" s="17"/>
      <c r="O15" s="18">
        <f t="shared" si="1"/>
        <v>7.9999999999999982</v>
      </c>
      <c r="P15" t="s">
        <v>109</v>
      </c>
      <c r="Q15"/>
      <c r="R15"/>
      <c r="S15"/>
      <c r="T15"/>
    </row>
    <row r="16" spans="1:20" ht="16.5">
      <c r="A16" s="73">
        <v>43651</v>
      </c>
      <c r="B16" s="72" t="s">
        <v>22</v>
      </c>
      <c r="C16" s="11">
        <v>0.35416666666666669</v>
      </c>
      <c r="D16" s="11">
        <v>0.91666666666666663</v>
      </c>
      <c r="E16" s="12">
        <v>12.5</v>
      </c>
      <c r="F16" s="10" t="s">
        <v>20</v>
      </c>
      <c r="G16" s="10" t="str">
        <f t="shared" si="0"/>
        <v>Total: 2915 Policies</v>
      </c>
      <c r="H16" s="13"/>
      <c r="I16" s="13"/>
      <c r="J16" s="14"/>
      <c r="K16" s="15"/>
      <c r="L16" s="16"/>
      <c r="M16" s="17"/>
      <c r="O16" s="18">
        <f t="shared" si="1"/>
        <v>12.5</v>
      </c>
      <c r="P16" t="s">
        <v>119</v>
      </c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66.5</v>
      </c>
      <c r="F38" s="3"/>
      <c r="G38" s="3"/>
      <c r="H38" s="3"/>
      <c r="I38" s="3"/>
      <c r="J38" s="3"/>
      <c r="O38" s="21">
        <f>SUM(O9:O37)</f>
        <v>66.5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2327500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90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4.5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4.5</v>
      </c>
      <c r="R5" s="5"/>
      <c r="S5" s="5"/>
    </row>
    <row r="6" spans="1:20" ht="16.5">
      <c r="O6" s="106" t="s">
        <v>8</v>
      </c>
      <c r="P6" s="106"/>
      <c r="Q6" s="8">
        <f>O38</f>
        <v>4.5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43629</v>
      </c>
      <c r="B9" s="72" t="s">
        <v>21</v>
      </c>
      <c r="C9" s="11">
        <v>0.54166666666666663</v>
      </c>
      <c r="D9" s="11">
        <v>0.72916666666666663</v>
      </c>
      <c r="E9" s="12">
        <v>4.5</v>
      </c>
      <c r="F9" s="10" t="s">
        <v>20</v>
      </c>
      <c r="G9" s="10" t="str">
        <f>IF(LEFT(P9,7)=$T$1,LEFT(P9,46),IF(LEFT(P9,6)=$T$2,$T$3,LEFT(P9,20)))</f>
        <v>Total: 1350 Policies</v>
      </c>
      <c r="H9" s="13"/>
      <c r="I9" s="13"/>
      <c r="J9" s="14"/>
      <c r="K9" s="15"/>
      <c r="L9" s="16"/>
      <c r="M9" s="17"/>
      <c r="O9" s="18">
        <f>IF(B9="sun",E9*2,E9)</f>
        <v>4.5</v>
      </c>
      <c r="P9" s="19" t="s">
        <v>95</v>
      </c>
      <c r="Q9"/>
      <c r="R9"/>
      <c r="S9"/>
      <c r="T9"/>
    </row>
    <row r="10" spans="1:20" ht="16.5">
      <c r="A10" s="73"/>
      <c r="B10" s="72"/>
      <c r="C10" s="11"/>
      <c r="D10" s="11"/>
      <c r="E10" s="12"/>
      <c r="F10" s="10"/>
      <c r="G10" s="10" t="str">
        <f t="shared" ref="G10:G37" si="0">IF(LEFT(P10,7)=$T$1,LEFT(P10,46),IF(LEFT(P10,6)=$T$2,$T$3,LEFT(P10,20)))</f>
        <v/>
      </c>
      <c r="H10" s="13"/>
      <c r="I10" s="13"/>
      <c r="J10" s="14"/>
      <c r="K10" s="15"/>
      <c r="L10" s="16"/>
      <c r="M10" s="17"/>
      <c r="O10" s="18">
        <f t="shared" ref="O10:O37" si="1">IF(B10="sun",E10*2,E10)</f>
        <v>0</v>
      </c>
      <c r="P10"/>
      <c r="Q10"/>
      <c r="R10"/>
      <c r="S10"/>
      <c r="T10"/>
    </row>
    <row r="11" spans="1:20" ht="16.5">
      <c r="A11" s="73"/>
      <c r="B11" s="72"/>
      <c r="C11" s="11"/>
      <c r="D11" s="11"/>
      <c r="E11" s="12"/>
      <c r="F11" s="10"/>
      <c r="G11" s="10" t="str">
        <f t="shared" si="0"/>
        <v/>
      </c>
      <c r="H11" s="13"/>
      <c r="I11" s="13"/>
      <c r="J11" s="14"/>
      <c r="K11" s="15"/>
      <c r="L11" s="16"/>
      <c r="M11" s="17"/>
      <c r="O11" s="18">
        <f t="shared" si="1"/>
        <v>0</v>
      </c>
      <c r="P11"/>
      <c r="Q11"/>
      <c r="R11"/>
      <c r="S11"/>
      <c r="T11"/>
    </row>
    <row r="12" spans="1:20" ht="16.5">
      <c r="A12" s="73"/>
      <c r="B12" s="72"/>
      <c r="C12" s="11"/>
      <c r="D12" s="11"/>
      <c r="E12" s="12"/>
      <c r="F12" s="10"/>
      <c r="G12" s="10" t="str">
        <f t="shared" si="0"/>
        <v/>
      </c>
      <c r="H12" s="13"/>
      <c r="I12" s="13"/>
      <c r="J12" s="14"/>
      <c r="K12" s="15"/>
      <c r="L12" s="16"/>
      <c r="M12" s="17"/>
      <c r="O12" s="18">
        <f t="shared" si="1"/>
        <v>0</v>
      </c>
      <c r="P12"/>
      <c r="Q12"/>
      <c r="R12"/>
      <c r="S12"/>
      <c r="T12"/>
    </row>
    <row r="13" spans="1:20" ht="16.5">
      <c r="A13" s="73"/>
      <c r="B13" s="72"/>
      <c r="C13" s="11"/>
      <c r="D13" s="11"/>
      <c r="E13" s="12"/>
      <c r="F13" s="10"/>
      <c r="G13" s="10" t="str">
        <f t="shared" si="0"/>
        <v/>
      </c>
      <c r="H13" s="13"/>
      <c r="I13" s="13"/>
      <c r="J13" s="14"/>
      <c r="K13" s="15"/>
      <c r="L13" s="16"/>
      <c r="M13" s="17"/>
      <c r="O13" s="18">
        <f t="shared" si="1"/>
        <v>0</v>
      </c>
      <c r="P13"/>
      <c r="Q13"/>
      <c r="R13"/>
      <c r="S13"/>
      <c r="T13"/>
    </row>
    <row r="14" spans="1:20" ht="16.5">
      <c r="A14" s="73"/>
      <c r="B14" s="72"/>
      <c r="C14" s="11"/>
      <c r="D14" s="11"/>
      <c r="E14" s="12"/>
      <c r="F14" s="10"/>
      <c r="G14" s="10" t="str">
        <f t="shared" si="0"/>
        <v/>
      </c>
      <c r="H14" s="13"/>
      <c r="I14" s="13"/>
      <c r="J14" s="14"/>
      <c r="K14" s="15"/>
      <c r="L14" s="16"/>
      <c r="M14" s="17"/>
      <c r="O14" s="18">
        <f t="shared" si="1"/>
        <v>0</v>
      </c>
      <c r="P14"/>
      <c r="Q14"/>
      <c r="R14"/>
      <c r="S14"/>
      <c r="T14"/>
    </row>
    <row r="15" spans="1:20" ht="16.5">
      <c r="A15" s="73"/>
      <c r="B15" s="72"/>
      <c r="C15" s="11"/>
      <c r="D15" s="11"/>
      <c r="E15" s="12"/>
      <c r="F15" s="10"/>
      <c r="G15" s="10" t="str">
        <f t="shared" si="0"/>
        <v/>
      </c>
      <c r="H15" s="13"/>
      <c r="I15" s="13"/>
      <c r="J15" s="14"/>
      <c r="K15" s="15"/>
      <c r="L15" s="16"/>
      <c r="M15" s="17"/>
      <c r="O15" s="18">
        <f t="shared" si="1"/>
        <v>0</v>
      </c>
      <c r="P15"/>
      <c r="Q15"/>
      <c r="R15"/>
      <c r="S15"/>
      <c r="T15"/>
    </row>
    <row r="16" spans="1:20" ht="16.5">
      <c r="A16" s="73"/>
      <c r="B16" s="72"/>
      <c r="C16" s="11"/>
      <c r="D16" s="11"/>
      <c r="E16" s="12"/>
      <c r="F16" s="10"/>
      <c r="G16" s="10" t="str">
        <f t="shared" si="0"/>
        <v/>
      </c>
      <c r="H16" s="13"/>
      <c r="I16" s="13"/>
      <c r="J16" s="14"/>
      <c r="K16" s="15"/>
      <c r="L16" s="16"/>
      <c r="M16" s="17"/>
      <c r="O16" s="18">
        <f t="shared" si="1"/>
        <v>0</v>
      </c>
      <c r="P16"/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4.5</v>
      </c>
      <c r="F38" s="3"/>
      <c r="G38" s="3"/>
      <c r="H38" s="3"/>
      <c r="I38" s="3"/>
      <c r="J38" s="3"/>
      <c r="O38" s="21">
        <f>SUM(O9:O37)</f>
        <v>4.5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157500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98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31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31</v>
      </c>
      <c r="R5" s="5"/>
      <c r="S5" s="5"/>
    </row>
    <row r="6" spans="1:20" ht="16.5">
      <c r="O6" s="106" t="s">
        <v>8</v>
      </c>
      <c r="P6" s="106"/>
      <c r="Q6" s="8">
        <f>O38</f>
        <v>31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43630</v>
      </c>
      <c r="B9" s="72" t="s">
        <v>22</v>
      </c>
      <c r="C9" s="11">
        <v>0.35416666666666669</v>
      </c>
      <c r="D9" s="11">
        <v>0.72916666666666663</v>
      </c>
      <c r="E9" s="12">
        <v>7.9999999999999982</v>
      </c>
      <c r="F9" s="10" t="s">
        <v>20</v>
      </c>
      <c r="G9" s="10" t="str">
        <f>IF(LEFT(P9,7)=$T$1,LEFT(P9,46),IF(LEFT(P9,6)=$T$2,$T$3,LEFT(P9,20)))</f>
        <v>Total: 1088 Policies</v>
      </c>
      <c r="H9" s="13"/>
      <c r="I9" s="13"/>
      <c r="J9" s="14"/>
      <c r="K9" s="15"/>
      <c r="L9" s="16"/>
      <c r="M9" s="17"/>
      <c r="O9" s="18">
        <f>IF(B9="sun",E9*2,E9)</f>
        <v>7.9999999999999982</v>
      </c>
      <c r="P9" s="19" t="s">
        <v>99</v>
      </c>
      <c r="Q9"/>
      <c r="R9"/>
      <c r="S9"/>
      <c r="T9"/>
    </row>
    <row r="10" spans="1:20" ht="16.5">
      <c r="A10" s="73">
        <v>43640</v>
      </c>
      <c r="B10" s="72" t="s">
        <v>23</v>
      </c>
      <c r="C10" s="11">
        <v>0.35416666666666669</v>
      </c>
      <c r="D10" s="11">
        <v>0.75</v>
      </c>
      <c r="E10" s="12">
        <v>8.5</v>
      </c>
      <c r="F10" s="10" t="s">
        <v>20</v>
      </c>
      <c r="G10" s="10" t="str">
        <f t="shared" ref="G10:G37" si="0">IF(LEFT(P10,7)=$T$1,LEFT(P10,46),IF(LEFT(P10,6)=$T$2,$T$3,LEFT(P10,20)))</f>
        <v>Total: 1821 Policies</v>
      </c>
      <c r="H10" s="13"/>
      <c r="I10" s="13"/>
      <c r="J10" s="14"/>
      <c r="K10" s="15"/>
      <c r="L10" s="16"/>
      <c r="M10" s="17"/>
      <c r="O10" s="18">
        <f t="shared" ref="O10:O37" si="1">IF(B10="sun",E10*2,E10)</f>
        <v>8.5</v>
      </c>
      <c r="P10" t="s">
        <v>103</v>
      </c>
      <c r="Q10"/>
      <c r="R10"/>
      <c r="S10"/>
      <c r="T10"/>
    </row>
    <row r="11" spans="1:20" ht="16.5">
      <c r="A11" s="73">
        <v>43641</v>
      </c>
      <c r="B11" s="72" t="s">
        <v>24</v>
      </c>
      <c r="C11" s="11">
        <v>0.35416666666666669</v>
      </c>
      <c r="D11" s="11">
        <v>0.72916666666666663</v>
      </c>
      <c r="E11" s="12">
        <v>7.9999999999999982</v>
      </c>
      <c r="F11" s="10" t="s">
        <v>20</v>
      </c>
      <c r="G11" s="10" t="str">
        <f t="shared" si="0"/>
        <v>Total: 1929 Policies</v>
      </c>
      <c r="H11" s="13"/>
      <c r="I11" s="13"/>
      <c r="J11" s="14"/>
      <c r="K11" s="15"/>
      <c r="L11" s="16"/>
      <c r="M11" s="17"/>
      <c r="O11" s="18">
        <f t="shared" si="1"/>
        <v>7.9999999999999982</v>
      </c>
      <c r="P11" t="s">
        <v>104</v>
      </c>
      <c r="Q11"/>
      <c r="R11"/>
      <c r="S11"/>
      <c r="T11"/>
    </row>
    <row r="12" spans="1:20" ht="16.5">
      <c r="A12" s="73">
        <v>43651</v>
      </c>
      <c r="B12" s="72" t="s">
        <v>22</v>
      </c>
      <c r="C12" s="11">
        <v>0.58333333333333337</v>
      </c>
      <c r="D12" s="11">
        <v>0.89583333333333337</v>
      </c>
      <c r="E12" s="12">
        <v>6.5</v>
      </c>
      <c r="F12" s="10" t="s">
        <v>20</v>
      </c>
      <c r="G12" s="10" t="str">
        <f t="shared" si="0"/>
        <v>Total: 2915 Policies</v>
      </c>
      <c r="H12" s="13"/>
      <c r="I12" s="13"/>
      <c r="J12" s="14"/>
      <c r="K12" s="15"/>
      <c r="L12" s="16"/>
      <c r="M12" s="17"/>
      <c r="O12" s="18">
        <f t="shared" si="1"/>
        <v>6.5</v>
      </c>
      <c r="P12" t="s">
        <v>119</v>
      </c>
      <c r="Q12"/>
      <c r="R12"/>
      <c r="S12"/>
      <c r="T12"/>
    </row>
    <row r="13" spans="1:20" ht="16.5">
      <c r="A13" s="73"/>
      <c r="B13" s="72"/>
      <c r="C13" s="11"/>
      <c r="D13" s="11"/>
      <c r="E13" s="12"/>
      <c r="F13" s="10"/>
      <c r="G13" s="10" t="str">
        <f t="shared" si="0"/>
        <v/>
      </c>
      <c r="H13" s="13"/>
      <c r="I13" s="13"/>
      <c r="J13" s="14"/>
      <c r="K13" s="15"/>
      <c r="L13" s="16"/>
      <c r="M13" s="17"/>
      <c r="O13" s="18">
        <f t="shared" si="1"/>
        <v>0</v>
      </c>
      <c r="P13"/>
      <c r="Q13"/>
      <c r="R13"/>
      <c r="S13"/>
      <c r="T13"/>
    </row>
    <row r="14" spans="1:20" ht="16.5">
      <c r="A14" s="73"/>
      <c r="B14" s="72"/>
      <c r="C14" s="11"/>
      <c r="D14" s="11"/>
      <c r="E14" s="12"/>
      <c r="F14" s="10"/>
      <c r="G14" s="10" t="str">
        <f t="shared" si="0"/>
        <v/>
      </c>
      <c r="H14" s="13"/>
      <c r="I14" s="13"/>
      <c r="J14" s="14"/>
      <c r="K14" s="15"/>
      <c r="L14" s="16"/>
      <c r="M14" s="17"/>
      <c r="O14" s="18">
        <f t="shared" si="1"/>
        <v>0</v>
      </c>
      <c r="P14"/>
      <c r="Q14"/>
      <c r="R14"/>
      <c r="S14"/>
      <c r="T14"/>
    </row>
    <row r="15" spans="1:20" ht="16.5">
      <c r="A15" s="73"/>
      <c r="B15" s="72"/>
      <c r="C15" s="11"/>
      <c r="D15" s="11"/>
      <c r="E15" s="12"/>
      <c r="F15" s="10"/>
      <c r="G15" s="10" t="str">
        <f t="shared" si="0"/>
        <v/>
      </c>
      <c r="H15" s="13"/>
      <c r="I15" s="13"/>
      <c r="J15" s="14"/>
      <c r="K15" s="15"/>
      <c r="L15" s="16"/>
      <c r="M15" s="17"/>
      <c r="O15" s="18">
        <f t="shared" si="1"/>
        <v>0</v>
      </c>
      <c r="P15"/>
      <c r="Q15"/>
      <c r="R15"/>
      <c r="S15"/>
      <c r="T15"/>
    </row>
    <row r="16" spans="1:20" ht="16.5">
      <c r="A16" s="73"/>
      <c r="B16" s="72"/>
      <c r="C16" s="11"/>
      <c r="D16" s="11"/>
      <c r="E16" s="12"/>
      <c r="F16" s="10"/>
      <c r="G16" s="10" t="str">
        <f t="shared" si="0"/>
        <v/>
      </c>
      <c r="H16" s="13"/>
      <c r="I16" s="13"/>
      <c r="J16" s="14"/>
      <c r="K16" s="15"/>
      <c r="L16" s="16"/>
      <c r="M16" s="17"/>
      <c r="O16" s="18">
        <f t="shared" si="1"/>
        <v>0</v>
      </c>
      <c r="P16"/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31</v>
      </c>
      <c r="F38" s="3"/>
      <c r="G38" s="3"/>
      <c r="H38" s="3"/>
      <c r="I38" s="3"/>
      <c r="J38" s="3"/>
      <c r="O38" s="21">
        <f>SUM(O9:O37)</f>
        <v>31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1085000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110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24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24</v>
      </c>
      <c r="R5" s="5"/>
      <c r="S5" s="5"/>
    </row>
    <row r="6" spans="1:20" ht="16.5">
      <c r="O6" s="106" t="s">
        <v>8</v>
      </c>
      <c r="P6" s="106"/>
      <c r="Q6" s="8">
        <f>O38</f>
        <v>24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43644</v>
      </c>
      <c r="B9" s="72" t="s">
        <v>22</v>
      </c>
      <c r="C9" s="11">
        <v>0.54166666666666663</v>
      </c>
      <c r="D9" s="11">
        <v>0.91666666666666663</v>
      </c>
      <c r="E9" s="12">
        <v>8</v>
      </c>
      <c r="F9" s="10" t="s">
        <v>20</v>
      </c>
      <c r="G9" s="10" t="str">
        <f>IF(LEFT(P9,7)=$T$1,LEFT(P9,46),IF(LEFT(P9,6)=$T$2,$T$3,LEFT(P9,20)))</f>
        <v>Total: 2937 Policies</v>
      </c>
      <c r="H9" s="13"/>
      <c r="I9" s="13"/>
      <c r="J9" s="14"/>
      <c r="K9" s="15"/>
      <c r="L9" s="16"/>
      <c r="M9" s="17"/>
      <c r="O9" s="18">
        <f>IF(B9="sun",E9*2,E9)</f>
        <v>8</v>
      </c>
      <c r="P9" s="19" t="s">
        <v>111</v>
      </c>
      <c r="Q9"/>
      <c r="R9"/>
      <c r="S9"/>
      <c r="T9"/>
    </row>
    <row r="10" spans="1:20" ht="16.5">
      <c r="A10" s="73">
        <v>43649</v>
      </c>
      <c r="B10" s="72" t="s">
        <v>82</v>
      </c>
      <c r="C10" s="11">
        <v>0.54166666666666663</v>
      </c>
      <c r="D10" s="11">
        <v>0.89583333333333337</v>
      </c>
      <c r="E10" s="12">
        <v>7.5000000000000018</v>
      </c>
      <c r="F10" s="10" t="s">
        <v>20</v>
      </c>
      <c r="G10" s="10" t="str">
        <f t="shared" ref="G10:G37" si="0">IF(LEFT(P10,7)=$T$1,LEFT(P10,46),IF(LEFT(P10,6)=$T$2,$T$3,LEFT(P10,20)))</f>
        <v>Total: 2713 Policies</v>
      </c>
      <c r="H10" s="13"/>
      <c r="I10" s="13"/>
      <c r="J10" s="14"/>
      <c r="K10" s="15"/>
      <c r="L10" s="16"/>
      <c r="M10" s="17"/>
      <c r="O10" s="18">
        <f t="shared" ref="O10:O37" si="1">IF(B10="sun",E10*2,E10)</f>
        <v>7.5000000000000018</v>
      </c>
      <c r="P10" t="s">
        <v>117</v>
      </c>
      <c r="Q10"/>
      <c r="R10"/>
      <c r="S10"/>
      <c r="T10"/>
    </row>
    <row r="11" spans="1:20" ht="16.5">
      <c r="A11" s="73">
        <v>43651</v>
      </c>
      <c r="B11" s="72" t="s">
        <v>22</v>
      </c>
      <c r="C11" s="11">
        <v>0.5</v>
      </c>
      <c r="D11" s="11">
        <v>0.89583333333333337</v>
      </c>
      <c r="E11" s="12">
        <v>8.5</v>
      </c>
      <c r="F11" s="10" t="s">
        <v>20</v>
      </c>
      <c r="G11" s="10" t="str">
        <f t="shared" si="0"/>
        <v>Total: 2915 Policies</v>
      </c>
      <c r="H11" s="13"/>
      <c r="I11" s="13"/>
      <c r="J11" s="14"/>
      <c r="K11" s="15"/>
      <c r="L11" s="16"/>
      <c r="M11" s="17"/>
      <c r="O11" s="18">
        <f t="shared" si="1"/>
        <v>8.5</v>
      </c>
      <c r="P11" t="s">
        <v>119</v>
      </c>
      <c r="Q11"/>
      <c r="R11"/>
      <c r="S11"/>
      <c r="T11"/>
    </row>
    <row r="12" spans="1:20" ht="16.5">
      <c r="A12" s="73"/>
      <c r="B12" s="72"/>
      <c r="C12" s="11"/>
      <c r="D12" s="11"/>
      <c r="E12" s="12"/>
      <c r="F12" s="10"/>
      <c r="G12" s="10" t="str">
        <f t="shared" si="0"/>
        <v/>
      </c>
      <c r="H12" s="13"/>
      <c r="I12" s="13"/>
      <c r="J12" s="14"/>
      <c r="K12" s="15"/>
      <c r="L12" s="16"/>
      <c r="M12" s="17"/>
      <c r="O12" s="18">
        <f t="shared" si="1"/>
        <v>0</v>
      </c>
      <c r="P12"/>
      <c r="Q12"/>
      <c r="R12"/>
      <c r="S12"/>
      <c r="T12"/>
    </row>
    <row r="13" spans="1:20" ht="16.5">
      <c r="A13" s="73"/>
      <c r="B13" s="72"/>
      <c r="C13" s="11"/>
      <c r="D13" s="11"/>
      <c r="E13" s="12"/>
      <c r="F13" s="10"/>
      <c r="G13" s="10" t="str">
        <f t="shared" si="0"/>
        <v/>
      </c>
      <c r="H13" s="13"/>
      <c r="I13" s="13"/>
      <c r="J13" s="14"/>
      <c r="K13" s="15"/>
      <c r="L13" s="16"/>
      <c r="M13" s="17"/>
      <c r="O13" s="18">
        <f t="shared" si="1"/>
        <v>0</v>
      </c>
      <c r="P13"/>
      <c r="Q13"/>
      <c r="R13"/>
      <c r="S13"/>
      <c r="T13"/>
    </row>
    <row r="14" spans="1:20" ht="16.5">
      <c r="A14" s="73"/>
      <c r="B14" s="72"/>
      <c r="C14" s="11"/>
      <c r="D14" s="11"/>
      <c r="E14" s="12"/>
      <c r="F14" s="10"/>
      <c r="G14" s="10" t="str">
        <f t="shared" si="0"/>
        <v/>
      </c>
      <c r="H14" s="13"/>
      <c r="I14" s="13"/>
      <c r="J14" s="14"/>
      <c r="K14" s="15"/>
      <c r="L14" s="16"/>
      <c r="M14" s="17"/>
      <c r="O14" s="18">
        <f t="shared" si="1"/>
        <v>0</v>
      </c>
      <c r="P14"/>
      <c r="Q14"/>
      <c r="R14"/>
      <c r="S14"/>
      <c r="T14"/>
    </row>
    <row r="15" spans="1:20" ht="16.5">
      <c r="A15" s="73"/>
      <c r="B15" s="72"/>
      <c r="C15" s="11"/>
      <c r="D15" s="11"/>
      <c r="E15" s="12"/>
      <c r="F15" s="10"/>
      <c r="G15" s="10" t="str">
        <f t="shared" si="0"/>
        <v/>
      </c>
      <c r="H15" s="13"/>
      <c r="I15" s="13"/>
      <c r="J15" s="14"/>
      <c r="K15" s="15"/>
      <c r="L15" s="16"/>
      <c r="M15" s="17"/>
      <c r="O15" s="18">
        <f t="shared" si="1"/>
        <v>0</v>
      </c>
      <c r="P15"/>
      <c r="Q15"/>
      <c r="R15"/>
      <c r="S15"/>
      <c r="T15"/>
    </row>
    <row r="16" spans="1:20" ht="16.5">
      <c r="A16" s="73"/>
      <c r="B16" s="72"/>
      <c r="C16" s="11"/>
      <c r="D16" s="11"/>
      <c r="E16" s="12"/>
      <c r="F16" s="10"/>
      <c r="G16" s="10" t="str">
        <f t="shared" si="0"/>
        <v/>
      </c>
      <c r="H16" s="13"/>
      <c r="I16" s="13"/>
      <c r="J16" s="14"/>
      <c r="K16" s="15"/>
      <c r="L16" s="16"/>
      <c r="M16" s="17"/>
      <c r="O16" s="18">
        <f t="shared" si="1"/>
        <v>0</v>
      </c>
      <c r="P16"/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24</v>
      </c>
      <c r="F38" s="3"/>
      <c r="G38" s="3"/>
      <c r="H38" s="3"/>
      <c r="I38" s="3"/>
      <c r="J38" s="3"/>
      <c r="O38" s="21">
        <f>SUM(O9:O37)</f>
        <v>24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840000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5"/>
  <sheetViews>
    <sheetView showGridLines="0" zoomScale="85" zoomScaleNormal="85" workbookViewId="0">
      <selection sqref="A1:M1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 t="s">
        <v>113</v>
      </c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8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8</v>
      </c>
      <c r="R5" s="5"/>
      <c r="S5" s="5"/>
    </row>
    <row r="6" spans="1:20" ht="16.5">
      <c r="O6" s="106" t="s">
        <v>8</v>
      </c>
      <c r="P6" s="106"/>
      <c r="Q6" s="8">
        <f>O38</f>
        <v>8</v>
      </c>
      <c r="R6"/>
      <c r="S6"/>
      <c r="T6"/>
    </row>
    <row r="7" spans="1:20" ht="15" customHeight="1">
      <c r="A7" s="75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76" t="s">
        <v>16</v>
      </c>
      <c r="B8" s="89"/>
      <c r="C8" s="77" t="s">
        <v>17</v>
      </c>
      <c r="D8" s="77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>
        <v>43644</v>
      </c>
      <c r="B9" s="72" t="s">
        <v>22</v>
      </c>
      <c r="C9" s="11">
        <v>0.54166666666666663</v>
      </c>
      <c r="D9" s="11">
        <v>0.91666666666666663</v>
      </c>
      <c r="E9" s="12">
        <v>8</v>
      </c>
      <c r="F9" s="10" t="s">
        <v>20</v>
      </c>
      <c r="G9" s="10" t="str">
        <f>IF(LEFT(P9,7)=$T$1,LEFT(P9,46),IF(LEFT(P9,6)=$T$2,$T$3,LEFT(P9,20)))</f>
        <v>Total: 2937 Policies</v>
      </c>
      <c r="H9" s="13"/>
      <c r="I9" s="13"/>
      <c r="J9" s="14"/>
      <c r="K9" s="15"/>
      <c r="L9" s="16"/>
      <c r="M9" s="17"/>
      <c r="O9" s="18">
        <f>IF(B9="sun",E9*2,E9)</f>
        <v>8</v>
      </c>
      <c r="P9" s="19" t="s">
        <v>111</v>
      </c>
      <c r="Q9"/>
      <c r="R9"/>
      <c r="S9"/>
      <c r="T9"/>
    </row>
    <row r="10" spans="1:20" ht="16.5">
      <c r="A10" s="73"/>
      <c r="B10" s="72"/>
      <c r="C10" s="11"/>
      <c r="D10" s="11"/>
      <c r="E10" s="12"/>
      <c r="F10" s="10"/>
      <c r="G10" s="10" t="str">
        <f t="shared" ref="G10:G37" si="0">IF(LEFT(P10,7)=$T$1,LEFT(P10,46),IF(LEFT(P10,6)=$T$2,$T$3,LEFT(P10,20)))</f>
        <v/>
      </c>
      <c r="H10" s="13"/>
      <c r="I10" s="13"/>
      <c r="J10" s="14"/>
      <c r="K10" s="15"/>
      <c r="L10" s="16"/>
      <c r="M10" s="17"/>
      <c r="O10" s="18">
        <f t="shared" ref="O10:O37" si="1">IF(B10="sun",E10*2,E10)</f>
        <v>0</v>
      </c>
      <c r="P10"/>
      <c r="Q10"/>
      <c r="R10"/>
      <c r="S10"/>
      <c r="T10"/>
    </row>
    <row r="11" spans="1:20" ht="16.5">
      <c r="A11" s="73"/>
      <c r="B11" s="72"/>
      <c r="C11" s="11"/>
      <c r="D11" s="11"/>
      <c r="E11" s="12"/>
      <c r="F11" s="10"/>
      <c r="G11" s="10" t="str">
        <f t="shared" si="0"/>
        <v/>
      </c>
      <c r="H11" s="13"/>
      <c r="I11" s="13"/>
      <c r="J11" s="14"/>
      <c r="K11" s="15"/>
      <c r="L11" s="16"/>
      <c r="M11" s="17"/>
      <c r="O11" s="18">
        <f t="shared" si="1"/>
        <v>0</v>
      </c>
      <c r="P11"/>
      <c r="Q11"/>
      <c r="R11"/>
      <c r="S11"/>
      <c r="T11"/>
    </row>
    <row r="12" spans="1:20" ht="16.5">
      <c r="A12" s="73"/>
      <c r="B12" s="72"/>
      <c r="C12" s="11"/>
      <c r="D12" s="11"/>
      <c r="E12" s="12"/>
      <c r="F12" s="10"/>
      <c r="G12" s="10" t="str">
        <f t="shared" si="0"/>
        <v/>
      </c>
      <c r="H12" s="13"/>
      <c r="I12" s="13"/>
      <c r="J12" s="14"/>
      <c r="K12" s="15"/>
      <c r="L12" s="16"/>
      <c r="M12" s="17"/>
      <c r="O12" s="18">
        <f t="shared" si="1"/>
        <v>0</v>
      </c>
      <c r="P12"/>
      <c r="Q12"/>
      <c r="R12"/>
      <c r="S12"/>
      <c r="T12"/>
    </row>
    <row r="13" spans="1:20" ht="16.5">
      <c r="A13" s="73"/>
      <c r="B13" s="72"/>
      <c r="C13" s="11"/>
      <c r="D13" s="11"/>
      <c r="E13" s="12"/>
      <c r="F13" s="10"/>
      <c r="G13" s="10" t="str">
        <f t="shared" si="0"/>
        <v/>
      </c>
      <c r="H13" s="13"/>
      <c r="I13" s="13"/>
      <c r="J13" s="14"/>
      <c r="K13" s="15"/>
      <c r="L13" s="16"/>
      <c r="M13" s="17"/>
      <c r="O13" s="18">
        <f t="shared" si="1"/>
        <v>0</v>
      </c>
      <c r="P13"/>
      <c r="Q13"/>
      <c r="R13"/>
      <c r="S13"/>
      <c r="T13"/>
    </row>
    <row r="14" spans="1:20" ht="16.5">
      <c r="A14" s="73"/>
      <c r="B14" s="72"/>
      <c r="C14" s="11"/>
      <c r="D14" s="11"/>
      <c r="E14" s="12"/>
      <c r="F14" s="10"/>
      <c r="G14" s="10" t="str">
        <f t="shared" si="0"/>
        <v/>
      </c>
      <c r="H14" s="13"/>
      <c r="I14" s="13"/>
      <c r="J14" s="14"/>
      <c r="K14" s="15"/>
      <c r="L14" s="16"/>
      <c r="M14" s="17"/>
      <c r="O14" s="18">
        <f t="shared" si="1"/>
        <v>0</v>
      </c>
      <c r="P14"/>
      <c r="Q14"/>
      <c r="R14"/>
      <c r="S14"/>
      <c r="T14"/>
    </row>
    <row r="15" spans="1:20" ht="16.5">
      <c r="A15" s="73"/>
      <c r="B15" s="72"/>
      <c r="C15" s="11"/>
      <c r="D15" s="11"/>
      <c r="E15" s="12"/>
      <c r="F15" s="10"/>
      <c r="G15" s="10" t="str">
        <f t="shared" si="0"/>
        <v/>
      </c>
      <c r="H15" s="13"/>
      <c r="I15" s="13"/>
      <c r="J15" s="14"/>
      <c r="K15" s="15"/>
      <c r="L15" s="16"/>
      <c r="M15" s="17"/>
      <c r="O15" s="18">
        <f t="shared" si="1"/>
        <v>0</v>
      </c>
      <c r="P15"/>
      <c r="Q15"/>
      <c r="R15"/>
      <c r="S15"/>
      <c r="T15"/>
    </row>
    <row r="16" spans="1:20" ht="16.5">
      <c r="A16" s="73"/>
      <c r="B16" s="72"/>
      <c r="C16" s="11"/>
      <c r="D16" s="11"/>
      <c r="E16" s="12"/>
      <c r="F16" s="10"/>
      <c r="G16" s="10" t="str">
        <f t="shared" si="0"/>
        <v/>
      </c>
      <c r="H16" s="13"/>
      <c r="I16" s="13"/>
      <c r="J16" s="14"/>
      <c r="K16" s="15"/>
      <c r="L16" s="16"/>
      <c r="M16" s="17"/>
      <c r="O16" s="18">
        <f t="shared" si="1"/>
        <v>0</v>
      </c>
      <c r="P16"/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78"/>
      <c r="L37" s="79"/>
      <c r="M37" s="80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8</v>
      </c>
      <c r="F38" s="3"/>
      <c r="G38" s="3"/>
      <c r="H38" s="3"/>
      <c r="I38" s="3"/>
      <c r="J38" s="3"/>
      <c r="O38" s="21">
        <f>SUM(O9:O37)</f>
        <v>8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74"/>
      <c r="F43" s="74"/>
      <c r="G43" s="74"/>
      <c r="H43" s="26"/>
      <c r="I43" s="25"/>
      <c r="J43" s="27"/>
      <c r="K43" s="27"/>
      <c r="L43" s="74"/>
      <c r="M43" s="74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280000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P7:Q7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A1:M1"/>
    <mergeCell ref="A2:M2"/>
    <mergeCell ref="G3:H3"/>
    <mergeCell ref="G5:H5"/>
    <mergeCell ref="O5:P5"/>
    <mergeCell ref="O6:P6"/>
  </mergeCells>
  <pageMargins left="0.25" right="0.25" top="0.25" bottom="0.25" header="0.3" footer="0.3"/>
  <pageSetup paperSize="9" scale="75" orientation="landscape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Y73"/>
  <sheetViews>
    <sheetView showGridLines="0" tabSelected="1" zoomScaleNormal="100" workbookViewId="0"/>
  </sheetViews>
  <sheetFormatPr defaultRowHeight="15"/>
  <cols>
    <col min="1" max="1" width="25.5703125" style="31" customWidth="1"/>
    <col min="2" max="2" width="40.140625" style="31" customWidth="1"/>
    <col min="3" max="3" width="11.28515625" style="31" customWidth="1"/>
    <col min="4" max="4" width="11.5703125" style="31" customWidth="1"/>
    <col min="5" max="5" width="11.28515625" style="31" customWidth="1"/>
    <col min="6" max="6" width="11.7109375" style="31" customWidth="1"/>
    <col min="7" max="16" width="9.7109375" style="31" customWidth="1"/>
    <col min="17" max="16384" width="9.140625" style="31"/>
  </cols>
  <sheetData>
    <row r="3" spans="1:25">
      <c r="A3" s="33" t="s">
        <v>32</v>
      </c>
      <c r="B3" s="34">
        <v>5</v>
      </c>
    </row>
    <row r="4" spans="1:25">
      <c r="A4" s="33" t="s">
        <v>33</v>
      </c>
      <c r="B4" s="35" t="s">
        <v>91</v>
      </c>
      <c r="C4" s="36" t="str">
        <f>TEXT(DATE(B5,B4,B3),"MMM")</f>
        <v>Jun</v>
      </c>
    </row>
    <row r="5" spans="1:25">
      <c r="A5" s="37" t="s">
        <v>34</v>
      </c>
      <c r="B5" s="38">
        <v>2019</v>
      </c>
    </row>
    <row r="6" spans="1:25">
      <c r="A6" s="39" t="s">
        <v>35</v>
      </c>
      <c r="C6" s="40" t="s">
        <v>34</v>
      </c>
      <c r="D6" s="40" t="s">
        <v>33</v>
      </c>
      <c r="E6" s="40" t="s">
        <v>36</v>
      </c>
      <c r="Y6" s="32"/>
    </row>
    <row r="7" spans="1:25">
      <c r="A7" s="33" t="s">
        <v>19</v>
      </c>
      <c r="B7" s="41">
        <f>DATE(C7,D7,E7)</f>
        <v>43627</v>
      </c>
      <c r="C7" s="42">
        <f>B5</f>
        <v>2019</v>
      </c>
      <c r="D7" s="42" t="str">
        <f>B4</f>
        <v>06</v>
      </c>
      <c r="E7" s="42">
        <v>11</v>
      </c>
      <c r="F7" s="31" t="str">
        <f>"&gt;="&amp;D7&amp;"/"&amp;E7&amp;"/"&amp;C7</f>
        <v>&gt;=06/11/2019</v>
      </c>
      <c r="Y7" s="32"/>
    </row>
    <row r="8" spans="1:25">
      <c r="A8" s="33" t="s">
        <v>37</v>
      </c>
      <c r="B8" s="41">
        <f>DATE(C8,D8,E8)</f>
        <v>43657</v>
      </c>
      <c r="C8" s="42">
        <f>IF(MONTH(B7)=12,C7+1,C7)</f>
        <v>2019</v>
      </c>
      <c r="D8" s="42">
        <f>IF(C8&gt;C7,MONTH(EDATE(B7,1)),D7+1)</f>
        <v>7</v>
      </c>
      <c r="E8" s="42">
        <v>11</v>
      </c>
      <c r="F8" s="31" t="str">
        <f>"&lt;"&amp;D8&amp;"/"&amp;E8&amp;"/"&amp;C8</f>
        <v>&lt;7/11/2019</v>
      </c>
    </row>
    <row r="11" spans="1:25">
      <c r="A11" s="43" t="s">
        <v>60</v>
      </c>
      <c r="B11" s="43" t="s">
        <v>38</v>
      </c>
      <c r="C11" s="44" t="s">
        <v>39</v>
      </c>
    </row>
    <row r="12" spans="1:25">
      <c r="A12" s="36" t="s">
        <v>81</v>
      </c>
      <c r="B12" s="36" t="str">
        <f>$B$5&amp;"_"&amp;$B$4&amp;"_Partimer_"&amp;A12</f>
        <v>2019_06_Partimer_Nguyen Ngoc Truong Loc</v>
      </c>
      <c r="C12" s="45">
        <f>SUMIFS('2017OT'!H:H,'2017OT'!B:B,Macro!A12)</f>
        <v>156</v>
      </c>
    </row>
    <row r="13" spans="1:25">
      <c r="A13" s="36" t="s">
        <v>74</v>
      </c>
      <c r="B13" s="36" t="str">
        <f>$B$5&amp;"_"&amp;$B$4&amp;"_Partimer_"&amp;A13</f>
        <v>2019_06_Partimer_Le Thanh Vi</v>
      </c>
      <c r="C13" s="45">
        <f>SUMIFS('2017OT'!H:H,'2017OT'!B:B,Macro!A13)</f>
        <v>66.5</v>
      </c>
      <c r="V13" s="32"/>
    </row>
    <row r="14" spans="1:25">
      <c r="A14" s="36" t="s">
        <v>90</v>
      </c>
      <c r="B14" s="36" t="str">
        <f>$B$5&amp;"_"&amp;$B$4&amp;"_Partimer_"&amp;A14</f>
        <v>2019_06_Partimer_Dinh Thi Ngoc Van</v>
      </c>
      <c r="C14" s="45">
        <f>SUMIFS('2017OT'!H:H,'2017OT'!B:B,Macro!A14)</f>
        <v>4.5</v>
      </c>
    </row>
    <row r="15" spans="1:25">
      <c r="A15" s="36" t="s">
        <v>98</v>
      </c>
      <c r="B15" s="36" t="str">
        <f>$B$5&amp;"_"&amp;$B$4&amp;"_Partimer_"&amp;A15</f>
        <v>2019_06_Partimer_Nguyen Thi Anh Thi</v>
      </c>
      <c r="C15" s="45">
        <f>SUMIFS('2017OT'!H:H,'2017OT'!B:B,Macro!A15)</f>
        <v>31</v>
      </c>
    </row>
    <row r="16" spans="1:25">
      <c r="A16" s="36" t="s">
        <v>110</v>
      </c>
      <c r="B16" s="36" t="str">
        <f>$B$5&amp;"_"&amp;$B$4&amp;"_Partimer_"&amp;A16</f>
        <v>2019_06_Partimer_Do Thi Hue</v>
      </c>
      <c r="C16" s="45">
        <f>SUMIFS('2017OT'!H:H,'2017OT'!B:B,Macro!A16)</f>
        <v>24</v>
      </c>
    </row>
    <row r="17" spans="1:3">
      <c r="A17" s="36" t="s">
        <v>113</v>
      </c>
      <c r="B17" s="36" t="str">
        <f>$B$5&amp;"_"&amp;$B$4&amp;"_Partimer_"&amp;A17</f>
        <v>2019_06_Partimer_Mai Thi Quynh Huong</v>
      </c>
      <c r="C17" s="45">
        <f>SUMIFS('2017OT'!H:H,'2017OT'!B:B,Macro!A17)</f>
        <v>8</v>
      </c>
    </row>
    <row r="18" spans="1:3">
      <c r="A18" s="36"/>
      <c r="B18" s="36"/>
      <c r="C18" s="45"/>
    </row>
    <row r="19" spans="1:3">
      <c r="A19" s="36"/>
      <c r="B19" s="36"/>
      <c r="C19" s="45"/>
    </row>
    <row r="20" spans="1:3">
      <c r="A20" s="36"/>
      <c r="B20" s="36"/>
      <c r="C20" s="45"/>
    </row>
    <row r="21" spans="1:3">
      <c r="A21" s="36"/>
      <c r="B21" s="36"/>
      <c r="C21" s="45"/>
    </row>
    <row r="22" spans="1:3">
      <c r="A22" s="36"/>
      <c r="B22" s="36"/>
      <c r="C22" s="45"/>
    </row>
    <row r="23" spans="1:3">
      <c r="A23" s="36"/>
      <c r="B23" s="36"/>
      <c r="C23" s="45"/>
    </row>
    <row r="24" spans="1:3">
      <c r="A24" s="36"/>
      <c r="B24" s="36"/>
      <c r="C24" s="45"/>
    </row>
    <row r="25" spans="1:3">
      <c r="A25" s="36"/>
      <c r="B25" s="36"/>
      <c r="C25" s="45"/>
    </row>
    <row r="26" spans="1:3">
      <c r="A26" s="36"/>
      <c r="B26" s="36"/>
      <c r="C26" s="45"/>
    </row>
    <row r="27" spans="1:3">
      <c r="A27" s="36"/>
      <c r="B27" s="36"/>
      <c r="C27" s="45"/>
    </row>
    <row r="28" spans="1:3">
      <c r="A28" s="36"/>
      <c r="B28" s="36"/>
      <c r="C28" s="45"/>
    </row>
    <row r="29" spans="1:3">
      <c r="A29" s="36"/>
      <c r="B29" s="36"/>
      <c r="C29" s="45"/>
    </row>
    <row r="30" spans="1:3">
      <c r="A30" s="36"/>
      <c r="B30" s="36"/>
      <c r="C30" s="36"/>
    </row>
    <row r="31" spans="1:3">
      <c r="A31" s="36"/>
      <c r="B31" s="36"/>
      <c r="C31" s="36"/>
    </row>
    <row r="32" spans="1:3">
      <c r="A32" s="36"/>
      <c r="B32" s="36"/>
      <c r="C32" s="36"/>
    </row>
    <row r="33" spans="1:3">
      <c r="A33" s="36"/>
      <c r="B33" s="36"/>
      <c r="C33" s="36"/>
    </row>
    <row r="34" spans="1:3">
      <c r="A34" s="36"/>
      <c r="B34" s="36"/>
      <c r="C34" s="36"/>
    </row>
    <row r="35" spans="1:3">
      <c r="A35" s="36"/>
      <c r="B35" s="36"/>
      <c r="C35" s="36"/>
    </row>
    <row r="36" spans="1:3">
      <c r="A36" s="36"/>
      <c r="B36" s="36"/>
      <c r="C36" s="36"/>
    </row>
    <row r="37" spans="1:3">
      <c r="A37" s="36"/>
      <c r="B37" s="36"/>
      <c r="C37" s="36"/>
    </row>
    <row r="38" spans="1:3">
      <c r="A38" s="36"/>
      <c r="B38" s="36"/>
      <c r="C38" s="36"/>
    </row>
    <row r="39" spans="1:3">
      <c r="A39" s="36"/>
      <c r="B39" s="36"/>
      <c r="C39" s="36"/>
    </row>
    <row r="40" spans="1:3">
      <c r="A40" s="36"/>
      <c r="B40" s="36"/>
      <c r="C40" s="36"/>
    </row>
    <row r="41" spans="1:3">
      <c r="A41" s="36"/>
      <c r="B41" s="36"/>
      <c r="C41" s="36"/>
    </row>
    <row r="42" spans="1:3">
      <c r="A42" s="36"/>
      <c r="B42" s="36"/>
      <c r="C42" s="36"/>
    </row>
    <row r="43" spans="1:3">
      <c r="A43" s="36"/>
      <c r="B43" s="36"/>
      <c r="C43" s="36"/>
    </row>
    <row r="44" spans="1:3">
      <c r="A44" s="36"/>
      <c r="B44" s="36"/>
      <c r="C44" s="36"/>
    </row>
    <row r="45" spans="1:3">
      <c r="A45" s="36"/>
      <c r="B45" s="36"/>
      <c r="C45" s="36"/>
    </row>
    <row r="46" spans="1:3">
      <c r="A46" s="36"/>
      <c r="B46" s="36"/>
      <c r="C46" s="36"/>
    </row>
    <row r="47" spans="1:3">
      <c r="A47" s="36"/>
      <c r="B47" s="36"/>
      <c r="C47" s="36"/>
    </row>
    <row r="48" spans="1:3">
      <c r="A48" s="36"/>
      <c r="B48" s="36"/>
      <c r="C48" s="36"/>
    </row>
    <row r="49" spans="1:4">
      <c r="A49" s="36"/>
      <c r="B49" s="36"/>
      <c r="C49" s="36"/>
    </row>
    <row r="50" spans="1:4">
      <c r="A50" s="36"/>
      <c r="B50" s="36"/>
      <c r="C50" s="36"/>
    </row>
    <row r="51" spans="1:4">
      <c r="A51" s="36"/>
      <c r="B51" s="36"/>
      <c r="C51" s="36"/>
    </row>
    <row r="52" spans="1:4">
      <c r="A52" s="36"/>
      <c r="B52" s="36"/>
      <c r="C52" s="36"/>
    </row>
    <row r="53" spans="1:4">
      <c r="A53" s="36"/>
      <c r="B53" s="36"/>
      <c r="C53" s="36"/>
    </row>
    <row r="54" spans="1:4">
      <c r="A54" s="36"/>
      <c r="B54" s="36"/>
      <c r="C54" s="36"/>
    </row>
    <row r="55" spans="1:4">
      <c r="A55" s="36"/>
      <c r="B55" s="36"/>
      <c r="C55" s="36"/>
    </row>
    <row r="56" spans="1:4">
      <c r="A56" s="36"/>
      <c r="B56" s="36"/>
      <c r="C56" s="36"/>
    </row>
    <row r="57" spans="1:4">
      <c r="A57" s="36"/>
      <c r="B57" s="36"/>
      <c r="C57" s="36"/>
    </row>
    <row r="58" spans="1:4">
      <c r="A58" s="36"/>
      <c r="B58" s="36"/>
      <c r="C58" s="36"/>
    </row>
    <row r="59" spans="1:4">
      <c r="A59" s="36"/>
      <c r="B59" s="36"/>
      <c r="C59" s="36"/>
    </row>
    <row r="60" spans="1:4">
      <c r="A60" s="36"/>
      <c r="B60" s="36"/>
      <c r="C60" s="36"/>
    </row>
    <row r="61" spans="1:4">
      <c r="A61" s="36"/>
      <c r="B61" s="36"/>
      <c r="C61" s="36"/>
    </row>
    <row r="62" spans="1:4">
      <c r="A62" s="36"/>
      <c r="B62" s="36"/>
      <c r="C62" s="36"/>
    </row>
    <row r="64" spans="1:4">
      <c r="A64" s="46" t="s">
        <v>49</v>
      </c>
      <c r="B64" s="47" t="s">
        <v>50</v>
      </c>
      <c r="C64" s="47" t="s">
        <v>51</v>
      </c>
      <c r="D64" s="47" t="s">
        <v>52</v>
      </c>
    </row>
    <row r="65" spans="1:4">
      <c r="B65" s="48" t="e">
        <f>#REF!+#REF!+#REF!+#REF!+#REF!+#REF!+#REF!+#REF!+#REF!</f>
        <v>#REF!</v>
      </c>
      <c r="C65" s="49">
        <f>SUMIFS('2017OT'!H:H,'2017OT'!A:A,"Part timer onsite")</f>
        <v>290</v>
      </c>
      <c r="D65" s="49">
        <f>SUM(C12:C62)</f>
        <v>290</v>
      </c>
    </row>
    <row r="66" spans="1:4">
      <c r="B66" s="50"/>
    </row>
    <row r="67" spans="1:4">
      <c r="A67" s="51" t="s">
        <v>53</v>
      </c>
      <c r="B67" s="36" t="str">
        <f>"2017"&amp;"OT"</f>
        <v>2017OT</v>
      </c>
    </row>
    <row r="68" spans="1:4">
      <c r="A68" s="36" t="s">
        <v>54</v>
      </c>
      <c r="B68" s="36" t="str">
        <f>C4&amp;"_"&amp;B5</f>
        <v>Jun_2019</v>
      </c>
    </row>
    <row r="69" spans="1:4">
      <c r="A69" s="36" t="s">
        <v>0</v>
      </c>
      <c r="B69" s="52" t="s">
        <v>76</v>
      </c>
    </row>
    <row r="70" spans="1:4">
      <c r="A70" s="36" t="s">
        <v>55</v>
      </c>
      <c r="B70" s="52" t="s">
        <v>80</v>
      </c>
    </row>
    <row r="71" spans="1:4">
      <c r="A71" s="36" t="s">
        <v>56</v>
      </c>
      <c r="B71" s="52" t="str">
        <f>RIGHT(B70,22)</f>
        <v>FXV_OT Hours_2018.xlsm</v>
      </c>
    </row>
    <row r="72" spans="1:4">
      <c r="A72" s="36" t="s">
        <v>57</v>
      </c>
      <c r="B72" s="52" t="str">
        <f>"D:\Print Room Issues\FXV_Overtime Payment\"&amp;B5&amp;"_"&amp;B4&amp;"_"&amp;"Partimer.xlsm"</f>
        <v>D:\Print Room Issues\FXV_Overtime Payment\2019_06_Partimer.xlsm</v>
      </c>
    </row>
    <row r="73" spans="1:4">
      <c r="A73" s="36" t="s">
        <v>58</v>
      </c>
      <c r="B73" s="52" t="str">
        <f>RIGHT(B72,21)</f>
        <v>2019_06_Partimer.xlsm</v>
      </c>
    </row>
  </sheetData>
  <conditionalFormatting sqref="B65:C65">
    <cfRule type="expression" dxfId="546" priority="6">
      <formula>$B$65&lt;&gt;$C$65</formula>
    </cfRule>
  </conditionalFormatting>
  <conditionalFormatting sqref="D65 B65">
    <cfRule type="expression" dxfId="545" priority="4">
      <formula>$B$65&lt;&gt;$D$65</formula>
    </cfRule>
  </conditionalFormatting>
  <conditionalFormatting sqref="C12:C15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{DCB96C9D-CD75-43ED-85FF-CFC4CBB50C33}</x14:id>
        </ext>
      </extLst>
    </cfRule>
  </conditionalFormatting>
  <conditionalFormatting sqref="C65:D65">
    <cfRule type="expression" dxfId="544" priority="7">
      <formula>$C$65&lt;&gt;$D$65</formula>
    </cfRule>
  </conditionalFormatting>
  <conditionalFormatting sqref="C16:C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{2F365834-513B-49E3-AAAE-C1D5C0D4303D}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B96C9D-CD75-43ED-85FF-CFC4CBB50C3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C12:C15</xm:sqref>
        </x14:conditionalFormatting>
        <x14:conditionalFormatting xmlns:xm="http://schemas.microsoft.com/office/excel/2006/main">
          <x14:cfRule type="dataBar" id="{2F365834-513B-49E3-AAAE-C1D5C0D4303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C16:C29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5"/>
  <sheetViews>
    <sheetView showGridLines="0" zoomScale="85" zoomScaleNormal="85" workbookViewId="0">
      <selection sqref="A1:XFD1048576"/>
    </sheetView>
  </sheetViews>
  <sheetFormatPr defaultRowHeight="15"/>
  <cols>
    <col min="1" max="1" width="17.7109375" style="69" customWidth="1"/>
    <col min="2" max="4" width="8.7109375" style="69" customWidth="1"/>
    <col min="5" max="5" width="14" style="69" customWidth="1"/>
    <col min="6" max="6" width="53" style="69" customWidth="1"/>
    <col min="7" max="9" width="11.7109375" style="69" customWidth="1"/>
    <col min="10" max="13" width="10.7109375" style="69" customWidth="1"/>
    <col min="14" max="14" width="9.140625" style="69"/>
    <col min="15" max="15" width="11.5703125" style="70" customWidth="1"/>
    <col min="16" max="16" width="9.140625" style="69"/>
    <col min="17" max="17" width="10" style="69" bestFit="1" customWidth="1"/>
    <col min="18" max="16384" width="9.140625" style="69"/>
  </cols>
  <sheetData>
    <row r="1" spans="1:20" ht="24">
      <c r="A1" s="103" t="str">
        <f>"Part Timer ("&amp;Macro!C4&amp;" "&amp;Macro!B5&amp;")"</f>
        <v>Part Timer (Jun 2019)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1"/>
      <c r="T1" t="s">
        <v>78</v>
      </c>
    </row>
    <row r="2" spans="1:20" ht="24" customHeight="1">
      <c r="A2" s="104" t="str">
        <f>"("&amp;TEXT(DATE(Macro!C7,Macro!D7,Macro!E7),"DD MMM YYYY")&amp;" - " &amp; TEXT(DATE(Macro!C8,Macro!D8,Macro!E8-1),"DD MMM YYYY")&amp; ")"</f>
        <v>(11 Jun 2019 - 10 Jul 2019)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O2" s="2"/>
      <c r="T2" t="s">
        <v>79</v>
      </c>
    </row>
    <row r="3" spans="1:20" ht="16.5">
      <c r="A3" s="3" t="s">
        <v>1</v>
      </c>
      <c r="B3" s="4"/>
      <c r="C3" s="4"/>
      <c r="D3" s="4"/>
      <c r="E3" s="4"/>
      <c r="G3" s="105" t="s">
        <v>2</v>
      </c>
      <c r="H3" s="105"/>
      <c r="I3" s="4"/>
      <c r="J3" s="4"/>
      <c r="K3" s="4"/>
      <c r="L3" s="4"/>
      <c r="P3" s="5"/>
      <c r="Q3" s="71">
        <f>Q6</f>
        <v>0</v>
      </c>
      <c r="R3" s="5"/>
      <c r="S3" s="5"/>
      <c r="T3" t="s">
        <v>77</v>
      </c>
    </row>
    <row r="4" spans="1:20" ht="16.5">
      <c r="A4" s="3"/>
      <c r="B4" s="3"/>
      <c r="C4" s="3"/>
      <c r="D4" s="3"/>
      <c r="E4" s="5"/>
      <c r="F4" s="5"/>
      <c r="G4" s="5"/>
      <c r="H4" s="5"/>
      <c r="I4" s="5"/>
      <c r="J4" s="5"/>
      <c r="K4" s="5"/>
      <c r="O4" s="6"/>
      <c r="P4" s="5"/>
      <c r="Q4" s="5"/>
      <c r="R4" s="5"/>
      <c r="S4" s="5"/>
    </row>
    <row r="5" spans="1:20" ht="16.5">
      <c r="A5" s="3" t="s">
        <v>3</v>
      </c>
      <c r="B5" s="4" t="s">
        <v>4</v>
      </c>
      <c r="C5" s="4"/>
      <c r="D5" s="4"/>
      <c r="E5" s="4"/>
      <c r="G5" s="105" t="s">
        <v>5</v>
      </c>
      <c r="H5" s="105"/>
      <c r="I5" s="4" t="s">
        <v>6</v>
      </c>
      <c r="J5" s="4"/>
      <c r="K5" s="4"/>
      <c r="L5" s="4"/>
      <c r="O5" s="106" t="s">
        <v>7</v>
      </c>
      <c r="P5" s="106"/>
      <c r="Q5" s="7">
        <f>E38</f>
        <v>0</v>
      </c>
      <c r="R5" s="5"/>
      <c r="S5" s="5"/>
    </row>
    <row r="6" spans="1:20" ht="16.5">
      <c r="O6" s="106" t="s">
        <v>8</v>
      </c>
      <c r="P6" s="106"/>
      <c r="Q6" s="8">
        <f>O38</f>
        <v>0</v>
      </c>
      <c r="R6"/>
      <c r="S6"/>
      <c r="T6"/>
    </row>
    <row r="7" spans="1:20" ht="15" customHeight="1">
      <c r="A7" s="62" t="s">
        <v>9</v>
      </c>
      <c r="B7" s="88" t="s">
        <v>10</v>
      </c>
      <c r="C7" s="90" t="s">
        <v>11</v>
      </c>
      <c r="D7" s="90"/>
      <c r="E7" s="91" t="s">
        <v>12</v>
      </c>
      <c r="F7" s="92" t="s">
        <v>13</v>
      </c>
      <c r="G7" s="88" t="s">
        <v>14</v>
      </c>
      <c r="H7" s="93"/>
      <c r="I7" s="93"/>
      <c r="J7" s="94"/>
      <c r="K7" s="97" t="s">
        <v>15</v>
      </c>
      <c r="L7" s="98"/>
      <c r="M7" s="99"/>
      <c r="O7" s="9" t="s">
        <v>19</v>
      </c>
      <c r="P7" s="82">
        <f>Macro!B7</f>
        <v>43627</v>
      </c>
      <c r="Q7" s="82"/>
      <c r="R7"/>
      <c r="S7"/>
      <c r="T7"/>
    </row>
    <row r="8" spans="1:20" ht="27.75" customHeight="1">
      <c r="A8" s="63" t="s">
        <v>16</v>
      </c>
      <c r="B8" s="89"/>
      <c r="C8" s="64" t="s">
        <v>17</v>
      </c>
      <c r="D8" s="64" t="s">
        <v>18</v>
      </c>
      <c r="E8" s="91"/>
      <c r="F8" s="92"/>
      <c r="G8" s="89"/>
      <c r="H8" s="95"/>
      <c r="I8" s="95"/>
      <c r="J8" s="96"/>
      <c r="K8" s="100"/>
      <c r="L8" s="101"/>
      <c r="M8" s="102"/>
      <c r="O8" s="9" t="s">
        <v>37</v>
      </c>
      <c r="P8" s="82">
        <f>Macro!B8</f>
        <v>43657</v>
      </c>
      <c r="Q8" s="82"/>
      <c r="R8"/>
      <c r="S8"/>
      <c r="T8"/>
    </row>
    <row r="9" spans="1:20" ht="16.5">
      <c r="A9" s="73"/>
      <c r="B9" s="72"/>
      <c r="C9" s="11"/>
      <c r="D9" s="11"/>
      <c r="E9" s="12"/>
      <c r="F9" s="10"/>
      <c r="G9" s="10" t="str">
        <f>IF(LEFT(P9,7)=$T$1,LEFT(P9,46),IF(LEFT(P9,6)=$T$2,$T$3,LEFT(P9,20)))</f>
        <v/>
      </c>
      <c r="H9" s="13"/>
      <c r="I9" s="13"/>
      <c r="J9" s="14"/>
      <c r="K9" s="15"/>
      <c r="L9" s="16"/>
      <c r="M9" s="17"/>
      <c r="O9" s="18">
        <f>IF(B9="sun",E9*2,E9)</f>
        <v>0</v>
      </c>
      <c r="P9" s="19"/>
      <c r="Q9"/>
      <c r="R9"/>
      <c r="S9"/>
      <c r="T9"/>
    </row>
    <row r="10" spans="1:20" ht="16.5">
      <c r="A10" s="73"/>
      <c r="B10" s="72"/>
      <c r="C10" s="11"/>
      <c r="D10" s="11"/>
      <c r="E10" s="12"/>
      <c r="F10" s="10"/>
      <c r="G10" s="10" t="str">
        <f t="shared" ref="G10:G37" si="0">IF(LEFT(P10,7)=$T$1,LEFT(P10,46),IF(LEFT(P10,6)=$T$2,$T$3,LEFT(P10,20)))</f>
        <v/>
      </c>
      <c r="H10" s="13"/>
      <c r="I10" s="13"/>
      <c r="J10" s="14"/>
      <c r="K10" s="15"/>
      <c r="L10" s="16"/>
      <c r="M10" s="17"/>
      <c r="O10" s="18">
        <f t="shared" ref="O10:O37" si="1">IF(B10="sun",E10*2,E10)</f>
        <v>0</v>
      </c>
      <c r="P10"/>
      <c r="Q10"/>
      <c r="R10"/>
      <c r="S10"/>
      <c r="T10"/>
    </row>
    <row r="11" spans="1:20" ht="16.5">
      <c r="A11" s="73"/>
      <c r="B11" s="72"/>
      <c r="C11" s="11"/>
      <c r="D11" s="11"/>
      <c r="E11" s="12"/>
      <c r="F11" s="10"/>
      <c r="G11" s="10" t="str">
        <f t="shared" si="0"/>
        <v/>
      </c>
      <c r="H11" s="13"/>
      <c r="I11" s="13"/>
      <c r="J11" s="14"/>
      <c r="K11" s="15"/>
      <c r="L11" s="16"/>
      <c r="M11" s="17"/>
      <c r="O11" s="18">
        <f t="shared" si="1"/>
        <v>0</v>
      </c>
      <c r="P11"/>
      <c r="Q11"/>
      <c r="R11"/>
      <c r="S11"/>
      <c r="T11"/>
    </row>
    <row r="12" spans="1:20" ht="16.5">
      <c r="A12" s="73"/>
      <c r="B12" s="72"/>
      <c r="C12" s="11"/>
      <c r="D12" s="11"/>
      <c r="E12" s="12"/>
      <c r="F12" s="10"/>
      <c r="G12" s="10" t="str">
        <f t="shared" si="0"/>
        <v/>
      </c>
      <c r="H12" s="13"/>
      <c r="I12" s="13"/>
      <c r="J12" s="14"/>
      <c r="K12" s="15"/>
      <c r="L12" s="16"/>
      <c r="M12" s="17"/>
      <c r="O12" s="18">
        <f t="shared" si="1"/>
        <v>0</v>
      </c>
      <c r="P12"/>
      <c r="Q12"/>
      <c r="R12"/>
      <c r="S12"/>
      <c r="T12"/>
    </row>
    <row r="13" spans="1:20" ht="16.5">
      <c r="A13" s="73"/>
      <c r="B13" s="72"/>
      <c r="C13" s="11"/>
      <c r="D13" s="11"/>
      <c r="E13" s="12"/>
      <c r="F13" s="10"/>
      <c r="G13" s="10" t="str">
        <f t="shared" si="0"/>
        <v/>
      </c>
      <c r="H13" s="13"/>
      <c r="I13" s="13"/>
      <c r="J13" s="14"/>
      <c r="K13" s="15"/>
      <c r="L13" s="16"/>
      <c r="M13" s="17"/>
      <c r="O13" s="18">
        <f t="shared" si="1"/>
        <v>0</v>
      </c>
      <c r="P13"/>
      <c r="Q13"/>
      <c r="R13"/>
      <c r="S13"/>
      <c r="T13"/>
    </row>
    <row r="14" spans="1:20" ht="16.5">
      <c r="A14" s="73"/>
      <c r="B14" s="72"/>
      <c r="C14" s="11"/>
      <c r="D14" s="11"/>
      <c r="E14" s="12"/>
      <c r="F14" s="10"/>
      <c r="G14" s="10" t="str">
        <f t="shared" si="0"/>
        <v/>
      </c>
      <c r="H14" s="13"/>
      <c r="I14" s="13"/>
      <c r="J14" s="14"/>
      <c r="K14" s="15"/>
      <c r="L14" s="16"/>
      <c r="M14" s="17"/>
      <c r="O14" s="18">
        <f t="shared" si="1"/>
        <v>0</v>
      </c>
      <c r="P14"/>
      <c r="Q14"/>
      <c r="R14"/>
      <c r="S14"/>
      <c r="T14"/>
    </row>
    <row r="15" spans="1:20" ht="16.5">
      <c r="A15" s="73"/>
      <c r="B15" s="72"/>
      <c r="C15" s="11"/>
      <c r="D15" s="11"/>
      <c r="E15" s="12"/>
      <c r="F15" s="10"/>
      <c r="G15" s="10" t="str">
        <f t="shared" si="0"/>
        <v/>
      </c>
      <c r="H15" s="13"/>
      <c r="I15" s="13"/>
      <c r="J15" s="14"/>
      <c r="K15" s="15"/>
      <c r="L15" s="16"/>
      <c r="M15" s="17"/>
      <c r="O15" s="18">
        <f t="shared" si="1"/>
        <v>0</v>
      </c>
      <c r="P15"/>
      <c r="Q15"/>
      <c r="R15"/>
      <c r="S15"/>
      <c r="T15"/>
    </row>
    <row r="16" spans="1:20" ht="16.5">
      <c r="A16" s="73"/>
      <c r="B16" s="72"/>
      <c r="C16" s="11"/>
      <c r="D16" s="11"/>
      <c r="E16" s="12"/>
      <c r="F16" s="10"/>
      <c r="G16" s="10" t="str">
        <f t="shared" si="0"/>
        <v/>
      </c>
      <c r="H16" s="13"/>
      <c r="I16" s="13"/>
      <c r="J16" s="14"/>
      <c r="K16" s="15"/>
      <c r="L16" s="16"/>
      <c r="M16" s="17"/>
      <c r="O16" s="18">
        <f t="shared" si="1"/>
        <v>0</v>
      </c>
      <c r="P16"/>
      <c r="Q16"/>
      <c r="R16"/>
      <c r="S16"/>
      <c r="T16"/>
    </row>
    <row r="17" spans="1:20" ht="16.5">
      <c r="A17" s="73"/>
      <c r="B17" s="72"/>
      <c r="C17" s="11"/>
      <c r="D17" s="11"/>
      <c r="E17" s="12"/>
      <c r="F17" s="10"/>
      <c r="G17" s="10" t="str">
        <f t="shared" si="0"/>
        <v/>
      </c>
      <c r="H17" s="13"/>
      <c r="I17" s="13"/>
      <c r="J17" s="14"/>
      <c r="K17" s="15"/>
      <c r="L17" s="16"/>
      <c r="M17" s="17"/>
      <c r="O17" s="18">
        <f t="shared" si="1"/>
        <v>0</v>
      </c>
      <c r="P17"/>
      <c r="Q17"/>
      <c r="R17"/>
      <c r="S17"/>
      <c r="T17"/>
    </row>
    <row r="18" spans="1:20" ht="16.5">
      <c r="A18" s="73"/>
      <c r="B18" s="72"/>
      <c r="C18" s="11"/>
      <c r="D18" s="11"/>
      <c r="E18" s="12"/>
      <c r="F18" s="10"/>
      <c r="G18" s="10" t="str">
        <f t="shared" si="0"/>
        <v/>
      </c>
      <c r="H18" s="13"/>
      <c r="I18" s="13"/>
      <c r="J18" s="14"/>
      <c r="K18" s="15"/>
      <c r="L18" s="16"/>
      <c r="M18" s="17"/>
      <c r="O18" s="18">
        <f t="shared" si="1"/>
        <v>0</v>
      </c>
      <c r="P18"/>
      <c r="Q18"/>
      <c r="R18"/>
      <c r="S18"/>
      <c r="T18"/>
    </row>
    <row r="19" spans="1:20" ht="16.5">
      <c r="A19" s="73"/>
      <c r="B19" s="72"/>
      <c r="C19" s="11"/>
      <c r="D19" s="11"/>
      <c r="E19" s="12"/>
      <c r="F19" s="10"/>
      <c r="G19" s="10" t="str">
        <f t="shared" si="0"/>
        <v/>
      </c>
      <c r="H19" s="13"/>
      <c r="I19" s="13"/>
      <c r="J19" s="14"/>
      <c r="K19" s="15"/>
      <c r="L19" s="16"/>
      <c r="M19" s="17"/>
      <c r="O19" s="18">
        <f t="shared" si="1"/>
        <v>0</v>
      </c>
      <c r="P19"/>
      <c r="Q19"/>
      <c r="R19"/>
      <c r="S19"/>
      <c r="T19"/>
    </row>
    <row r="20" spans="1:20" ht="16.5">
      <c r="A20" s="73"/>
      <c r="B20" s="72"/>
      <c r="C20" s="11"/>
      <c r="D20" s="11"/>
      <c r="E20" s="12"/>
      <c r="F20" s="10"/>
      <c r="G20" s="10" t="str">
        <f t="shared" si="0"/>
        <v/>
      </c>
      <c r="H20" s="13"/>
      <c r="I20" s="13"/>
      <c r="J20" s="14"/>
      <c r="K20" s="15"/>
      <c r="L20" s="16"/>
      <c r="M20" s="17"/>
      <c r="O20" s="18">
        <f t="shared" si="1"/>
        <v>0</v>
      </c>
      <c r="P20"/>
      <c r="Q20"/>
      <c r="R20"/>
      <c r="S20"/>
      <c r="T20"/>
    </row>
    <row r="21" spans="1:20" ht="16.5">
      <c r="A21" s="73"/>
      <c r="B21" s="72"/>
      <c r="C21" s="11"/>
      <c r="D21" s="11"/>
      <c r="E21" s="12"/>
      <c r="F21" s="10"/>
      <c r="G21" s="10" t="str">
        <f t="shared" si="0"/>
        <v/>
      </c>
      <c r="H21" s="13"/>
      <c r="I21" s="13"/>
      <c r="J21" s="14"/>
      <c r="K21" s="15"/>
      <c r="L21" s="16"/>
      <c r="M21" s="17"/>
      <c r="O21" s="18">
        <f t="shared" si="1"/>
        <v>0</v>
      </c>
      <c r="P21"/>
      <c r="Q21"/>
      <c r="R21"/>
      <c r="S21"/>
      <c r="T21"/>
    </row>
    <row r="22" spans="1:20" ht="16.5">
      <c r="A22" s="73"/>
      <c r="B22" s="72"/>
      <c r="C22" s="11"/>
      <c r="D22" s="11"/>
      <c r="E22" s="12"/>
      <c r="F22" s="10"/>
      <c r="G22" s="10" t="str">
        <f t="shared" si="0"/>
        <v/>
      </c>
      <c r="H22" s="13"/>
      <c r="I22" s="13"/>
      <c r="J22" s="14"/>
      <c r="K22" s="15"/>
      <c r="L22" s="16"/>
      <c r="M22" s="17"/>
      <c r="O22" s="18">
        <f t="shared" si="1"/>
        <v>0</v>
      </c>
      <c r="P22"/>
      <c r="Q22"/>
      <c r="R22"/>
      <c r="S22"/>
      <c r="T22"/>
    </row>
    <row r="23" spans="1:20" ht="16.5">
      <c r="A23" s="73"/>
      <c r="B23" s="72"/>
      <c r="C23" s="11"/>
      <c r="D23" s="11"/>
      <c r="E23" s="12"/>
      <c r="F23" s="10"/>
      <c r="G23" s="10" t="str">
        <f t="shared" si="0"/>
        <v/>
      </c>
      <c r="H23" s="13"/>
      <c r="I23" s="13"/>
      <c r="J23" s="14"/>
      <c r="K23" s="15"/>
      <c r="L23" s="16"/>
      <c r="M23" s="17"/>
      <c r="O23" s="18">
        <f t="shared" si="1"/>
        <v>0</v>
      </c>
      <c r="P23"/>
      <c r="Q23"/>
      <c r="R23"/>
      <c r="S23"/>
      <c r="T23"/>
    </row>
    <row r="24" spans="1:20" ht="16.5">
      <c r="A24" s="73"/>
      <c r="B24" s="72"/>
      <c r="C24" s="11"/>
      <c r="D24" s="11"/>
      <c r="E24" s="12"/>
      <c r="F24" s="10"/>
      <c r="G24" s="10" t="str">
        <f t="shared" si="0"/>
        <v/>
      </c>
      <c r="H24" s="13"/>
      <c r="I24" s="13"/>
      <c r="J24" s="14"/>
      <c r="K24" s="15"/>
      <c r="L24" s="16"/>
      <c r="M24" s="17"/>
      <c r="O24" s="18">
        <f t="shared" si="1"/>
        <v>0</v>
      </c>
      <c r="P24"/>
      <c r="Q24"/>
      <c r="R24"/>
      <c r="S24"/>
      <c r="T24"/>
    </row>
    <row r="25" spans="1:20" ht="16.5">
      <c r="A25" s="73"/>
      <c r="B25" s="72"/>
      <c r="C25" s="11"/>
      <c r="D25" s="11"/>
      <c r="E25" s="12"/>
      <c r="F25" s="10"/>
      <c r="G25" s="10" t="str">
        <f t="shared" si="0"/>
        <v/>
      </c>
      <c r="H25" s="13"/>
      <c r="I25" s="13"/>
      <c r="J25" s="14"/>
      <c r="K25" s="15"/>
      <c r="L25" s="16"/>
      <c r="M25" s="17"/>
      <c r="O25" s="18">
        <f t="shared" si="1"/>
        <v>0</v>
      </c>
      <c r="P25"/>
      <c r="Q25"/>
      <c r="R25"/>
      <c r="S25"/>
      <c r="T25"/>
    </row>
    <row r="26" spans="1:20" ht="16.5">
      <c r="A26" s="73"/>
      <c r="B26" s="72"/>
      <c r="C26" s="11"/>
      <c r="D26" s="11"/>
      <c r="E26" s="12"/>
      <c r="F26" s="10"/>
      <c r="G26" s="10" t="str">
        <f t="shared" si="0"/>
        <v/>
      </c>
      <c r="H26" s="13"/>
      <c r="I26" s="13"/>
      <c r="J26" s="14"/>
      <c r="K26" s="15"/>
      <c r="L26" s="16"/>
      <c r="M26" s="17"/>
      <c r="O26" s="18">
        <f t="shared" si="1"/>
        <v>0</v>
      </c>
      <c r="P26"/>
      <c r="Q26"/>
      <c r="R26"/>
      <c r="S26"/>
      <c r="T26"/>
    </row>
    <row r="27" spans="1:20" ht="16.5">
      <c r="A27" s="73"/>
      <c r="B27" s="72"/>
      <c r="C27" s="11"/>
      <c r="D27" s="11"/>
      <c r="E27" s="12"/>
      <c r="F27" s="10"/>
      <c r="G27" s="10" t="str">
        <f t="shared" si="0"/>
        <v/>
      </c>
      <c r="H27" s="13"/>
      <c r="I27" s="13"/>
      <c r="J27" s="14"/>
      <c r="K27" s="15"/>
      <c r="L27" s="16"/>
      <c r="M27" s="17"/>
      <c r="O27" s="18">
        <f t="shared" si="1"/>
        <v>0</v>
      </c>
      <c r="P27"/>
      <c r="Q27"/>
      <c r="R27"/>
      <c r="S27"/>
      <c r="T27"/>
    </row>
    <row r="28" spans="1:20" ht="16.5">
      <c r="A28" s="73"/>
      <c r="B28" s="72"/>
      <c r="C28" s="11"/>
      <c r="D28" s="11"/>
      <c r="E28" s="12"/>
      <c r="F28" s="10"/>
      <c r="G28" s="10" t="str">
        <f t="shared" si="0"/>
        <v/>
      </c>
      <c r="H28" s="13"/>
      <c r="I28" s="13"/>
      <c r="J28" s="14"/>
      <c r="K28" s="15"/>
      <c r="L28" s="16"/>
      <c r="M28" s="17"/>
      <c r="O28" s="18">
        <f t="shared" si="1"/>
        <v>0</v>
      </c>
      <c r="P28"/>
      <c r="Q28"/>
      <c r="R28"/>
      <c r="S28"/>
      <c r="T28"/>
    </row>
    <row r="29" spans="1:20" ht="16.5">
      <c r="A29" s="73"/>
      <c r="B29" s="72"/>
      <c r="C29" s="11"/>
      <c r="D29" s="11"/>
      <c r="E29" s="12"/>
      <c r="F29" s="10"/>
      <c r="G29" s="10" t="str">
        <f t="shared" si="0"/>
        <v/>
      </c>
      <c r="H29" s="13"/>
      <c r="I29" s="13"/>
      <c r="J29" s="14"/>
      <c r="K29" s="15"/>
      <c r="L29" s="16"/>
      <c r="M29" s="17"/>
      <c r="O29" s="18">
        <f t="shared" si="1"/>
        <v>0</v>
      </c>
      <c r="P29"/>
      <c r="Q29"/>
      <c r="R29"/>
      <c r="S29"/>
      <c r="T29"/>
    </row>
    <row r="30" spans="1:20" ht="16.5">
      <c r="A30" s="73"/>
      <c r="B30" s="72"/>
      <c r="C30" s="11"/>
      <c r="D30" s="11"/>
      <c r="E30" s="12"/>
      <c r="F30" s="10"/>
      <c r="G30" s="10" t="str">
        <f t="shared" si="0"/>
        <v/>
      </c>
      <c r="H30" s="13"/>
      <c r="I30" s="13"/>
      <c r="J30" s="14"/>
      <c r="K30" s="15"/>
      <c r="L30" s="16"/>
      <c r="M30" s="17"/>
      <c r="O30" s="18">
        <f t="shared" si="1"/>
        <v>0</v>
      </c>
      <c r="P30"/>
      <c r="Q30"/>
      <c r="R30"/>
      <c r="S30"/>
      <c r="T30"/>
    </row>
    <row r="31" spans="1:20" ht="16.5">
      <c r="A31" s="73"/>
      <c r="B31" s="72"/>
      <c r="C31" s="11"/>
      <c r="D31" s="11"/>
      <c r="E31" s="12"/>
      <c r="F31" s="10"/>
      <c r="G31" s="10" t="str">
        <f t="shared" si="0"/>
        <v/>
      </c>
      <c r="H31" s="13"/>
      <c r="I31" s="13"/>
      <c r="J31" s="14"/>
      <c r="K31" s="15"/>
      <c r="L31" s="16"/>
      <c r="M31" s="17"/>
      <c r="O31" s="18">
        <f t="shared" si="1"/>
        <v>0</v>
      </c>
      <c r="P31"/>
      <c r="Q31"/>
      <c r="R31"/>
      <c r="S31"/>
      <c r="T31"/>
    </row>
    <row r="32" spans="1:20" ht="16.5">
      <c r="A32" s="73"/>
      <c r="B32" s="72"/>
      <c r="C32" s="11"/>
      <c r="D32" s="11"/>
      <c r="E32" s="12"/>
      <c r="F32" s="10"/>
      <c r="G32" s="10" t="str">
        <f t="shared" si="0"/>
        <v/>
      </c>
      <c r="H32" s="13"/>
      <c r="I32" s="13"/>
      <c r="J32" s="14"/>
      <c r="K32" s="15"/>
      <c r="L32" s="16"/>
      <c r="M32" s="17"/>
      <c r="O32" s="18">
        <f t="shared" si="1"/>
        <v>0</v>
      </c>
      <c r="P32"/>
      <c r="Q32"/>
      <c r="R32"/>
      <c r="S32"/>
      <c r="T32"/>
    </row>
    <row r="33" spans="1:20" ht="16.5">
      <c r="A33" s="73"/>
      <c r="B33" s="72"/>
      <c r="C33" s="11"/>
      <c r="D33" s="11"/>
      <c r="E33" s="12"/>
      <c r="F33" s="10"/>
      <c r="G33" s="10" t="str">
        <f t="shared" si="0"/>
        <v/>
      </c>
      <c r="H33" s="13"/>
      <c r="I33" s="13"/>
      <c r="J33" s="14"/>
      <c r="K33" s="15"/>
      <c r="L33" s="16"/>
      <c r="M33" s="17"/>
      <c r="O33" s="18">
        <f t="shared" si="1"/>
        <v>0</v>
      </c>
      <c r="P33"/>
      <c r="Q33"/>
      <c r="R33"/>
      <c r="S33"/>
      <c r="T33"/>
    </row>
    <row r="34" spans="1:20" ht="16.5">
      <c r="A34" s="73"/>
      <c r="B34" s="72"/>
      <c r="C34" s="11"/>
      <c r="D34" s="11"/>
      <c r="E34" s="12"/>
      <c r="F34" s="10"/>
      <c r="G34" s="10" t="str">
        <f t="shared" si="0"/>
        <v/>
      </c>
      <c r="H34" s="13"/>
      <c r="I34" s="13"/>
      <c r="J34" s="14"/>
      <c r="K34" s="15"/>
      <c r="L34" s="16"/>
      <c r="M34" s="17"/>
      <c r="O34" s="18">
        <f t="shared" si="1"/>
        <v>0</v>
      </c>
      <c r="P34"/>
      <c r="Q34"/>
      <c r="R34"/>
      <c r="S34"/>
      <c r="T34"/>
    </row>
    <row r="35" spans="1:20" ht="16.5">
      <c r="A35" s="73"/>
      <c r="B35" s="72"/>
      <c r="C35" s="11"/>
      <c r="D35" s="11"/>
      <c r="E35" s="12"/>
      <c r="F35" s="10"/>
      <c r="G35" s="10" t="str">
        <f t="shared" si="0"/>
        <v/>
      </c>
      <c r="H35" s="13"/>
      <c r="I35" s="13"/>
      <c r="J35" s="14"/>
      <c r="K35" s="15"/>
      <c r="L35" s="16"/>
      <c r="M35" s="17"/>
      <c r="O35" s="18">
        <f t="shared" si="1"/>
        <v>0</v>
      </c>
      <c r="P35"/>
      <c r="Q35"/>
      <c r="R35"/>
      <c r="S35"/>
      <c r="T35"/>
    </row>
    <row r="36" spans="1:20" ht="16.5">
      <c r="A36" s="73"/>
      <c r="B36" s="72"/>
      <c r="C36" s="11"/>
      <c r="D36" s="11"/>
      <c r="E36" s="12"/>
      <c r="F36" s="10"/>
      <c r="G36" s="10" t="str">
        <f t="shared" si="0"/>
        <v/>
      </c>
      <c r="H36" s="13"/>
      <c r="I36" s="13"/>
      <c r="J36" s="14"/>
      <c r="K36" s="15"/>
      <c r="L36" s="16"/>
      <c r="M36" s="17"/>
      <c r="O36" s="18">
        <f t="shared" si="1"/>
        <v>0</v>
      </c>
      <c r="P36"/>
      <c r="Q36"/>
      <c r="R36"/>
      <c r="S36"/>
      <c r="T36"/>
    </row>
    <row r="37" spans="1:20" ht="16.5">
      <c r="A37" s="73"/>
      <c r="B37" s="72"/>
      <c r="C37" s="11"/>
      <c r="D37" s="11"/>
      <c r="E37" s="12"/>
      <c r="F37" s="10"/>
      <c r="G37" s="10" t="str">
        <f t="shared" si="0"/>
        <v/>
      </c>
      <c r="H37" s="13"/>
      <c r="I37" s="13"/>
      <c r="J37" s="14"/>
      <c r="K37" s="65"/>
      <c r="L37" s="66"/>
      <c r="M37" s="67"/>
      <c r="O37" s="18">
        <f t="shared" si="1"/>
        <v>0</v>
      </c>
      <c r="P37"/>
      <c r="Q37"/>
      <c r="R37"/>
      <c r="S37"/>
      <c r="T37"/>
    </row>
    <row r="38" spans="1:20" ht="15.75">
      <c r="A38" s="3"/>
      <c r="B38" s="3"/>
      <c r="C38" s="20"/>
      <c r="D38" s="20" t="s">
        <v>25</v>
      </c>
      <c r="E38" s="21">
        <f>SUM(E9:E37)</f>
        <v>0</v>
      </c>
      <c r="F38" s="3"/>
      <c r="G38" s="3"/>
      <c r="H38" s="3"/>
      <c r="I38" s="3"/>
      <c r="J38" s="3"/>
      <c r="O38" s="21">
        <f>SUM(O9:O37)</f>
        <v>0</v>
      </c>
      <c r="P38"/>
      <c r="Q38"/>
      <c r="R38"/>
      <c r="S38"/>
      <c r="T38"/>
    </row>
    <row r="39" spans="1:20">
      <c r="F39" s="22"/>
      <c r="N39" s="23"/>
      <c r="P39"/>
      <c r="Q39"/>
      <c r="R39"/>
      <c r="S39"/>
      <c r="T39"/>
    </row>
    <row r="40" spans="1:20">
      <c r="A40" s="24" t="s">
        <v>26</v>
      </c>
      <c r="B40" s="24"/>
      <c r="E40" s="24" t="s">
        <v>27</v>
      </c>
      <c r="F40" s="24"/>
      <c r="G40" s="24"/>
      <c r="J40" s="24" t="s">
        <v>27</v>
      </c>
      <c r="K40" s="24"/>
      <c r="L40" s="24"/>
      <c r="M40" s="24"/>
    </row>
    <row r="41" spans="1:20" ht="16.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5"/>
      <c r="O41" s="83"/>
      <c r="P41" s="83"/>
    </row>
    <row r="42" spans="1:20" ht="16.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5"/>
    </row>
    <row r="43" spans="1:20">
      <c r="A43" s="84"/>
      <c r="B43" s="84"/>
      <c r="C43" s="84"/>
      <c r="D43" s="25"/>
      <c r="E43" s="68"/>
      <c r="F43" s="68"/>
      <c r="G43" s="68"/>
      <c r="H43" s="26"/>
      <c r="I43" s="25"/>
      <c r="J43" s="27"/>
      <c r="K43" s="27"/>
      <c r="L43" s="68"/>
      <c r="M43" s="68"/>
      <c r="N43" s="28"/>
    </row>
    <row r="44" spans="1:20" ht="16.5">
      <c r="A44" s="24" t="s">
        <v>28</v>
      </c>
      <c r="B44" s="24"/>
      <c r="C44" s="29" t="s">
        <v>29</v>
      </c>
      <c r="E44" s="85" t="s">
        <v>30</v>
      </c>
      <c r="F44" s="85"/>
      <c r="G44" s="85"/>
      <c r="H44" s="29" t="s">
        <v>29</v>
      </c>
      <c r="J44" s="24" t="s">
        <v>31</v>
      </c>
      <c r="K44" s="24"/>
      <c r="M44" s="24" t="s">
        <v>29</v>
      </c>
      <c r="N44" s="5"/>
      <c r="O44" s="87">
        <f>O38*35000</f>
        <v>0</v>
      </c>
      <c r="P44" s="87"/>
    </row>
    <row r="45" spans="1:20">
      <c r="A45" s="24"/>
      <c r="B45" s="24"/>
      <c r="C45" s="24"/>
      <c r="D45" s="24"/>
      <c r="E45" s="86"/>
      <c r="F45" s="86"/>
      <c r="G45" s="86"/>
      <c r="H45" s="24"/>
      <c r="I45" s="24"/>
      <c r="J45" s="24"/>
      <c r="K45" s="24"/>
      <c r="L45" s="24"/>
      <c r="M45" s="24"/>
      <c r="O45" s="30"/>
    </row>
  </sheetData>
  <mergeCells count="18">
    <mergeCell ref="A1:M1"/>
    <mergeCell ref="G3:H3"/>
    <mergeCell ref="G5:H5"/>
    <mergeCell ref="O5:P5"/>
    <mergeCell ref="O6:P6"/>
    <mergeCell ref="A2:M2"/>
    <mergeCell ref="P8:Q8"/>
    <mergeCell ref="O41:P41"/>
    <mergeCell ref="A43:C43"/>
    <mergeCell ref="E44:G45"/>
    <mergeCell ref="O44:P44"/>
    <mergeCell ref="B7:B8"/>
    <mergeCell ref="C7:D7"/>
    <mergeCell ref="E7:E8"/>
    <mergeCell ref="F7:F8"/>
    <mergeCell ref="G7:J8"/>
    <mergeCell ref="K7:M8"/>
    <mergeCell ref="P7:Q7"/>
  </mergeCells>
  <pageMargins left="0.25" right="0.25" top="0.25" bottom="0.25" header="0.3" footer="0.3"/>
  <pageSetup paperSize="9" scale="7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92"/>
  <sheetViews>
    <sheetView topLeftCell="K1" workbookViewId="0">
      <selection activeCell="K2" sqref="K2:K32"/>
    </sheetView>
  </sheetViews>
  <sheetFormatPr defaultRowHeight="15"/>
  <cols>
    <col min="1" max="1" width="15.42578125" bestFit="1" customWidth="1"/>
    <col min="2" max="2" width="24.140625" bestFit="1" customWidth="1"/>
    <col min="3" max="3" width="11.28515625" bestFit="1" customWidth="1"/>
    <col min="10" max="10" width="33.140625" bestFit="1" customWidth="1"/>
    <col min="11" max="11" width="189.7109375" bestFit="1" customWidth="1"/>
  </cols>
  <sheetData>
    <row r="1" spans="1:23" ht="63">
      <c r="A1" s="53" t="s">
        <v>59</v>
      </c>
      <c r="B1" s="53" t="s">
        <v>60</v>
      </c>
      <c r="C1" s="53" t="s">
        <v>61</v>
      </c>
      <c r="D1" s="53" t="s">
        <v>62</v>
      </c>
      <c r="E1" s="53" t="s">
        <v>63</v>
      </c>
      <c r="F1" s="53" t="s">
        <v>64</v>
      </c>
      <c r="G1" s="53" t="s">
        <v>65</v>
      </c>
      <c r="H1" s="53" t="s">
        <v>66</v>
      </c>
      <c r="I1" s="53" t="s">
        <v>67</v>
      </c>
      <c r="J1" s="53" t="s">
        <v>68</v>
      </c>
      <c r="K1" s="53" t="s">
        <v>69</v>
      </c>
      <c r="L1" s="53" t="s">
        <v>70</v>
      </c>
      <c r="M1" s="53" t="s">
        <v>33</v>
      </c>
      <c r="W1" s="53" t="s">
        <v>60</v>
      </c>
    </row>
    <row r="2" spans="1:23" ht="15.75">
      <c r="A2" s="54" t="s">
        <v>6</v>
      </c>
      <c r="B2" s="55" t="s">
        <v>81</v>
      </c>
      <c r="C2" s="56">
        <v>43627</v>
      </c>
      <c r="D2" s="57" t="s">
        <v>24</v>
      </c>
      <c r="E2" s="58">
        <v>0.35416666666666669</v>
      </c>
      <c r="F2" s="58">
        <v>0.72916666666666663</v>
      </c>
      <c r="G2" s="59">
        <v>0</v>
      </c>
      <c r="H2" s="59">
        <v>7.9999999999999982</v>
      </c>
      <c r="I2" s="59">
        <v>7.9999999999999982</v>
      </c>
      <c r="J2" s="61" t="s">
        <v>20</v>
      </c>
      <c r="K2" s="60" t="s">
        <v>92</v>
      </c>
      <c r="L2" s="55" t="s">
        <v>71</v>
      </c>
      <c r="M2" s="55" t="str">
        <f t="shared" ref="M2:M48" si="0">IF($C2="","",TEXT(DATE(YEAR($C2),MONTH($C2),DAY($C2)),"MMM")&amp;"_"&amp;YEAR($C2))</f>
        <v>Jun_2019</v>
      </c>
      <c r="W2" s="55" t="s">
        <v>40</v>
      </c>
    </row>
    <row r="3" spans="1:23" ht="15.75">
      <c r="A3" s="54" t="s">
        <v>6</v>
      </c>
      <c r="B3" s="55" t="s">
        <v>81</v>
      </c>
      <c r="C3" s="56">
        <v>43629</v>
      </c>
      <c r="D3" s="57" t="s">
        <v>21</v>
      </c>
      <c r="E3" s="58">
        <v>0.35416666666666669</v>
      </c>
      <c r="F3" s="58">
        <v>0.72916666666666663</v>
      </c>
      <c r="G3" s="59">
        <v>0</v>
      </c>
      <c r="H3" s="59">
        <v>7.9999999999999982</v>
      </c>
      <c r="I3" s="59">
        <v>7.9999999999999982</v>
      </c>
      <c r="J3" s="61" t="s">
        <v>20</v>
      </c>
      <c r="K3" s="60" t="s">
        <v>93</v>
      </c>
      <c r="L3" s="55" t="s">
        <v>71</v>
      </c>
      <c r="M3" s="55" t="str">
        <f t="shared" si="0"/>
        <v>Jun_2019</v>
      </c>
      <c r="W3" s="55" t="s">
        <v>41</v>
      </c>
    </row>
    <row r="4" spans="1:23" ht="15.75">
      <c r="A4" s="54" t="s">
        <v>6</v>
      </c>
      <c r="B4" s="55" t="s">
        <v>74</v>
      </c>
      <c r="C4" s="56">
        <v>43629</v>
      </c>
      <c r="D4" s="57" t="s">
        <v>21</v>
      </c>
      <c r="E4" s="58">
        <v>0.35416666666666669</v>
      </c>
      <c r="F4" s="58">
        <v>0.72916666666666663</v>
      </c>
      <c r="G4" s="59">
        <v>0</v>
      </c>
      <c r="H4" s="59">
        <v>7.9999999999999982</v>
      </c>
      <c r="I4" s="59">
        <v>7.9999999999999982</v>
      </c>
      <c r="J4" s="61" t="s">
        <v>20</v>
      </c>
      <c r="K4" s="60" t="s">
        <v>94</v>
      </c>
      <c r="L4" s="55" t="s">
        <v>71</v>
      </c>
      <c r="M4" s="55" t="str">
        <f t="shared" si="0"/>
        <v>Jun_2019</v>
      </c>
      <c r="W4" s="55" t="s">
        <v>42</v>
      </c>
    </row>
    <row r="5" spans="1:23" ht="15.75">
      <c r="A5" s="54" t="s">
        <v>6</v>
      </c>
      <c r="B5" s="55" t="s">
        <v>90</v>
      </c>
      <c r="C5" s="56">
        <v>43629</v>
      </c>
      <c r="D5" s="57" t="s">
        <v>21</v>
      </c>
      <c r="E5" s="58">
        <v>0.54166666666666663</v>
      </c>
      <c r="F5" s="58">
        <v>0.72916666666666663</v>
      </c>
      <c r="G5" s="59">
        <v>0</v>
      </c>
      <c r="H5" s="59">
        <v>4.5</v>
      </c>
      <c r="I5" s="59">
        <v>4.5</v>
      </c>
      <c r="J5" s="61" t="s">
        <v>20</v>
      </c>
      <c r="K5" s="60" t="s">
        <v>95</v>
      </c>
      <c r="L5" s="55" t="s">
        <v>71</v>
      </c>
      <c r="M5" s="55" t="str">
        <f t="shared" si="0"/>
        <v>Jun_2019</v>
      </c>
      <c r="W5" s="55" t="s">
        <v>43</v>
      </c>
    </row>
    <row r="6" spans="1:23" ht="15.75">
      <c r="A6" s="54" t="s">
        <v>6</v>
      </c>
      <c r="B6" s="55" t="s">
        <v>81</v>
      </c>
      <c r="C6" s="56">
        <v>43630</v>
      </c>
      <c r="D6" s="57" t="s">
        <v>22</v>
      </c>
      <c r="E6" s="58">
        <v>0.35416666666666669</v>
      </c>
      <c r="F6" s="58">
        <v>0.72916666666666663</v>
      </c>
      <c r="G6" s="59">
        <v>0</v>
      </c>
      <c r="H6" s="59">
        <v>7.9999999999999982</v>
      </c>
      <c r="I6" s="59">
        <v>7.9999999999999982</v>
      </c>
      <c r="J6" s="61" t="s">
        <v>20</v>
      </c>
      <c r="K6" s="60" t="s">
        <v>96</v>
      </c>
      <c r="L6" s="55" t="s">
        <v>71</v>
      </c>
      <c r="M6" s="55" t="str">
        <f t="shared" si="0"/>
        <v>Jun_2019</v>
      </c>
      <c r="W6" s="55" t="s">
        <v>44</v>
      </c>
    </row>
    <row r="7" spans="1:23" ht="15.75">
      <c r="A7" s="54" t="s">
        <v>6</v>
      </c>
      <c r="B7" s="55" t="s">
        <v>74</v>
      </c>
      <c r="C7" s="56">
        <v>43630</v>
      </c>
      <c r="D7" s="57" t="s">
        <v>22</v>
      </c>
      <c r="E7" s="58">
        <v>0.35416666666666669</v>
      </c>
      <c r="F7" s="58">
        <v>0.72916666666666663</v>
      </c>
      <c r="G7" s="59">
        <v>0</v>
      </c>
      <c r="H7" s="59">
        <v>7.9999999999999982</v>
      </c>
      <c r="I7" s="59">
        <v>7.9999999999999982</v>
      </c>
      <c r="J7" s="61" t="s">
        <v>20</v>
      </c>
      <c r="K7" s="60" t="s">
        <v>97</v>
      </c>
      <c r="L7" s="55" t="s">
        <v>71</v>
      </c>
      <c r="M7" s="55" t="str">
        <f t="shared" si="0"/>
        <v>Jun_2019</v>
      </c>
      <c r="W7" s="55" t="s">
        <v>72</v>
      </c>
    </row>
    <row r="8" spans="1:23" ht="15.75">
      <c r="A8" s="54" t="s">
        <v>6</v>
      </c>
      <c r="B8" s="55" t="s">
        <v>98</v>
      </c>
      <c r="C8" s="56">
        <v>43630</v>
      </c>
      <c r="D8" s="57" t="s">
        <v>22</v>
      </c>
      <c r="E8" s="58">
        <v>0.35416666666666669</v>
      </c>
      <c r="F8" s="58">
        <v>0.72916666666666663</v>
      </c>
      <c r="G8" s="59">
        <v>0</v>
      </c>
      <c r="H8" s="59">
        <v>7.9999999999999982</v>
      </c>
      <c r="I8" s="59">
        <v>7.9999999999999982</v>
      </c>
      <c r="J8" s="61" t="s">
        <v>20</v>
      </c>
      <c r="K8" s="60" t="s">
        <v>99</v>
      </c>
      <c r="L8" s="55" t="s">
        <v>71</v>
      </c>
      <c r="M8" s="55" t="str">
        <f t="shared" si="0"/>
        <v>Jun_2019</v>
      </c>
      <c r="W8" s="55" t="s">
        <v>73</v>
      </c>
    </row>
    <row r="9" spans="1:23" ht="15.75">
      <c r="A9" s="54" t="s">
        <v>6</v>
      </c>
      <c r="B9" s="55" t="s">
        <v>81</v>
      </c>
      <c r="C9" s="56">
        <v>43635</v>
      </c>
      <c r="D9" s="57" t="s">
        <v>82</v>
      </c>
      <c r="E9" s="58">
        <v>0.35416666666666669</v>
      </c>
      <c r="F9" s="58">
        <v>0.72916666666666663</v>
      </c>
      <c r="G9" s="59">
        <v>0</v>
      </c>
      <c r="H9" s="59">
        <v>7.9999999999999982</v>
      </c>
      <c r="I9" s="59">
        <v>7.9999999999999982</v>
      </c>
      <c r="J9" s="61" t="s">
        <v>20</v>
      </c>
      <c r="K9" s="60" t="s">
        <v>100</v>
      </c>
      <c r="L9" s="55" t="s">
        <v>71</v>
      </c>
      <c r="M9" s="55" t="str">
        <f t="shared" si="0"/>
        <v>Jun_2019</v>
      </c>
      <c r="W9" s="55" t="s">
        <v>74</v>
      </c>
    </row>
    <row r="10" spans="1:23" ht="15.75">
      <c r="A10" s="54" t="s">
        <v>6</v>
      </c>
      <c r="B10" s="55" t="s">
        <v>81</v>
      </c>
      <c r="C10" s="56">
        <v>43636</v>
      </c>
      <c r="D10" s="57" t="s">
        <v>21</v>
      </c>
      <c r="E10" s="58">
        <v>0.35416666666666669</v>
      </c>
      <c r="F10" s="58">
        <v>0.72916666666666663</v>
      </c>
      <c r="G10" s="59">
        <v>0</v>
      </c>
      <c r="H10" s="59">
        <v>7.9999999999999982</v>
      </c>
      <c r="I10" s="59">
        <v>7.9999999999999982</v>
      </c>
      <c r="J10" s="61" t="s">
        <v>20</v>
      </c>
      <c r="K10" s="60" t="s">
        <v>101</v>
      </c>
      <c r="L10" s="55" t="s">
        <v>71</v>
      </c>
      <c r="M10" s="55" t="str">
        <f t="shared" si="0"/>
        <v>Jun_2019</v>
      </c>
      <c r="W10" s="55" t="s">
        <v>75</v>
      </c>
    </row>
    <row r="11" spans="1:23" ht="15.75">
      <c r="A11" s="54" t="s">
        <v>6</v>
      </c>
      <c r="B11" s="55" t="s">
        <v>81</v>
      </c>
      <c r="C11" s="56">
        <v>43637</v>
      </c>
      <c r="D11" s="57" t="s">
        <v>22</v>
      </c>
      <c r="E11" s="58">
        <v>0.35416666666666669</v>
      </c>
      <c r="F11" s="58">
        <v>0.72916666666666663</v>
      </c>
      <c r="G11" s="59">
        <v>0</v>
      </c>
      <c r="H11" s="59">
        <v>7.9999999999999982</v>
      </c>
      <c r="I11" s="59">
        <v>7.9999999999999982</v>
      </c>
      <c r="J11" s="61" t="s">
        <v>20</v>
      </c>
      <c r="K11" s="60" t="s">
        <v>102</v>
      </c>
      <c r="L11" s="55" t="s">
        <v>71</v>
      </c>
      <c r="M11" s="55" t="str">
        <f t="shared" si="0"/>
        <v>Jun_2019</v>
      </c>
      <c r="W11" s="55" t="s">
        <v>45</v>
      </c>
    </row>
    <row r="12" spans="1:23" ht="15.75">
      <c r="A12" s="54" t="s">
        <v>6</v>
      </c>
      <c r="B12" s="55" t="s">
        <v>74</v>
      </c>
      <c r="C12" s="56">
        <v>43637</v>
      </c>
      <c r="D12" s="57" t="s">
        <v>22</v>
      </c>
      <c r="E12" s="58">
        <v>0.375</v>
      </c>
      <c r="F12" s="58">
        <v>0.66666666666666663</v>
      </c>
      <c r="G12" s="59">
        <v>0</v>
      </c>
      <c r="H12" s="59">
        <v>5.9999999999999991</v>
      </c>
      <c r="I12" s="59">
        <v>5.9999999999999991</v>
      </c>
      <c r="J12" s="61" t="s">
        <v>20</v>
      </c>
      <c r="K12" s="60" t="s">
        <v>102</v>
      </c>
      <c r="L12" s="55" t="s">
        <v>71</v>
      </c>
      <c r="M12" s="55" t="str">
        <f t="shared" si="0"/>
        <v>Jun_2019</v>
      </c>
      <c r="W12" s="55" t="s">
        <v>46</v>
      </c>
    </row>
    <row r="13" spans="1:23" ht="15.75">
      <c r="A13" s="54" t="s">
        <v>6</v>
      </c>
      <c r="B13" s="55" t="s">
        <v>74</v>
      </c>
      <c r="C13" s="56">
        <v>43640</v>
      </c>
      <c r="D13" s="57" t="s">
        <v>23</v>
      </c>
      <c r="E13" s="58">
        <v>0.35416666666666669</v>
      </c>
      <c r="F13" s="58">
        <v>0.72916666666666663</v>
      </c>
      <c r="G13" s="59">
        <v>0</v>
      </c>
      <c r="H13" s="59">
        <v>7.9999999999999982</v>
      </c>
      <c r="I13" s="59">
        <v>7.9999999999999982</v>
      </c>
      <c r="J13" s="61" t="s">
        <v>20</v>
      </c>
      <c r="K13" s="60" t="s">
        <v>103</v>
      </c>
      <c r="L13" s="55" t="s">
        <v>71</v>
      </c>
      <c r="M13" s="55" t="str">
        <f t="shared" si="0"/>
        <v>Jun_2019</v>
      </c>
      <c r="W13" s="55" t="s">
        <v>47</v>
      </c>
    </row>
    <row r="14" spans="1:23" ht="15.75">
      <c r="A14" s="54" t="s">
        <v>6</v>
      </c>
      <c r="B14" s="55" t="s">
        <v>98</v>
      </c>
      <c r="C14" s="56">
        <v>43640</v>
      </c>
      <c r="D14" s="57" t="s">
        <v>23</v>
      </c>
      <c r="E14" s="58">
        <v>0.35416666666666669</v>
      </c>
      <c r="F14" s="58">
        <v>0.75</v>
      </c>
      <c r="G14" s="59">
        <v>0</v>
      </c>
      <c r="H14" s="59">
        <v>8.5</v>
      </c>
      <c r="I14" s="59">
        <v>8.5</v>
      </c>
      <c r="J14" s="61" t="s">
        <v>20</v>
      </c>
      <c r="K14" s="60" t="s">
        <v>103</v>
      </c>
      <c r="L14" s="55" t="s">
        <v>71</v>
      </c>
      <c r="M14" s="55" t="str">
        <f t="shared" si="0"/>
        <v>Jun_2019</v>
      </c>
      <c r="W14" s="55" t="s">
        <v>48</v>
      </c>
    </row>
    <row r="15" spans="1:23" ht="15.75">
      <c r="A15" s="54" t="s">
        <v>6</v>
      </c>
      <c r="B15" s="55" t="s">
        <v>74</v>
      </c>
      <c r="C15" s="56">
        <v>43641</v>
      </c>
      <c r="D15" s="57" t="s">
        <v>24</v>
      </c>
      <c r="E15" s="58">
        <v>0.35416666666666669</v>
      </c>
      <c r="F15" s="58">
        <v>0.72916666666666663</v>
      </c>
      <c r="G15" s="59">
        <v>0</v>
      </c>
      <c r="H15" s="59">
        <v>7.9999999999999982</v>
      </c>
      <c r="I15" s="59">
        <v>7.9999999999999982</v>
      </c>
      <c r="J15" s="61" t="s">
        <v>20</v>
      </c>
      <c r="K15" s="60" t="s">
        <v>104</v>
      </c>
      <c r="L15" s="55" t="s">
        <v>71</v>
      </c>
      <c r="M15" s="55" t="str">
        <f t="shared" si="0"/>
        <v>Jun_2019</v>
      </c>
    </row>
    <row r="16" spans="1:23" ht="15.75">
      <c r="A16" s="54" t="s">
        <v>6</v>
      </c>
      <c r="B16" s="55" t="s">
        <v>98</v>
      </c>
      <c r="C16" s="56">
        <v>43641</v>
      </c>
      <c r="D16" s="57" t="s">
        <v>24</v>
      </c>
      <c r="E16" s="58">
        <v>0.35416666666666669</v>
      </c>
      <c r="F16" s="58">
        <v>0.72916666666666663</v>
      </c>
      <c r="G16" s="59">
        <v>0</v>
      </c>
      <c r="H16" s="59">
        <v>7.9999999999999982</v>
      </c>
      <c r="I16" s="59">
        <v>7.9999999999999982</v>
      </c>
      <c r="J16" s="61" t="s">
        <v>20</v>
      </c>
      <c r="K16" s="60" t="s">
        <v>104</v>
      </c>
      <c r="L16" s="55" t="s">
        <v>71</v>
      </c>
      <c r="M16" s="55" t="str">
        <f t="shared" si="0"/>
        <v>Jun_2019</v>
      </c>
    </row>
    <row r="17" spans="1:13" ht="15.75">
      <c r="A17" s="54" t="s">
        <v>6</v>
      </c>
      <c r="B17" s="55" t="s">
        <v>81</v>
      </c>
      <c r="C17" s="56">
        <v>43642</v>
      </c>
      <c r="D17" s="57" t="s">
        <v>82</v>
      </c>
      <c r="E17" s="58">
        <v>0.35416666666666669</v>
      </c>
      <c r="F17" s="58">
        <v>0.72916666666666663</v>
      </c>
      <c r="G17" s="59">
        <v>0</v>
      </c>
      <c r="H17" s="59">
        <v>7.9999999999999982</v>
      </c>
      <c r="I17" s="59">
        <v>7.9999999999999982</v>
      </c>
      <c r="J17" s="61" t="s">
        <v>20</v>
      </c>
      <c r="K17" s="60" t="s">
        <v>105</v>
      </c>
      <c r="L17" s="55" t="s">
        <v>71</v>
      </c>
      <c r="M17" s="55" t="str">
        <f t="shared" si="0"/>
        <v>Jun_2019</v>
      </c>
    </row>
    <row r="18" spans="1:13" ht="15.75">
      <c r="A18" s="54" t="s">
        <v>6</v>
      </c>
      <c r="B18" s="55" t="s">
        <v>81</v>
      </c>
      <c r="C18" s="56">
        <v>43643</v>
      </c>
      <c r="D18" s="57" t="s">
        <v>21</v>
      </c>
      <c r="E18" s="58">
        <v>0.35416666666666669</v>
      </c>
      <c r="F18" s="58">
        <v>0.72916666666666663</v>
      </c>
      <c r="G18" s="59">
        <v>0</v>
      </c>
      <c r="H18" s="59">
        <v>7.9999999999999982</v>
      </c>
      <c r="I18" s="59">
        <v>7.9999999999999982</v>
      </c>
      <c r="J18" s="61" t="s">
        <v>20</v>
      </c>
      <c r="K18" s="60" t="s">
        <v>106</v>
      </c>
      <c r="L18" s="55" t="s">
        <v>71</v>
      </c>
      <c r="M18" s="55" t="str">
        <f t="shared" si="0"/>
        <v>Jun_2019</v>
      </c>
    </row>
    <row r="19" spans="1:13" ht="15.75">
      <c r="A19" s="54" t="s">
        <v>6</v>
      </c>
      <c r="B19" s="55" t="s">
        <v>74</v>
      </c>
      <c r="C19" s="56">
        <v>43643</v>
      </c>
      <c r="D19" s="57" t="s">
        <v>21</v>
      </c>
      <c r="E19" s="58">
        <v>0.35416666666666669</v>
      </c>
      <c r="F19" s="58">
        <v>0.72916666666666663</v>
      </c>
      <c r="G19" s="59">
        <v>0</v>
      </c>
      <c r="H19" s="59">
        <v>7.9999999999999982</v>
      </c>
      <c r="I19" s="59">
        <v>7.9999999999999982</v>
      </c>
      <c r="J19" s="61" t="s">
        <v>20</v>
      </c>
      <c r="K19" s="60" t="s">
        <v>107</v>
      </c>
      <c r="L19" s="55" t="s">
        <v>71</v>
      </c>
      <c r="M19" s="55" t="str">
        <f t="shared" si="0"/>
        <v>Jun_2019</v>
      </c>
    </row>
    <row r="20" spans="1:13" ht="15.75">
      <c r="A20" s="54" t="s">
        <v>83</v>
      </c>
      <c r="B20" s="55" t="s">
        <v>73</v>
      </c>
      <c r="C20" s="56">
        <v>43644</v>
      </c>
      <c r="D20" s="57" t="s">
        <v>22</v>
      </c>
      <c r="E20" s="58">
        <v>0.72916666666666674</v>
      </c>
      <c r="F20" s="58">
        <v>0.91666666666666663</v>
      </c>
      <c r="G20" s="59">
        <v>8.0000000000000036</v>
      </c>
      <c r="H20" s="59">
        <v>4.4999999999999964</v>
      </c>
      <c r="I20" s="59">
        <v>4.4999999999999964</v>
      </c>
      <c r="J20" s="61" t="s">
        <v>20</v>
      </c>
      <c r="K20" s="60" t="s">
        <v>108</v>
      </c>
      <c r="L20" s="55">
        <v>1</v>
      </c>
      <c r="M20" s="55" t="str">
        <f t="shared" si="0"/>
        <v>Jun_2019</v>
      </c>
    </row>
    <row r="21" spans="1:13" ht="15.75">
      <c r="A21" s="54" t="s">
        <v>83</v>
      </c>
      <c r="B21" s="55" t="s">
        <v>84</v>
      </c>
      <c r="C21" s="56">
        <v>43644</v>
      </c>
      <c r="D21" s="57" t="s">
        <v>22</v>
      </c>
      <c r="E21" s="58">
        <v>0.72916666666666674</v>
      </c>
      <c r="F21" s="58">
        <v>0.8125</v>
      </c>
      <c r="G21" s="59">
        <v>8.0000000000000036</v>
      </c>
      <c r="H21" s="59">
        <v>1.9999999999999964</v>
      </c>
      <c r="I21" s="59">
        <v>1.9999999999999964</v>
      </c>
      <c r="J21" s="61" t="s">
        <v>20</v>
      </c>
      <c r="K21" s="60" t="s">
        <v>108</v>
      </c>
      <c r="L21" s="55">
        <v>1</v>
      </c>
      <c r="M21" s="55" t="str">
        <f t="shared" si="0"/>
        <v>Jun_2019</v>
      </c>
    </row>
    <row r="22" spans="1:13" ht="15.75">
      <c r="A22" s="54" t="s">
        <v>83</v>
      </c>
      <c r="B22" s="55" t="s">
        <v>75</v>
      </c>
      <c r="C22" s="56">
        <v>43644</v>
      </c>
      <c r="D22" s="57" t="s">
        <v>22</v>
      </c>
      <c r="E22" s="58">
        <v>0.72916666666666674</v>
      </c>
      <c r="F22" s="58">
        <v>0.8125</v>
      </c>
      <c r="G22" s="59">
        <v>8.0000000000000036</v>
      </c>
      <c r="H22" s="59">
        <v>1.9999999999999964</v>
      </c>
      <c r="I22" s="59">
        <v>1.9999999999999964</v>
      </c>
      <c r="J22" s="61" t="s">
        <v>20</v>
      </c>
      <c r="K22" s="60" t="s">
        <v>108</v>
      </c>
      <c r="L22" s="55">
        <v>1</v>
      </c>
      <c r="M22" s="55" t="str">
        <f t="shared" si="0"/>
        <v>Jun_2019</v>
      </c>
    </row>
    <row r="23" spans="1:13" ht="15.75">
      <c r="A23" s="54" t="s">
        <v>83</v>
      </c>
      <c r="B23" s="55" t="s">
        <v>85</v>
      </c>
      <c r="C23" s="56">
        <v>43644</v>
      </c>
      <c r="D23" s="57" t="s">
        <v>22</v>
      </c>
      <c r="E23" s="58">
        <v>0.72916666666666674</v>
      </c>
      <c r="F23" s="58">
        <v>0.91666666666666663</v>
      </c>
      <c r="G23" s="59">
        <v>8.0000000000000036</v>
      </c>
      <c r="H23" s="59">
        <v>4.4999999999999964</v>
      </c>
      <c r="I23" s="59">
        <v>4.4999999999999964</v>
      </c>
      <c r="J23" s="61" t="s">
        <v>20</v>
      </c>
      <c r="K23" s="60" t="s">
        <v>108</v>
      </c>
      <c r="L23" s="55">
        <v>1</v>
      </c>
      <c r="M23" s="55" t="str">
        <f t="shared" si="0"/>
        <v>Jun_2019</v>
      </c>
    </row>
    <row r="24" spans="1:13" ht="15.75">
      <c r="A24" s="54" t="s">
        <v>83</v>
      </c>
      <c r="B24" s="55" t="s">
        <v>86</v>
      </c>
      <c r="C24" s="56">
        <v>43644</v>
      </c>
      <c r="D24" s="57" t="s">
        <v>22</v>
      </c>
      <c r="E24" s="58">
        <v>0.72916666666666674</v>
      </c>
      <c r="F24" s="58">
        <v>0.91666666666666663</v>
      </c>
      <c r="G24" s="59">
        <v>8.0000000000000036</v>
      </c>
      <c r="H24" s="59">
        <v>4.4999999999999964</v>
      </c>
      <c r="I24" s="59">
        <v>4.4999999999999964</v>
      </c>
      <c r="J24" s="61" t="s">
        <v>20</v>
      </c>
      <c r="K24" s="60" t="s">
        <v>108</v>
      </c>
      <c r="L24" s="55">
        <v>1</v>
      </c>
      <c r="M24" s="55" t="str">
        <f t="shared" si="0"/>
        <v>Jun_2019</v>
      </c>
    </row>
    <row r="25" spans="1:13" ht="15.75">
      <c r="A25" s="54" t="s">
        <v>83</v>
      </c>
      <c r="B25" s="55" t="s">
        <v>87</v>
      </c>
      <c r="C25" s="56">
        <v>43644</v>
      </c>
      <c r="D25" s="57" t="s">
        <v>22</v>
      </c>
      <c r="E25" s="58">
        <v>0.6875</v>
      </c>
      <c r="F25" s="58">
        <v>0.85416666666666663</v>
      </c>
      <c r="G25" s="59">
        <v>8.0000000000000036</v>
      </c>
      <c r="H25" s="59">
        <v>3.9999999999999964</v>
      </c>
      <c r="I25" s="59">
        <v>3.9999999999999964</v>
      </c>
      <c r="J25" s="61" t="s">
        <v>20</v>
      </c>
      <c r="K25" s="60" t="s">
        <v>108</v>
      </c>
      <c r="L25" s="55">
        <v>1</v>
      </c>
      <c r="M25" s="55" t="str">
        <f t="shared" si="0"/>
        <v>Jun_2019</v>
      </c>
    </row>
    <row r="26" spans="1:13" ht="15.75">
      <c r="A26" s="54" t="s">
        <v>83</v>
      </c>
      <c r="B26" s="55" t="s">
        <v>88</v>
      </c>
      <c r="C26" s="56">
        <v>43644</v>
      </c>
      <c r="D26" s="57" t="s">
        <v>22</v>
      </c>
      <c r="E26" s="58">
        <v>0.72916666666666674</v>
      </c>
      <c r="F26" s="58">
        <v>0.91666666666666663</v>
      </c>
      <c r="G26" s="59">
        <v>8.0000000000000036</v>
      </c>
      <c r="H26" s="59">
        <v>4.4999999999999964</v>
      </c>
      <c r="I26" s="59">
        <v>4.4999999999999964</v>
      </c>
      <c r="J26" s="61" t="s">
        <v>20</v>
      </c>
      <c r="K26" s="60" t="s">
        <v>108</v>
      </c>
      <c r="L26" s="55">
        <v>1</v>
      </c>
      <c r="M26" s="55" t="str">
        <f t="shared" si="0"/>
        <v>Jun_2019</v>
      </c>
    </row>
    <row r="27" spans="1:13" ht="15.75">
      <c r="A27" s="54" t="s">
        <v>83</v>
      </c>
      <c r="B27" s="55" t="s">
        <v>89</v>
      </c>
      <c r="C27" s="56">
        <v>43644</v>
      </c>
      <c r="D27" s="57" t="s">
        <v>22</v>
      </c>
      <c r="E27" s="58">
        <v>0.72916666666666674</v>
      </c>
      <c r="F27" s="58">
        <v>0.89583333333333337</v>
      </c>
      <c r="G27" s="59">
        <v>8.0000000000000036</v>
      </c>
      <c r="H27" s="59">
        <v>3.9999999999999982</v>
      </c>
      <c r="I27" s="59">
        <v>3.9999999999999982</v>
      </c>
      <c r="J27" s="61" t="s">
        <v>20</v>
      </c>
      <c r="K27" s="60" t="s">
        <v>108</v>
      </c>
      <c r="L27" s="55">
        <v>1</v>
      </c>
      <c r="M27" s="55" t="str">
        <f t="shared" si="0"/>
        <v>Jun_2019</v>
      </c>
    </row>
    <row r="28" spans="1:13" ht="15.75">
      <c r="A28" s="54" t="s">
        <v>6</v>
      </c>
      <c r="B28" s="55" t="s">
        <v>81</v>
      </c>
      <c r="C28" s="56">
        <v>43644</v>
      </c>
      <c r="D28" s="57" t="s">
        <v>22</v>
      </c>
      <c r="E28" s="58">
        <v>0.35416666666666669</v>
      </c>
      <c r="F28" s="58">
        <v>0.72916666666666663</v>
      </c>
      <c r="G28" s="59">
        <v>0</v>
      </c>
      <c r="H28" s="59">
        <v>7.9999999999999982</v>
      </c>
      <c r="I28" s="59">
        <v>7.9999999999999982</v>
      </c>
      <c r="J28" s="61" t="s">
        <v>20</v>
      </c>
      <c r="K28" s="60" t="s">
        <v>108</v>
      </c>
      <c r="L28" s="55" t="s">
        <v>71</v>
      </c>
      <c r="M28" s="55" t="str">
        <f t="shared" si="0"/>
        <v>Jun_2019</v>
      </c>
    </row>
    <row r="29" spans="1:13" ht="15.75">
      <c r="A29" s="54" t="s">
        <v>6</v>
      </c>
      <c r="B29" s="55" t="s">
        <v>74</v>
      </c>
      <c r="C29" s="56">
        <v>43644</v>
      </c>
      <c r="D29" s="57" t="s">
        <v>22</v>
      </c>
      <c r="E29" s="58">
        <v>0.35416666666666669</v>
      </c>
      <c r="F29" s="58">
        <v>0.72916666666666663</v>
      </c>
      <c r="G29" s="59">
        <v>0</v>
      </c>
      <c r="H29" s="59">
        <v>7.9999999999999982</v>
      </c>
      <c r="I29" s="59">
        <v>7.9999999999999982</v>
      </c>
      <c r="J29" s="61" t="s">
        <v>20</v>
      </c>
      <c r="K29" s="60" t="s">
        <v>109</v>
      </c>
      <c r="L29" s="55" t="s">
        <v>71</v>
      </c>
      <c r="M29" s="55" t="str">
        <f t="shared" si="0"/>
        <v>Jun_2019</v>
      </c>
    </row>
    <row r="30" spans="1:13" ht="15.75">
      <c r="A30" s="54" t="s">
        <v>6</v>
      </c>
      <c r="B30" s="55" t="s">
        <v>110</v>
      </c>
      <c r="C30" s="56">
        <v>43644</v>
      </c>
      <c r="D30" s="57" t="s">
        <v>22</v>
      </c>
      <c r="E30" s="58">
        <v>0.54166666666666663</v>
      </c>
      <c r="F30" s="58">
        <v>0.91666666666666663</v>
      </c>
      <c r="G30" s="59">
        <v>0</v>
      </c>
      <c r="H30" s="59">
        <v>8</v>
      </c>
      <c r="I30" s="59">
        <v>8</v>
      </c>
      <c r="J30" s="61" t="s">
        <v>20</v>
      </c>
      <c r="K30" s="60" t="s">
        <v>111</v>
      </c>
      <c r="L30" s="55" t="s">
        <v>71</v>
      </c>
      <c r="M30" s="55" t="str">
        <f t="shared" si="0"/>
        <v>Jun_2019</v>
      </c>
    </row>
    <row r="31" spans="1:13" ht="15.75">
      <c r="A31" s="54" t="s">
        <v>83</v>
      </c>
      <c r="B31" s="55" t="s">
        <v>112</v>
      </c>
      <c r="C31" s="56">
        <v>43644</v>
      </c>
      <c r="D31" s="57" t="s">
        <v>22</v>
      </c>
      <c r="E31" s="58">
        <v>0.72916666666666674</v>
      </c>
      <c r="F31" s="58">
        <v>0.91666666666666663</v>
      </c>
      <c r="G31" s="59">
        <v>8.0000000000000036</v>
      </c>
      <c r="H31" s="59">
        <v>4.4999999999999964</v>
      </c>
      <c r="I31" s="59">
        <v>4.4999999999999964</v>
      </c>
      <c r="J31" s="61" t="s">
        <v>20</v>
      </c>
      <c r="K31" s="60" t="s">
        <v>108</v>
      </c>
      <c r="L31" s="55">
        <v>1</v>
      </c>
      <c r="M31" s="55" t="str">
        <f t="shared" si="0"/>
        <v>Jun_2019</v>
      </c>
    </row>
    <row r="32" spans="1:13" ht="15.75">
      <c r="A32" s="54" t="s">
        <v>6</v>
      </c>
      <c r="B32" s="55" t="s">
        <v>113</v>
      </c>
      <c r="C32" s="56">
        <v>43644</v>
      </c>
      <c r="D32" s="57" t="s">
        <v>22</v>
      </c>
      <c r="E32" s="58">
        <v>0.54166666666666663</v>
      </c>
      <c r="F32" s="58">
        <v>0.91666666666666663</v>
      </c>
      <c r="G32" s="59">
        <v>0</v>
      </c>
      <c r="H32" s="59">
        <v>8</v>
      </c>
      <c r="I32" s="59">
        <v>8</v>
      </c>
      <c r="J32" s="61" t="s">
        <v>20</v>
      </c>
      <c r="K32" s="60" t="s">
        <v>111</v>
      </c>
      <c r="L32" s="55" t="s">
        <v>71</v>
      </c>
      <c r="M32" s="55" t="str">
        <f t="shared" si="0"/>
        <v>Jun_2019</v>
      </c>
    </row>
    <row r="33" spans="1:13" ht="15.75">
      <c r="A33" s="54" t="s">
        <v>83</v>
      </c>
      <c r="B33" s="55" t="s">
        <v>114</v>
      </c>
      <c r="C33" s="56">
        <v>43647</v>
      </c>
      <c r="D33" s="57" t="s">
        <v>23</v>
      </c>
      <c r="E33" s="58">
        <v>0.72916666666666674</v>
      </c>
      <c r="F33" s="58">
        <v>0.89583333333333337</v>
      </c>
      <c r="G33" s="59">
        <v>8.0000000000000036</v>
      </c>
      <c r="H33" s="59">
        <v>3.9999999999999982</v>
      </c>
      <c r="I33" s="59">
        <v>3.9999999999999982</v>
      </c>
      <c r="J33" s="61" t="s">
        <v>20</v>
      </c>
      <c r="K33" s="60" t="s">
        <v>115</v>
      </c>
      <c r="L33" s="55">
        <v>1</v>
      </c>
      <c r="M33" s="55" t="str">
        <f>IF($C33="","",TEXT(DATE(YEAR($C33),MONTH($C33),DAY($C33)),"MMM")&amp;"_"&amp;YEAR($C33))</f>
        <v>Jul_2019</v>
      </c>
    </row>
    <row r="34" spans="1:13" ht="15.75">
      <c r="A34" s="54" t="s">
        <v>83</v>
      </c>
      <c r="B34" s="55" t="s">
        <v>73</v>
      </c>
      <c r="C34" s="56">
        <v>43647</v>
      </c>
      <c r="D34" s="57" t="s">
        <v>23</v>
      </c>
      <c r="E34" s="58">
        <v>0.72916666666666674</v>
      </c>
      <c r="F34" s="58">
        <v>0.89583333333333337</v>
      </c>
      <c r="G34" s="59">
        <v>8.0000000000000036</v>
      </c>
      <c r="H34" s="59">
        <v>3.9999999999999982</v>
      </c>
      <c r="I34" s="59">
        <v>3.9999999999999982</v>
      </c>
      <c r="J34" s="61" t="s">
        <v>20</v>
      </c>
      <c r="K34" s="60" t="s">
        <v>115</v>
      </c>
      <c r="L34" s="55">
        <v>1</v>
      </c>
      <c r="M34" s="55" t="str">
        <f t="shared" ref="M34:M92" si="1">IF($C34="","",TEXT(DATE(YEAR($C34),MONTH($C34),DAY($C34)),"MMM")&amp;"_"&amp;YEAR($C34))</f>
        <v>Jul_2019</v>
      </c>
    </row>
    <row r="35" spans="1:13" ht="15.75">
      <c r="A35" s="54" t="s">
        <v>83</v>
      </c>
      <c r="B35" s="55" t="s">
        <v>84</v>
      </c>
      <c r="C35" s="56">
        <v>43647</v>
      </c>
      <c r="D35" s="57" t="s">
        <v>23</v>
      </c>
      <c r="E35" s="58">
        <v>0.72916666666666674</v>
      </c>
      <c r="F35" s="58">
        <v>0.89583333333333337</v>
      </c>
      <c r="G35" s="59">
        <v>8.0000000000000036</v>
      </c>
      <c r="H35" s="59">
        <v>3.9999999999999982</v>
      </c>
      <c r="I35" s="59">
        <v>3.9999999999999982</v>
      </c>
      <c r="J35" s="61" t="s">
        <v>20</v>
      </c>
      <c r="K35" s="60" t="s">
        <v>115</v>
      </c>
      <c r="L35" s="55">
        <v>1</v>
      </c>
      <c r="M35" s="55" t="str">
        <f t="shared" si="1"/>
        <v>Jul_2019</v>
      </c>
    </row>
    <row r="36" spans="1:13" ht="15.75">
      <c r="A36" s="54" t="s">
        <v>83</v>
      </c>
      <c r="B36" s="55" t="s">
        <v>75</v>
      </c>
      <c r="C36" s="56">
        <v>43647</v>
      </c>
      <c r="D36" s="57" t="s">
        <v>23</v>
      </c>
      <c r="E36" s="58">
        <v>0.72916666666666674</v>
      </c>
      <c r="F36" s="58">
        <v>0.89583333333333337</v>
      </c>
      <c r="G36" s="59">
        <v>8.0000000000000036</v>
      </c>
      <c r="H36" s="59">
        <v>3.9999999999999982</v>
      </c>
      <c r="I36" s="59">
        <v>3.9999999999999982</v>
      </c>
      <c r="J36" s="61" t="s">
        <v>20</v>
      </c>
      <c r="K36" s="60" t="s">
        <v>115</v>
      </c>
      <c r="L36" s="55">
        <v>1</v>
      </c>
      <c r="M36" s="55" t="str">
        <f t="shared" si="1"/>
        <v>Jul_2019</v>
      </c>
    </row>
    <row r="37" spans="1:13" ht="15.75">
      <c r="A37" s="54" t="s">
        <v>83</v>
      </c>
      <c r="B37" s="55" t="s">
        <v>85</v>
      </c>
      <c r="C37" s="56">
        <v>43647</v>
      </c>
      <c r="D37" s="57" t="s">
        <v>23</v>
      </c>
      <c r="E37" s="58">
        <v>0.6875</v>
      </c>
      <c r="F37" s="58">
        <v>0.85416666666666663</v>
      </c>
      <c r="G37" s="59">
        <v>8.0000000000000036</v>
      </c>
      <c r="H37" s="59">
        <v>3.9999999999999964</v>
      </c>
      <c r="I37" s="59">
        <v>3.9999999999999964</v>
      </c>
      <c r="J37" s="61" t="s">
        <v>20</v>
      </c>
      <c r="K37" s="60" t="s">
        <v>115</v>
      </c>
      <c r="L37" s="55">
        <v>1</v>
      </c>
      <c r="M37" s="55" t="str">
        <f t="shared" si="1"/>
        <v>Jul_2019</v>
      </c>
    </row>
    <row r="38" spans="1:13" ht="15.75">
      <c r="A38" s="54" t="s">
        <v>83</v>
      </c>
      <c r="B38" s="55" t="s">
        <v>86</v>
      </c>
      <c r="C38" s="56">
        <v>43647</v>
      </c>
      <c r="D38" s="57" t="s">
        <v>23</v>
      </c>
      <c r="E38" s="58">
        <v>0.72916666666666674</v>
      </c>
      <c r="F38" s="58">
        <v>0.89583333333333337</v>
      </c>
      <c r="G38" s="59">
        <v>8.0000000000000036</v>
      </c>
      <c r="H38" s="59">
        <v>3.9999999999999982</v>
      </c>
      <c r="I38" s="59">
        <v>3.9999999999999982</v>
      </c>
      <c r="J38" s="61" t="s">
        <v>20</v>
      </c>
      <c r="K38" s="60" t="s">
        <v>115</v>
      </c>
      <c r="L38" s="55">
        <v>1</v>
      </c>
      <c r="M38" s="55" t="str">
        <f t="shared" si="1"/>
        <v>Jul_2019</v>
      </c>
    </row>
    <row r="39" spans="1:13" ht="15.75">
      <c r="A39" s="54" t="s">
        <v>83</v>
      </c>
      <c r="B39" s="55" t="s">
        <v>87</v>
      </c>
      <c r="C39" s="56">
        <v>43647</v>
      </c>
      <c r="D39" s="57" t="s">
        <v>23</v>
      </c>
      <c r="E39" s="58">
        <v>0.72916666666666674</v>
      </c>
      <c r="F39" s="58">
        <v>0.89583333333333337</v>
      </c>
      <c r="G39" s="59">
        <v>8.0000000000000036</v>
      </c>
      <c r="H39" s="59">
        <v>3.9999999999999982</v>
      </c>
      <c r="I39" s="59">
        <v>3.9999999999999982</v>
      </c>
      <c r="J39" s="61" t="s">
        <v>20</v>
      </c>
      <c r="K39" s="60" t="s">
        <v>115</v>
      </c>
      <c r="L39" s="55">
        <v>1</v>
      </c>
      <c r="M39" s="55" t="str">
        <f t="shared" si="1"/>
        <v>Jul_2019</v>
      </c>
    </row>
    <row r="40" spans="1:13" ht="15.75">
      <c r="A40" s="54" t="s">
        <v>83</v>
      </c>
      <c r="B40" s="55" t="s">
        <v>88</v>
      </c>
      <c r="C40" s="56">
        <v>43647</v>
      </c>
      <c r="D40" s="57" t="s">
        <v>23</v>
      </c>
      <c r="E40" s="58">
        <v>0.72916666666666674</v>
      </c>
      <c r="F40" s="58">
        <v>0.89583333333333337</v>
      </c>
      <c r="G40" s="59">
        <v>8.0000000000000036</v>
      </c>
      <c r="H40" s="59">
        <v>3.9999999999999982</v>
      </c>
      <c r="I40" s="59">
        <v>3.9999999999999982</v>
      </c>
      <c r="J40" s="61" t="s">
        <v>20</v>
      </c>
      <c r="K40" s="60" t="s">
        <v>115</v>
      </c>
      <c r="L40" s="55">
        <v>1</v>
      </c>
      <c r="M40" s="55" t="str">
        <f t="shared" si="1"/>
        <v>Jul_2019</v>
      </c>
    </row>
    <row r="41" spans="1:13" ht="15.75">
      <c r="A41" s="54" t="s">
        <v>83</v>
      </c>
      <c r="B41" s="55" t="s">
        <v>89</v>
      </c>
      <c r="C41" s="56">
        <v>43647</v>
      </c>
      <c r="D41" s="57" t="s">
        <v>23</v>
      </c>
      <c r="E41" s="58">
        <v>0.72916666666666674</v>
      </c>
      <c r="F41" s="58">
        <v>0.89583333333333337</v>
      </c>
      <c r="G41" s="59">
        <v>8.0000000000000036</v>
      </c>
      <c r="H41" s="59">
        <v>3.9999999999999982</v>
      </c>
      <c r="I41" s="59">
        <v>3.9999999999999982</v>
      </c>
      <c r="J41" s="61" t="s">
        <v>20</v>
      </c>
      <c r="K41" s="60" t="s">
        <v>115</v>
      </c>
      <c r="L41" s="55">
        <v>1</v>
      </c>
      <c r="M41" s="55" t="str">
        <f t="shared" si="1"/>
        <v>Jul_2019</v>
      </c>
    </row>
    <row r="42" spans="1:13" ht="15.75">
      <c r="A42" s="54" t="s">
        <v>83</v>
      </c>
      <c r="B42" s="55" t="s">
        <v>112</v>
      </c>
      <c r="C42" s="56">
        <v>43647</v>
      </c>
      <c r="D42" s="57" t="s">
        <v>23</v>
      </c>
      <c r="E42" s="58">
        <v>0.72916666666666674</v>
      </c>
      <c r="F42" s="58">
        <v>0.89583333333333337</v>
      </c>
      <c r="G42" s="59">
        <v>8.0000000000000036</v>
      </c>
      <c r="H42" s="59">
        <v>3.9999999999999982</v>
      </c>
      <c r="I42" s="59">
        <v>3.9999999999999982</v>
      </c>
      <c r="J42" s="61" t="s">
        <v>20</v>
      </c>
      <c r="K42" s="60" t="s">
        <v>115</v>
      </c>
      <c r="L42" s="55">
        <v>1</v>
      </c>
      <c r="M42" s="55" t="str">
        <f t="shared" si="1"/>
        <v>Jul_2019</v>
      </c>
    </row>
    <row r="43" spans="1:13" ht="15.75">
      <c r="A43" s="54" t="s">
        <v>6</v>
      </c>
      <c r="B43" s="81" t="s">
        <v>81</v>
      </c>
      <c r="C43" s="56">
        <v>43647</v>
      </c>
      <c r="D43" s="56" t="s">
        <v>23</v>
      </c>
      <c r="E43" s="58">
        <v>0.35416666666666669</v>
      </c>
      <c r="F43" s="58">
        <v>0.89583333333333337</v>
      </c>
      <c r="G43" s="59">
        <v>0</v>
      </c>
      <c r="H43" s="59">
        <v>12.000000000000002</v>
      </c>
      <c r="I43" s="59">
        <v>12.000000000000002</v>
      </c>
      <c r="J43" s="61" t="s">
        <v>20</v>
      </c>
      <c r="K43" s="60" t="s">
        <v>115</v>
      </c>
      <c r="L43" s="55" t="s">
        <v>71</v>
      </c>
      <c r="M43" s="55" t="str">
        <f t="shared" si="1"/>
        <v>Jul_2019</v>
      </c>
    </row>
    <row r="44" spans="1:13" ht="15.75">
      <c r="A44" s="54" t="s">
        <v>83</v>
      </c>
      <c r="B44" s="55" t="s">
        <v>114</v>
      </c>
      <c r="C44" s="56">
        <v>43648</v>
      </c>
      <c r="D44" s="57" t="s">
        <v>24</v>
      </c>
      <c r="E44" s="58">
        <v>0.72916666666666674</v>
      </c>
      <c r="F44" s="58">
        <v>0.89583333333333337</v>
      </c>
      <c r="G44" s="59">
        <v>8.0000000000000036</v>
      </c>
      <c r="H44" s="59">
        <v>3.9999999999999982</v>
      </c>
      <c r="I44" s="59">
        <v>3.9999999999999982</v>
      </c>
      <c r="J44" s="61" t="s">
        <v>20</v>
      </c>
      <c r="K44" s="60" t="s">
        <v>116</v>
      </c>
      <c r="L44" s="55">
        <v>1</v>
      </c>
      <c r="M44" s="55" t="str">
        <f t="shared" si="1"/>
        <v>Jul_2019</v>
      </c>
    </row>
    <row r="45" spans="1:13" ht="15.75">
      <c r="A45" s="54" t="s">
        <v>83</v>
      </c>
      <c r="B45" s="55" t="s">
        <v>73</v>
      </c>
      <c r="C45" s="56">
        <v>43648</v>
      </c>
      <c r="D45" s="57" t="s">
        <v>24</v>
      </c>
      <c r="E45" s="58">
        <v>0.72916666666666674</v>
      </c>
      <c r="F45" s="58">
        <v>0.89583333333333337</v>
      </c>
      <c r="G45" s="59">
        <v>8.0000000000000036</v>
      </c>
      <c r="H45" s="59">
        <v>3.9999999999999982</v>
      </c>
      <c r="I45" s="59">
        <v>3.9999999999999982</v>
      </c>
      <c r="J45" s="61" t="s">
        <v>20</v>
      </c>
      <c r="K45" s="60" t="s">
        <v>116</v>
      </c>
      <c r="L45" s="55">
        <v>1</v>
      </c>
      <c r="M45" s="55" t="str">
        <f t="shared" si="1"/>
        <v>Jul_2019</v>
      </c>
    </row>
    <row r="46" spans="1:13" ht="15.75">
      <c r="A46" s="54" t="s">
        <v>83</v>
      </c>
      <c r="B46" s="55" t="s">
        <v>84</v>
      </c>
      <c r="C46" s="56">
        <v>43648</v>
      </c>
      <c r="D46" s="57" t="s">
        <v>24</v>
      </c>
      <c r="E46" s="58">
        <v>0.72916666666666674</v>
      </c>
      <c r="F46" s="58">
        <v>0.89583333333333337</v>
      </c>
      <c r="G46" s="59">
        <v>8.0000000000000036</v>
      </c>
      <c r="H46" s="59">
        <v>3.9999999999999982</v>
      </c>
      <c r="I46" s="59">
        <v>3.9999999999999982</v>
      </c>
      <c r="J46" s="61" t="s">
        <v>20</v>
      </c>
      <c r="K46" s="60" t="s">
        <v>116</v>
      </c>
      <c r="L46" s="55">
        <v>1</v>
      </c>
      <c r="M46" s="55" t="str">
        <f t="shared" si="1"/>
        <v>Jul_2019</v>
      </c>
    </row>
    <row r="47" spans="1:13" ht="15.75">
      <c r="A47" s="54" t="s">
        <v>83</v>
      </c>
      <c r="B47" s="55" t="s">
        <v>75</v>
      </c>
      <c r="C47" s="56">
        <v>43648</v>
      </c>
      <c r="D47" s="57" t="s">
        <v>24</v>
      </c>
      <c r="E47" s="58">
        <v>0.6875</v>
      </c>
      <c r="F47" s="58">
        <v>0.85416666666666663</v>
      </c>
      <c r="G47" s="59">
        <v>8.0000000000000036</v>
      </c>
      <c r="H47" s="59">
        <v>3.9999999999999964</v>
      </c>
      <c r="I47" s="59">
        <v>3.9999999999999964</v>
      </c>
      <c r="J47" s="61" t="s">
        <v>20</v>
      </c>
      <c r="K47" s="60" t="s">
        <v>116</v>
      </c>
      <c r="L47" s="55">
        <v>1</v>
      </c>
      <c r="M47" s="55" t="str">
        <f t="shared" si="1"/>
        <v>Jul_2019</v>
      </c>
    </row>
    <row r="48" spans="1:13" ht="15.75">
      <c r="A48" s="54" t="s">
        <v>83</v>
      </c>
      <c r="B48" s="55" t="s">
        <v>85</v>
      </c>
      <c r="C48" s="56">
        <v>43648</v>
      </c>
      <c r="D48" s="57" t="s">
        <v>24</v>
      </c>
      <c r="E48" s="58">
        <v>0.72916666666666674</v>
      </c>
      <c r="F48" s="58">
        <v>0.89583333333333337</v>
      </c>
      <c r="G48" s="59">
        <v>8.0000000000000036</v>
      </c>
      <c r="H48" s="59">
        <v>3.9999999999999982</v>
      </c>
      <c r="I48" s="59">
        <v>3.9999999999999982</v>
      </c>
      <c r="J48" s="61" t="s">
        <v>20</v>
      </c>
      <c r="K48" s="60" t="s">
        <v>116</v>
      </c>
      <c r="L48" s="55">
        <v>1</v>
      </c>
      <c r="M48" s="55" t="str">
        <f t="shared" si="1"/>
        <v>Jul_2019</v>
      </c>
    </row>
    <row r="49" spans="1:13" ht="15.75">
      <c r="A49" s="54" t="s">
        <v>83</v>
      </c>
      <c r="B49" s="55" t="s">
        <v>86</v>
      </c>
      <c r="C49" s="56">
        <v>43648</v>
      </c>
      <c r="D49" s="57" t="s">
        <v>24</v>
      </c>
      <c r="E49" s="58">
        <v>0.72916666666666674</v>
      </c>
      <c r="F49" s="58">
        <v>0.89583333333333337</v>
      </c>
      <c r="G49" s="59">
        <v>8.0000000000000036</v>
      </c>
      <c r="H49" s="59">
        <v>3.9999999999999982</v>
      </c>
      <c r="I49" s="59">
        <v>3.9999999999999982</v>
      </c>
      <c r="J49" s="61" t="s">
        <v>20</v>
      </c>
      <c r="K49" s="60" t="s">
        <v>116</v>
      </c>
      <c r="L49" s="55">
        <v>1</v>
      </c>
      <c r="M49" s="55" t="str">
        <f t="shared" si="1"/>
        <v>Jul_2019</v>
      </c>
    </row>
    <row r="50" spans="1:13" ht="15.75">
      <c r="A50" s="54" t="s">
        <v>83</v>
      </c>
      <c r="B50" s="55" t="s">
        <v>87</v>
      </c>
      <c r="C50" s="56">
        <v>43648</v>
      </c>
      <c r="D50" s="57" t="s">
        <v>24</v>
      </c>
      <c r="E50" s="58">
        <v>0.72916666666666674</v>
      </c>
      <c r="F50" s="58">
        <v>0.89583333333333337</v>
      </c>
      <c r="G50" s="59">
        <v>8.0000000000000036</v>
      </c>
      <c r="H50" s="59">
        <v>3.9999999999999982</v>
      </c>
      <c r="I50" s="59">
        <v>3.9999999999999982</v>
      </c>
      <c r="J50" s="61" t="s">
        <v>20</v>
      </c>
      <c r="K50" s="60" t="s">
        <v>116</v>
      </c>
      <c r="L50" s="55">
        <v>1</v>
      </c>
      <c r="M50" s="55" t="str">
        <f t="shared" si="1"/>
        <v>Jul_2019</v>
      </c>
    </row>
    <row r="51" spans="1:13" ht="15.75">
      <c r="A51" s="54" t="s">
        <v>83</v>
      </c>
      <c r="B51" s="55" t="s">
        <v>88</v>
      </c>
      <c r="C51" s="56">
        <v>43648</v>
      </c>
      <c r="D51" s="57" t="s">
        <v>24</v>
      </c>
      <c r="E51" s="58">
        <v>0.72916666666666674</v>
      </c>
      <c r="F51" s="58">
        <v>0.89583333333333337</v>
      </c>
      <c r="G51" s="59">
        <v>8.0000000000000036</v>
      </c>
      <c r="H51" s="59">
        <v>3.9999999999999982</v>
      </c>
      <c r="I51" s="59">
        <v>3.9999999999999982</v>
      </c>
      <c r="J51" s="61" t="s">
        <v>20</v>
      </c>
      <c r="K51" s="60" t="s">
        <v>116</v>
      </c>
      <c r="L51" s="55">
        <v>1</v>
      </c>
      <c r="M51" s="55" t="str">
        <f t="shared" si="1"/>
        <v>Jul_2019</v>
      </c>
    </row>
    <row r="52" spans="1:13" ht="15.75">
      <c r="A52" s="54" t="s">
        <v>83</v>
      </c>
      <c r="B52" s="55" t="s">
        <v>89</v>
      </c>
      <c r="C52" s="56">
        <v>43648</v>
      </c>
      <c r="D52" s="57" t="s">
        <v>24</v>
      </c>
      <c r="E52" s="58">
        <v>0.72916666666666674</v>
      </c>
      <c r="F52" s="58">
        <v>0.89583333333333337</v>
      </c>
      <c r="G52" s="59">
        <v>8.0000000000000036</v>
      </c>
      <c r="H52" s="59">
        <v>3.9999999999999982</v>
      </c>
      <c r="I52" s="59">
        <v>3.9999999999999982</v>
      </c>
      <c r="J52" s="61" t="s">
        <v>20</v>
      </c>
      <c r="K52" s="60" t="s">
        <v>116</v>
      </c>
      <c r="L52" s="55">
        <v>1</v>
      </c>
      <c r="M52" s="55" t="str">
        <f t="shared" si="1"/>
        <v>Jul_2019</v>
      </c>
    </row>
    <row r="53" spans="1:13" ht="15.75">
      <c r="A53" s="54" t="s">
        <v>83</v>
      </c>
      <c r="B53" s="55" t="s">
        <v>112</v>
      </c>
      <c r="C53" s="56">
        <v>43648</v>
      </c>
      <c r="D53" s="57" t="s">
        <v>24</v>
      </c>
      <c r="E53" s="58">
        <v>0.72916666666666674</v>
      </c>
      <c r="F53" s="58">
        <v>0.89583333333333337</v>
      </c>
      <c r="G53" s="59">
        <v>8.0000000000000036</v>
      </c>
      <c r="H53" s="59">
        <v>3.9999999999999982</v>
      </c>
      <c r="I53" s="59">
        <v>3.9999999999999982</v>
      </c>
      <c r="J53" s="61" t="s">
        <v>20</v>
      </c>
      <c r="K53" s="60" t="s">
        <v>116</v>
      </c>
      <c r="L53" s="55">
        <v>1</v>
      </c>
      <c r="M53" s="55" t="str">
        <f t="shared" si="1"/>
        <v>Jul_2019</v>
      </c>
    </row>
    <row r="54" spans="1:13" ht="15.75">
      <c r="A54" s="54" t="s">
        <v>6</v>
      </c>
      <c r="B54" s="55" t="s">
        <v>81</v>
      </c>
      <c r="C54" s="56">
        <v>43648</v>
      </c>
      <c r="D54" s="57" t="s">
        <v>24</v>
      </c>
      <c r="E54" s="58">
        <v>0.35416666666666669</v>
      </c>
      <c r="F54" s="58">
        <v>0.89583333333333337</v>
      </c>
      <c r="G54" s="59">
        <v>0</v>
      </c>
      <c r="H54" s="59">
        <v>12.000000000000002</v>
      </c>
      <c r="I54" s="59">
        <v>12.000000000000002</v>
      </c>
      <c r="J54" s="61" t="s">
        <v>20</v>
      </c>
      <c r="K54" s="60" t="s">
        <v>116</v>
      </c>
      <c r="L54" s="55" t="s">
        <v>71</v>
      </c>
      <c r="M54" s="55" t="str">
        <f t="shared" si="1"/>
        <v>Jul_2019</v>
      </c>
    </row>
    <row r="55" spans="1:13" ht="15.75">
      <c r="A55" s="54" t="s">
        <v>83</v>
      </c>
      <c r="B55" s="55" t="s">
        <v>114</v>
      </c>
      <c r="C55" s="56">
        <v>43649</v>
      </c>
      <c r="D55" s="57" t="s">
        <v>82</v>
      </c>
      <c r="E55" s="58">
        <v>0.72916666666666674</v>
      </c>
      <c r="F55" s="58">
        <v>0.89583333333333337</v>
      </c>
      <c r="G55" s="59">
        <v>8.0000000000000036</v>
      </c>
      <c r="H55" s="59">
        <v>3.9999999999999982</v>
      </c>
      <c r="I55" s="59">
        <v>3.9999999999999982</v>
      </c>
      <c r="J55" s="61" t="s">
        <v>20</v>
      </c>
      <c r="K55" s="60" t="s">
        <v>117</v>
      </c>
      <c r="L55" s="55">
        <v>1</v>
      </c>
      <c r="M55" s="55" t="str">
        <f t="shared" si="1"/>
        <v>Jul_2019</v>
      </c>
    </row>
    <row r="56" spans="1:13" ht="15.75">
      <c r="A56" s="54" t="s">
        <v>83</v>
      </c>
      <c r="B56" s="55" t="s">
        <v>73</v>
      </c>
      <c r="C56" s="56">
        <v>43649</v>
      </c>
      <c r="D56" s="57" t="s">
        <v>82</v>
      </c>
      <c r="E56" s="58">
        <v>0.72916666666666674</v>
      </c>
      <c r="F56" s="58">
        <v>0.89583333333333337</v>
      </c>
      <c r="G56" s="59">
        <v>8.0000000000000036</v>
      </c>
      <c r="H56" s="59">
        <v>3.9999999999999982</v>
      </c>
      <c r="I56" s="59">
        <v>3.9999999999999982</v>
      </c>
      <c r="J56" s="61" t="s">
        <v>20</v>
      </c>
      <c r="K56" s="60" t="s">
        <v>117</v>
      </c>
      <c r="L56" s="55">
        <v>1</v>
      </c>
      <c r="M56" s="55" t="str">
        <f t="shared" si="1"/>
        <v>Jul_2019</v>
      </c>
    </row>
    <row r="57" spans="1:13" ht="15.75">
      <c r="A57" s="54" t="s">
        <v>83</v>
      </c>
      <c r="B57" s="55" t="s">
        <v>84</v>
      </c>
      <c r="C57" s="56">
        <v>43649</v>
      </c>
      <c r="D57" s="57" t="s">
        <v>82</v>
      </c>
      <c r="E57" s="58">
        <v>0.72916666666666674</v>
      </c>
      <c r="F57" s="58">
        <v>0.89583333333333337</v>
      </c>
      <c r="G57" s="59">
        <v>8.0000000000000036</v>
      </c>
      <c r="H57" s="59">
        <v>3.9999999999999982</v>
      </c>
      <c r="I57" s="59">
        <v>3.9999999999999982</v>
      </c>
      <c r="J57" s="61" t="s">
        <v>20</v>
      </c>
      <c r="K57" s="60" t="s">
        <v>117</v>
      </c>
      <c r="L57" s="55">
        <v>1</v>
      </c>
      <c r="M57" s="55" t="str">
        <f t="shared" si="1"/>
        <v>Jul_2019</v>
      </c>
    </row>
    <row r="58" spans="1:13" ht="15.75">
      <c r="A58" s="54" t="s">
        <v>83</v>
      </c>
      <c r="B58" s="55" t="s">
        <v>75</v>
      </c>
      <c r="C58" s="56">
        <v>43649</v>
      </c>
      <c r="D58" s="57" t="s">
        <v>82</v>
      </c>
      <c r="E58" s="58">
        <v>0.72916666666666674</v>
      </c>
      <c r="F58" s="58">
        <v>0.89583333333333337</v>
      </c>
      <c r="G58" s="59">
        <v>8.0000000000000036</v>
      </c>
      <c r="H58" s="59">
        <v>3.9999999999999982</v>
      </c>
      <c r="I58" s="59">
        <v>3.9999999999999982</v>
      </c>
      <c r="J58" s="61" t="s">
        <v>20</v>
      </c>
      <c r="K58" s="60" t="s">
        <v>117</v>
      </c>
      <c r="L58" s="55">
        <v>1</v>
      </c>
      <c r="M58" s="55" t="str">
        <f t="shared" si="1"/>
        <v>Jul_2019</v>
      </c>
    </row>
    <row r="59" spans="1:13" ht="15.75">
      <c r="A59" s="54" t="s">
        <v>83</v>
      </c>
      <c r="B59" s="55" t="s">
        <v>85</v>
      </c>
      <c r="C59" s="56">
        <v>43649</v>
      </c>
      <c r="D59" s="57" t="s">
        <v>82</v>
      </c>
      <c r="E59" s="58">
        <v>0.72916666666666674</v>
      </c>
      <c r="F59" s="58">
        <v>0.89583333333333337</v>
      </c>
      <c r="G59" s="59">
        <v>8.0000000000000036</v>
      </c>
      <c r="H59" s="59">
        <v>3.9999999999999982</v>
      </c>
      <c r="I59" s="59">
        <v>3.9999999999999982</v>
      </c>
      <c r="J59" s="61" t="s">
        <v>20</v>
      </c>
      <c r="K59" s="60" t="s">
        <v>117</v>
      </c>
      <c r="L59" s="55">
        <v>1</v>
      </c>
      <c r="M59" s="55" t="str">
        <f t="shared" si="1"/>
        <v>Jul_2019</v>
      </c>
    </row>
    <row r="60" spans="1:13" ht="15.75">
      <c r="A60" s="54" t="s">
        <v>83</v>
      </c>
      <c r="B60" s="55" t="s">
        <v>86</v>
      </c>
      <c r="C60" s="56">
        <v>43649</v>
      </c>
      <c r="D60" s="57" t="s">
        <v>82</v>
      </c>
      <c r="E60" s="58">
        <v>0.72916666666666674</v>
      </c>
      <c r="F60" s="58">
        <v>0.89583333333333337</v>
      </c>
      <c r="G60" s="59">
        <v>8.0000000000000036</v>
      </c>
      <c r="H60" s="59">
        <v>3.9999999999999982</v>
      </c>
      <c r="I60" s="59">
        <v>3.9999999999999982</v>
      </c>
      <c r="J60" s="61" t="s">
        <v>20</v>
      </c>
      <c r="K60" s="60" t="s">
        <v>117</v>
      </c>
      <c r="L60" s="55">
        <v>1</v>
      </c>
      <c r="M60" s="55" t="str">
        <f t="shared" si="1"/>
        <v>Jul_2019</v>
      </c>
    </row>
    <row r="61" spans="1:13" ht="15.75">
      <c r="A61" s="54" t="s">
        <v>83</v>
      </c>
      <c r="B61" s="55" t="s">
        <v>87</v>
      </c>
      <c r="C61" s="56">
        <v>43649</v>
      </c>
      <c r="D61" s="57" t="s">
        <v>82</v>
      </c>
      <c r="E61" s="58">
        <v>0.64583333333333326</v>
      </c>
      <c r="F61" s="58">
        <v>0.89583333333333337</v>
      </c>
      <c r="G61" s="59">
        <v>8.0000000000000036</v>
      </c>
      <c r="H61" s="59">
        <v>5.9999999999999964</v>
      </c>
      <c r="I61" s="59">
        <v>5.9999999999999964</v>
      </c>
      <c r="J61" s="61" t="s">
        <v>20</v>
      </c>
      <c r="K61" s="60" t="s">
        <v>117</v>
      </c>
      <c r="L61" s="55">
        <v>1</v>
      </c>
      <c r="M61" s="55" t="str">
        <f t="shared" si="1"/>
        <v>Jul_2019</v>
      </c>
    </row>
    <row r="62" spans="1:13" ht="15.75">
      <c r="A62" s="54" t="s">
        <v>83</v>
      </c>
      <c r="B62" s="55" t="s">
        <v>88</v>
      </c>
      <c r="C62" s="56">
        <v>43649</v>
      </c>
      <c r="D62" s="57" t="s">
        <v>82</v>
      </c>
      <c r="E62" s="58">
        <v>0.72916666666666674</v>
      </c>
      <c r="F62" s="58">
        <v>0.89583333333333337</v>
      </c>
      <c r="G62" s="59">
        <v>8.0000000000000036</v>
      </c>
      <c r="H62" s="59">
        <v>3.9999999999999982</v>
      </c>
      <c r="I62" s="59">
        <v>3.9999999999999982</v>
      </c>
      <c r="J62" s="61" t="s">
        <v>20</v>
      </c>
      <c r="K62" s="60" t="s">
        <v>117</v>
      </c>
      <c r="L62" s="55">
        <v>1</v>
      </c>
      <c r="M62" s="55" t="str">
        <f t="shared" si="1"/>
        <v>Jul_2019</v>
      </c>
    </row>
    <row r="63" spans="1:13" ht="15.75">
      <c r="A63" s="54" t="s">
        <v>83</v>
      </c>
      <c r="B63" s="55" t="s">
        <v>89</v>
      </c>
      <c r="C63" s="56">
        <v>43649</v>
      </c>
      <c r="D63" s="57" t="s">
        <v>82</v>
      </c>
      <c r="E63" s="58">
        <v>0.72916666666666674</v>
      </c>
      <c r="F63" s="58">
        <v>0.89583333333333337</v>
      </c>
      <c r="G63" s="59">
        <v>8.0000000000000036</v>
      </c>
      <c r="H63" s="59">
        <v>3.9999999999999982</v>
      </c>
      <c r="I63" s="59">
        <v>3.9999999999999982</v>
      </c>
      <c r="J63" s="61" t="s">
        <v>20</v>
      </c>
      <c r="K63" s="60" t="s">
        <v>117</v>
      </c>
      <c r="L63" s="55">
        <v>1</v>
      </c>
      <c r="M63" s="55" t="str">
        <f t="shared" si="1"/>
        <v>Jul_2019</v>
      </c>
    </row>
    <row r="64" spans="1:13" ht="15.75">
      <c r="A64" s="54" t="s">
        <v>6</v>
      </c>
      <c r="B64" s="55" t="s">
        <v>81</v>
      </c>
      <c r="C64" s="56">
        <v>43649</v>
      </c>
      <c r="D64" s="57" t="s">
        <v>82</v>
      </c>
      <c r="E64" s="58">
        <v>0.35416666666666669</v>
      </c>
      <c r="F64" s="58">
        <v>0.89583333333333337</v>
      </c>
      <c r="G64" s="59">
        <v>0</v>
      </c>
      <c r="H64" s="59">
        <v>12.000000000000002</v>
      </c>
      <c r="I64" s="59">
        <v>12.000000000000002</v>
      </c>
      <c r="J64" s="61" t="s">
        <v>20</v>
      </c>
      <c r="K64" s="60" t="s">
        <v>117</v>
      </c>
      <c r="L64" s="55" t="s">
        <v>71</v>
      </c>
      <c r="M64" s="55" t="str">
        <f t="shared" si="1"/>
        <v>Jul_2019</v>
      </c>
    </row>
    <row r="65" spans="1:13" ht="15.75">
      <c r="A65" s="54" t="s">
        <v>6</v>
      </c>
      <c r="B65" s="55" t="s">
        <v>110</v>
      </c>
      <c r="C65" s="56">
        <v>43649</v>
      </c>
      <c r="D65" s="57" t="s">
        <v>82</v>
      </c>
      <c r="E65" s="58">
        <v>0.54166666666666663</v>
      </c>
      <c r="F65" s="58">
        <v>0.89583333333333337</v>
      </c>
      <c r="G65" s="59">
        <v>0</v>
      </c>
      <c r="H65" s="59">
        <v>7.5000000000000018</v>
      </c>
      <c r="I65" s="59">
        <v>7.5000000000000018</v>
      </c>
      <c r="J65" s="61" t="s">
        <v>20</v>
      </c>
      <c r="K65" s="60" t="s">
        <v>117</v>
      </c>
      <c r="L65" s="55" t="s">
        <v>71</v>
      </c>
      <c r="M65" s="55" t="str">
        <f t="shared" si="1"/>
        <v>Jul_2019</v>
      </c>
    </row>
    <row r="66" spans="1:13" ht="15.75">
      <c r="A66" s="54" t="s">
        <v>83</v>
      </c>
      <c r="B66" s="55" t="s">
        <v>114</v>
      </c>
      <c r="C66" s="56">
        <v>43650</v>
      </c>
      <c r="D66" s="57" t="s">
        <v>21</v>
      </c>
      <c r="E66" s="58">
        <v>0.72916666666666674</v>
      </c>
      <c r="F66" s="58">
        <v>0.89583333333333337</v>
      </c>
      <c r="G66" s="59">
        <v>8.0000000000000036</v>
      </c>
      <c r="H66" s="59">
        <v>3.9999999999999982</v>
      </c>
      <c r="I66" s="59">
        <v>3.9999999999999982</v>
      </c>
      <c r="J66" s="61" t="s">
        <v>20</v>
      </c>
      <c r="K66" s="60" t="s">
        <v>118</v>
      </c>
      <c r="L66" s="55">
        <v>1</v>
      </c>
      <c r="M66" s="55" t="str">
        <f t="shared" si="1"/>
        <v>Jul_2019</v>
      </c>
    </row>
    <row r="67" spans="1:13" ht="15.75">
      <c r="A67" s="54" t="s">
        <v>83</v>
      </c>
      <c r="B67" s="55" t="s">
        <v>73</v>
      </c>
      <c r="C67" s="56">
        <v>43650</v>
      </c>
      <c r="D67" s="57" t="s">
        <v>21</v>
      </c>
      <c r="E67" s="58">
        <v>0.72916666666666674</v>
      </c>
      <c r="F67" s="58">
        <v>0.89583333333333337</v>
      </c>
      <c r="G67" s="59">
        <v>8.0000000000000036</v>
      </c>
      <c r="H67" s="59">
        <v>3.9999999999999982</v>
      </c>
      <c r="I67" s="59">
        <v>3.9999999999999982</v>
      </c>
      <c r="J67" s="61" t="s">
        <v>20</v>
      </c>
      <c r="K67" s="60" t="s">
        <v>118</v>
      </c>
      <c r="L67" s="55">
        <v>1</v>
      </c>
      <c r="M67" s="55" t="str">
        <f t="shared" si="1"/>
        <v>Jul_2019</v>
      </c>
    </row>
    <row r="68" spans="1:13" ht="15.75">
      <c r="A68" s="54" t="s">
        <v>83</v>
      </c>
      <c r="B68" s="55" t="s">
        <v>84</v>
      </c>
      <c r="C68" s="56">
        <v>43650</v>
      </c>
      <c r="D68" s="57" t="s">
        <v>21</v>
      </c>
      <c r="E68" s="58">
        <v>0.72916666666666674</v>
      </c>
      <c r="F68" s="58">
        <v>0.89583333333333337</v>
      </c>
      <c r="G68" s="59">
        <v>8.0000000000000036</v>
      </c>
      <c r="H68" s="59">
        <v>3.9999999999999982</v>
      </c>
      <c r="I68" s="59">
        <v>3.9999999999999982</v>
      </c>
      <c r="J68" s="61" t="s">
        <v>20</v>
      </c>
      <c r="K68" s="60" t="s">
        <v>118</v>
      </c>
      <c r="L68" s="55">
        <v>1</v>
      </c>
      <c r="M68" s="55" t="str">
        <f t="shared" si="1"/>
        <v>Jul_2019</v>
      </c>
    </row>
    <row r="69" spans="1:13" ht="15.75">
      <c r="A69" s="54" t="s">
        <v>83</v>
      </c>
      <c r="B69" s="55" t="s">
        <v>75</v>
      </c>
      <c r="C69" s="56">
        <v>43650</v>
      </c>
      <c r="D69" s="57" t="s">
        <v>21</v>
      </c>
      <c r="E69" s="58">
        <v>0.72916666666666674</v>
      </c>
      <c r="F69" s="58">
        <v>0.89583333333333337</v>
      </c>
      <c r="G69" s="59">
        <v>8.0000000000000036</v>
      </c>
      <c r="H69" s="59">
        <v>3.9999999999999982</v>
      </c>
      <c r="I69" s="59">
        <v>3.9999999999999982</v>
      </c>
      <c r="J69" s="61" t="s">
        <v>20</v>
      </c>
      <c r="K69" s="60" t="s">
        <v>118</v>
      </c>
      <c r="L69" s="55">
        <v>1</v>
      </c>
      <c r="M69" s="55" t="str">
        <f t="shared" si="1"/>
        <v>Jul_2019</v>
      </c>
    </row>
    <row r="70" spans="1:13" ht="15.75">
      <c r="A70" s="54" t="s">
        <v>83</v>
      </c>
      <c r="B70" s="55" t="s">
        <v>85</v>
      </c>
      <c r="C70" s="56">
        <v>43650</v>
      </c>
      <c r="D70" s="57" t="s">
        <v>21</v>
      </c>
      <c r="E70" s="58">
        <v>0.6875</v>
      </c>
      <c r="F70" s="58">
        <v>0.85416666666666663</v>
      </c>
      <c r="G70" s="59">
        <v>8.0000000000000036</v>
      </c>
      <c r="H70" s="59">
        <v>3.9999999999999964</v>
      </c>
      <c r="I70" s="59">
        <v>3.9999999999999964</v>
      </c>
      <c r="J70" s="61" t="s">
        <v>20</v>
      </c>
      <c r="K70" s="60" t="s">
        <v>118</v>
      </c>
      <c r="L70" s="55">
        <v>1</v>
      </c>
      <c r="M70" s="55" t="str">
        <f t="shared" si="1"/>
        <v>Jul_2019</v>
      </c>
    </row>
    <row r="71" spans="1:13" ht="15.75">
      <c r="A71" s="54" t="s">
        <v>83</v>
      </c>
      <c r="B71" s="55" t="s">
        <v>86</v>
      </c>
      <c r="C71" s="56">
        <v>43650</v>
      </c>
      <c r="D71" s="57" t="s">
        <v>21</v>
      </c>
      <c r="E71" s="58">
        <v>0.72916666666666674</v>
      </c>
      <c r="F71" s="58">
        <v>0.89583333333333337</v>
      </c>
      <c r="G71" s="59">
        <v>8.0000000000000036</v>
      </c>
      <c r="H71" s="59">
        <v>3.9999999999999982</v>
      </c>
      <c r="I71" s="59">
        <v>3.9999999999999982</v>
      </c>
      <c r="J71" s="61" t="s">
        <v>20</v>
      </c>
      <c r="K71" s="60" t="s">
        <v>118</v>
      </c>
      <c r="L71" s="55">
        <v>1</v>
      </c>
      <c r="M71" s="55" t="str">
        <f t="shared" si="1"/>
        <v>Jul_2019</v>
      </c>
    </row>
    <row r="72" spans="1:13" ht="15.75">
      <c r="A72" s="54" t="s">
        <v>83</v>
      </c>
      <c r="B72" s="55" t="s">
        <v>87</v>
      </c>
      <c r="C72" s="56">
        <v>43650</v>
      </c>
      <c r="D72" s="57" t="s">
        <v>21</v>
      </c>
      <c r="E72" s="58">
        <v>0.72916666666666674</v>
      </c>
      <c r="F72" s="58">
        <v>0.89583333333333337</v>
      </c>
      <c r="G72" s="59">
        <v>8.0000000000000036</v>
      </c>
      <c r="H72" s="59">
        <v>3.9999999999999982</v>
      </c>
      <c r="I72" s="59">
        <v>3.9999999999999982</v>
      </c>
      <c r="J72" s="61" t="s">
        <v>20</v>
      </c>
      <c r="K72" s="60" t="s">
        <v>118</v>
      </c>
      <c r="L72" s="55">
        <v>1</v>
      </c>
      <c r="M72" s="55" t="str">
        <f t="shared" si="1"/>
        <v>Jul_2019</v>
      </c>
    </row>
    <row r="73" spans="1:13" ht="15.75">
      <c r="A73" s="54" t="s">
        <v>83</v>
      </c>
      <c r="B73" s="55" t="s">
        <v>88</v>
      </c>
      <c r="C73" s="56">
        <v>43650</v>
      </c>
      <c r="D73" s="57" t="s">
        <v>21</v>
      </c>
      <c r="E73" s="58">
        <v>0.72916666666666674</v>
      </c>
      <c r="F73" s="58">
        <v>0.89583333333333337</v>
      </c>
      <c r="G73" s="59">
        <v>8.0000000000000036</v>
      </c>
      <c r="H73" s="59">
        <v>3.9999999999999982</v>
      </c>
      <c r="I73" s="59">
        <v>3.9999999999999982</v>
      </c>
      <c r="J73" s="61" t="s">
        <v>20</v>
      </c>
      <c r="K73" s="60" t="s">
        <v>118</v>
      </c>
      <c r="L73" s="55">
        <v>1</v>
      </c>
      <c r="M73" s="55" t="str">
        <f t="shared" si="1"/>
        <v>Jul_2019</v>
      </c>
    </row>
    <row r="74" spans="1:13" ht="15.75">
      <c r="A74" s="54" t="s">
        <v>83</v>
      </c>
      <c r="B74" s="55" t="s">
        <v>89</v>
      </c>
      <c r="C74" s="56">
        <v>43650</v>
      </c>
      <c r="D74" s="57" t="s">
        <v>21</v>
      </c>
      <c r="E74" s="58">
        <v>0.72916666666666674</v>
      </c>
      <c r="F74" s="58">
        <v>0.89583333333333337</v>
      </c>
      <c r="G74" s="59">
        <v>8.0000000000000036</v>
      </c>
      <c r="H74" s="59">
        <v>3.9999999999999982</v>
      </c>
      <c r="I74" s="59">
        <v>3.9999999999999982</v>
      </c>
      <c r="J74" s="61" t="s">
        <v>20</v>
      </c>
      <c r="K74" s="60" t="s">
        <v>118</v>
      </c>
      <c r="L74" s="55">
        <v>1</v>
      </c>
      <c r="M74" s="55" t="str">
        <f t="shared" si="1"/>
        <v>Jul_2019</v>
      </c>
    </row>
    <row r="75" spans="1:13" ht="15.75">
      <c r="A75" s="54" t="s">
        <v>83</v>
      </c>
      <c r="B75" s="55" t="s">
        <v>112</v>
      </c>
      <c r="C75" s="56">
        <v>43650</v>
      </c>
      <c r="D75" s="57" t="s">
        <v>21</v>
      </c>
      <c r="E75" s="58">
        <v>0.72916666666666674</v>
      </c>
      <c r="F75" s="58">
        <v>0.89583333333333337</v>
      </c>
      <c r="G75" s="59">
        <v>8.0000000000000036</v>
      </c>
      <c r="H75" s="59">
        <v>3.9999999999999982</v>
      </c>
      <c r="I75" s="59">
        <v>3.9999999999999982</v>
      </c>
      <c r="J75" s="61" t="s">
        <v>20</v>
      </c>
      <c r="K75" s="60" t="s">
        <v>118</v>
      </c>
      <c r="L75" s="55">
        <v>1</v>
      </c>
      <c r="M75" s="55" t="str">
        <f t="shared" si="1"/>
        <v>Jul_2019</v>
      </c>
    </row>
    <row r="76" spans="1:13" ht="15.75">
      <c r="A76" s="54" t="s">
        <v>6</v>
      </c>
      <c r="B76" s="55" t="s">
        <v>81</v>
      </c>
      <c r="C76" s="56">
        <v>43650</v>
      </c>
      <c r="D76" s="57" t="s">
        <v>21</v>
      </c>
      <c r="E76" s="58">
        <v>0.35416666666666669</v>
      </c>
      <c r="F76" s="58">
        <v>0.89583333333333337</v>
      </c>
      <c r="G76" s="59">
        <v>0</v>
      </c>
      <c r="H76" s="59">
        <v>12.000000000000002</v>
      </c>
      <c r="I76" s="59">
        <v>12.000000000000002</v>
      </c>
      <c r="J76" s="61" t="s">
        <v>20</v>
      </c>
      <c r="K76" s="60" t="s">
        <v>118</v>
      </c>
      <c r="L76" s="55" t="s">
        <v>71</v>
      </c>
      <c r="M76" s="55" t="str">
        <f t="shared" si="1"/>
        <v>Jul_2019</v>
      </c>
    </row>
    <row r="77" spans="1:13" ht="15.75">
      <c r="A77" s="54" t="s">
        <v>83</v>
      </c>
      <c r="B77" s="55" t="s">
        <v>114</v>
      </c>
      <c r="C77" s="56">
        <v>43651</v>
      </c>
      <c r="D77" s="57" t="s">
        <v>22</v>
      </c>
      <c r="E77" s="58">
        <v>0.72916666666666674</v>
      </c>
      <c r="F77" s="58">
        <v>0.91666666666666663</v>
      </c>
      <c r="G77" s="59">
        <v>8.0000000000000036</v>
      </c>
      <c r="H77" s="59">
        <v>4.4999999999999964</v>
      </c>
      <c r="I77" s="59">
        <v>4.4999999999999964</v>
      </c>
      <c r="J77" s="61" t="s">
        <v>20</v>
      </c>
      <c r="K77" s="60" t="s">
        <v>119</v>
      </c>
      <c r="L77" s="55">
        <v>1</v>
      </c>
      <c r="M77" s="55" t="str">
        <f t="shared" si="1"/>
        <v>Jul_2019</v>
      </c>
    </row>
    <row r="78" spans="1:13" ht="15.75">
      <c r="A78" s="54" t="s">
        <v>83</v>
      </c>
      <c r="B78" s="55" t="s">
        <v>73</v>
      </c>
      <c r="C78" s="56">
        <v>43651</v>
      </c>
      <c r="D78" s="57" t="s">
        <v>22</v>
      </c>
      <c r="E78" s="58">
        <v>0.72916666666666674</v>
      </c>
      <c r="F78" s="58">
        <v>0.91666666666666663</v>
      </c>
      <c r="G78" s="59">
        <v>8.0000000000000036</v>
      </c>
      <c r="H78" s="59">
        <v>4.4999999999999964</v>
      </c>
      <c r="I78" s="59">
        <v>4.4999999999999964</v>
      </c>
      <c r="J78" s="61" t="s">
        <v>20</v>
      </c>
      <c r="K78" s="60" t="s">
        <v>119</v>
      </c>
      <c r="L78" s="55">
        <v>1</v>
      </c>
      <c r="M78" s="55" t="str">
        <f t="shared" si="1"/>
        <v>Jul_2019</v>
      </c>
    </row>
    <row r="79" spans="1:13" ht="15.75">
      <c r="A79" s="54" t="s">
        <v>83</v>
      </c>
      <c r="B79" s="55" t="s">
        <v>84</v>
      </c>
      <c r="C79" s="56">
        <v>43651</v>
      </c>
      <c r="D79" s="57" t="s">
        <v>22</v>
      </c>
      <c r="E79" s="58">
        <v>0.72916666666666674</v>
      </c>
      <c r="F79" s="58">
        <v>0.91666666666666663</v>
      </c>
      <c r="G79" s="59">
        <v>8.0000000000000036</v>
      </c>
      <c r="H79" s="59">
        <v>4.4999999999999964</v>
      </c>
      <c r="I79" s="59">
        <v>4.4999999999999964</v>
      </c>
      <c r="J79" s="61" t="s">
        <v>20</v>
      </c>
      <c r="K79" s="60" t="s">
        <v>119</v>
      </c>
      <c r="L79" s="55">
        <v>1</v>
      </c>
      <c r="M79" s="55" t="str">
        <f t="shared" si="1"/>
        <v>Jul_2019</v>
      </c>
    </row>
    <row r="80" spans="1:13" ht="15.75">
      <c r="A80" s="54" t="s">
        <v>83</v>
      </c>
      <c r="B80" s="55" t="s">
        <v>75</v>
      </c>
      <c r="C80" s="56">
        <v>43651</v>
      </c>
      <c r="D80" s="57" t="s">
        <v>22</v>
      </c>
      <c r="E80" s="58">
        <v>0.6875</v>
      </c>
      <c r="F80" s="58">
        <v>0.85416666666666663</v>
      </c>
      <c r="G80" s="59">
        <v>8.0000000000000036</v>
      </c>
      <c r="H80" s="59">
        <v>3.9999999999999964</v>
      </c>
      <c r="I80" s="59">
        <v>3.9999999999999964</v>
      </c>
      <c r="J80" s="61" t="s">
        <v>20</v>
      </c>
      <c r="K80" s="60" t="s">
        <v>119</v>
      </c>
      <c r="L80" s="55">
        <v>1</v>
      </c>
      <c r="M80" s="55" t="str">
        <f t="shared" si="1"/>
        <v>Jul_2019</v>
      </c>
    </row>
    <row r="81" spans="1:13" ht="15.75">
      <c r="A81" s="54" t="s">
        <v>83</v>
      </c>
      <c r="B81" s="55" t="s">
        <v>85</v>
      </c>
      <c r="C81" s="56">
        <v>43651</v>
      </c>
      <c r="D81" s="57" t="s">
        <v>22</v>
      </c>
      <c r="E81" s="58">
        <v>0.72916666666666674</v>
      </c>
      <c r="F81" s="58">
        <v>0.91666666666666663</v>
      </c>
      <c r="G81" s="59">
        <v>8.0000000000000036</v>
      </c>
      <c r="H81" s="59">
        <v>4.4999999999999964</v>
      </c>
      <c r="I81" s="59">
        <v>4.4999999999999964</v>
      </c>
      <c r="J81" s="61" t="s">
        <v>20</v>
      </c>
      <c r="K81" s="60" t="s">
        <v>119</v>
      </c>
      <c r="L81" s="55">
        <v>1</v>
      </c>
      <c r="M81" s="55" t="str">
        <f t="shared" si="1"/>
        <v>Jul_2019</v>
      </c>
    </row>
    <row r="82" spans="1:13" ht="15.75">
      <c r="A82" s="54" t="s">
        <v>83</v>
      </c>
      <c r="B82" s="55" t="s">
        <v>86</v>
      </c>
      <c r="C82" s="56">
        <v>43651</v>
      </c>
      <c r="D82" s="57" t="s">
        <v>22</v>
      </c>
      <c r="E82" s="58">
        <v>0.72916666666666674</v>
      </c>
      <c r="F82" s="58">
        <v>0.89583333333333337</v>
      </c>
      <c r="G82" s="59">
        <v>8.0000000000000036</v>
      </c>
      <c r="H82" s="59">
        <v>3.9999999999999982</v>
      </c>
      <c r="I82" s="59">
        <v>3.9999999999999982</v>
      </c>
      <c r="J82" s="61" t="s">
        <v>20</v>
      </c>
      <c r="K82" s="60" t="s">
        <v>119</v>
      </c>
      <c r="L82" s="55">
        <v>1</v>
      </c>
      <c r="M82" s="55" t="str">
        <f t="shared" si="1"/>
        <v>Jul_2019</v>
      </c>
    </row>
    <row r="83" spans="1:13" ht="15.75">
      <c r="A83" s="54" t="s">
        <v>83</v>
      </c>
      <c r="B83" s="55" t="s">
        <v>87</v>
      </c>
      <c r="C83" s="56">
        <v>43651</v>
      </c>
      <c r="D83" s="57" t="s">
        <v>22</v>
      </c>
      <c r="E83" s="58">
        <v>0.72916666666666674</v>
      </c>
      <c r="F83" s="58">
        <v>0.89583333333333337</v>
      </c>
      <c r="G83" s="59">
        <v>8.0000000000000036</v>
      </c>
      <c r="H83" s="59">
        <v>3.9999999999999982</v>
      </c>
      <c r="I83" s="59">
        <v>3.9999999999999982</v>
      </c>
      <c r="J83" s="61" t="s">
        <v>20</v>
      </c>
      <c r="K83" s="60" t="s">
        <v>119</v>
      </c>
      <c r="L83" s="55">
        <v>1</v>
      </c>
      <c r="M83" s="55" t="str">
        <f t="shared" si="1"/>
        <v>Jul_2019</v>
      </c>
    </row>
    <row r="84" spans="1:13" ht="15.75">
      <c r="A84" s="54" t="s">
        <v>83</v>
      </c>
      <c r="B84" s="55" t="s">
        <v>88</v>
      </c>
      <c r="C84" s="56">
        <v>43651</v>
      </c>
      <c r="D84" s="57" t="s">
        <v>22</v>
      </c>
      <c r="E84" s="58">
        <v>0.72916666666666674</v>
      </c>
      <c r="F84" s="58">
        <v>0.91666666666666663</v>
      </c>
      <c r="G84" s="59">
        <v>8.0000000000000036</v>
      </c>
      <c r="H84" s="59">
        <v>4.4999999999999964</v>
      </c>
      <c r="I84" s="59">
        <v>4.4999999999999964</v>
      </c>
      <c r="J84" s="61" t="s">
        <v>20</v>
      </c>
      <c r="K84" s="60" t="s">
        <v>119</v>
      </c>
      <c r="L84" s="55">
        <v>1</v>
      </c>
      <c r="M84" s="55" t="str">
        <f t="shared" si="1"/>
        <v>Jul_2019</v>
      </c>
    </row>
    <row r="85" spans="1:13" ht="15.75">
      <c r="A85" s="54" t="s">
        <v>83</v>
      </c>
      <c r="B85" s="55" t="s">
        <v>89</v>
      </c>
      <c r="C85" s="56">
        <v>43651</v>
      </c>
      <c r="D85" s="57" t="s">
        <v>22</v>
      </c>
      <c r="E85" s="58">
        <v>0.72916666666666674</v>
      </c>
      <c r="F85" s="58">
        <v>0.89583333333333337</v>
      </c>
      <c r="G85" s="59">
        <v>8.0000000000000036</v>
      </c>
      <c r="H85" s="59">
        <v>3.9999999999999982</v>
      </c>
      <c r="I85" s="59">
        <v>3.9999999999999982</v>
      </c>
      <c r="J85" s="61" t="s">
        <v>20</v>
      </c>
      <c r="K85" s="60" t="s">
        <v>119</v>
      </c>
      <c r="L85" s="55">
        <v>1</v>
      </c>
      <c r="M85" s="55" t="str">
        <f t="shared" si="1"/>
        <v>Jul_2019</v>
      </c>
    </row>
    <row r="86" spans="1:13" ht="15.75">
      <c r="A86" s="54" t="s">
        <v>6</v>
      </c>
      <c r="B86" s="55" t="s">
        <v>81</v>
      </c>
      <c r="C86" s="56">
        <v>43651</v>
      </c>
      <c r="D86" s="57" t="s">
        <v>22</v>
      </c>
      <c r="E86" s="58">
        <v>0.35416666666666669</v>
      </c>
      <c r="F86" s="58">
        <v>0.89583333333333337</v>
      </c>
      <c r="G86" s="59">
        <v>0</v>
      </c>
      <c r="H86" s="59">
        <v>12.000000000000002</v>
      </c>
      <c r="I86" s="59">
        <v>12.000000000000002</v>
      </c>
      <c r="J86" s="61" t="s">
        <v>20</v>
      </c>
      <c r="K86" s="60" t="s">
        <v>119</v>
      </c>
      <c r="L86" s="55" t="s">
        <v>71</v>
      </c>
      <c r="M86" s="55" t="str">
        <f t="shared" si="1"/>
        <v>Jul_2019</v>
      </c>
    </row>
    <row r="87" spans="1:13" ht="15.75">
      <c r="A87" s="54" t="s">
        <v>6</v>
      </c>
      <c r="B87" s="55" t="s">
        <v>74</v>
      </c>
      <c r="C87" s="56">
        <v>43651</v>
      </c>
      <c r="D87" s="57" t="s">
        <v>22</v>
      </c>
      <c r="E87" s="58">
        <v>0.35416666666666669</v>
      </c>
      <c r="F87" s="58">
        <v>0.91666666666666663</v>
      </c>
      <c r="G87" s="59">
        <v>0</v>
      </c>
      <c r="H87" s="59">
        <v>12.5</v>
      </c>
      <c r="I87" s="59">
        <v>12.5</v>
      </c>
      <c r="J87" s="61" t="s">
        <v>20</v>
      </c>
      <c r="K87" s="60" t="s">
        <v>119</v>
      </c>
      <c r="L87" s="55" t="s">
        <v>71</v>
      </c>
      <c r="M87" s="55" t="str">
        <f t="shared" si="1"/>
        <v>Jul_2019</v>
      </c>
    </row>
    <row r="88" spans="1:13" ht="15.75">
      <c r="A88" s="54" t="s">
        <v>6</v>
      </c>
      <c r="B88" s="55" t="s">
        <v>98</v>
      </c>
      <c r="C88" s="56">
        <v>43651</v>
      </c>
      <c r="D88" s="57" t="s">
        <v>22</v>
      </c>
      <c r="E88" s="58">
        <v>0.58333333333333337</v>
      </c>
      <c r="F88" s="58">
        <v>0.89583333333333337</v>
      </c>
      <c r="G88" s="59">
        <v>0</v>
      </c>
      <c r="H88" s="59">
        <v>6.5</v>
      </c>
      <c r="I88" s="59">
        <v>6.5</v>
      </c>
      <c r="J88" s="61" t="s">
        <v>20</v>
      </c>
      <c r="K88" s="60" t="s">
        <v>119</v>
      </c>
      <c r="L88" s="55" t="s">
        <v>71</v>
      </c>
      <c r="M88" s="55" t="str">
        <f t="shared" si="1"/>
        <v>Jul_2019</v>
      </c>
    </row>
    <row r="89" spans="1:13" ht="15.75">
      <c r="A89" s="54" t="s">
        <v>6</v>
      </c>
      <c r="B89" s="55" t="s">
        <v>110</v>
      </c>
      <c r="C89" s="56">
        <v>43651</v>
      </c>
      <c r="D89" s="57" t="s">
        <v>22</v>
      </c>
      <c r="E89" s="58">
        <v>0.5</v>
      </c>
      <c r="F89" s="58">
        <v>0.89583333333333337</v>
      </c>
      <c r="G89" s="59">
        <v>0</v>
      </c>
      <c r="H89" s="59">
        <v>8.5</v>
      </c>
      <c r="I89" s="59">
        <v>8.5</v>
      </c>
      <c r="J89" s="61" t="s">
        <v>20</v>
      </c>
      <c r="K89" s="60" t="s">
        <v>119</v>
      </c>
      <c r="L89" s="55" t="s">
        <v>71</v>
      </c>
      <c r="M89" s="55" t="str">
        <f t="shared" si="1"/>
        <v>Jul_2019</v>
      </c>
    </row>
    <row r="90" spans="1:13" ht="15.75">
      <c r="A90" s="54" t="s">
        <v>6</v>
      </c>
      <c r="B90" s="55" t="s">
        <v>81</v>
      </c>
      <c r="C90" s="56">
        <v>43654</v>
      </c>
      <c r="D90" s="57" t="s">
        <v>23</v>
      </c>
      <c r="E90" s="58">
        <v>0.35416666666666669</v>
      </c>
      <c r="F90" s="58">
        <v>0.72916666666666663</v>
      </c>
      <c r="G90" s="59">
        <v>0</v>
      </c>
      <c r="H90" s="59">
        <v>7.9999999999999982</v>
      </c>
      <c r="I90" s="59">
        <v>7.9999999999999982</v>
      </c>
      <c r="J90" s="61" t="s">
        <v>20</v>
      </c>
      <c r="K90" s="60" t="s">
        <v>120</v>
      </c>
      <c r="L90" s="55" t="s">
        <v>71</v>
      </c>
      <c r="M90" s="55" t="str">
        <f t="shared" si="1"/>
        <v>Jul_2019</v>
      </c>
    </row>
    <row r="91" spans="1:13" ht="15.75">
      <c r="A91" s="54" t="s">
        <v>6</v>
      </c>
      <c r="B91" s="55" t="s">
        <v>81</v>
      </c>
      <c r="C91" s="56">
        <v>43655</v>
      </c>
      <c r="D91" s="57" t="s">
        <v>24</v>
      </c>
      <c r="E91" s="58">
        <v>0.35416666666666669</v>
      </c>
      <c r="F91" s="58">
        <v>0.72916666666666663</v>
      </c>
      <c r="G91" s="59">
        <v>0</v>
      </c>
      <c r="H91" s="59">
        <v>7.9999999999999982</v>
      </c>
      <c r="I91" s="59">
        <v>7.9999999999999982</v>
      </c>
      <c r="J91" s="61" t="s">
        <v>20</v>
      </c>
      <c r="K91" s="60" t="s">
        <v>121</v>
      </c>
      <c r="L91" s="55" t="s">
        <v>71</v>
      </c>
      <c r="M91" s="55" t="str">
        <f t="shared" si="1"/>
        <v>Jul_2019</v>
      </c>
    </row>
    <row r="92" spans="1:13" ht="15.75">
      <c r="A92" s="54" t="s">
        <v>6</v>
      </c>
      <c r="B92" s="55" t="s">
        <v>81</v>
      </c>
      <c r="C92" s="56">
        <v>43656</v>
      </c>
      <c r="D92" s="57" t="s">
        <v>82</v>
      </c>
      <c r="E92" s="58">
        <v>0.35416666666666669</v>
      </c>
      <c r="F92" s="58">
        <v>0.72916666666666663</v>
      </c>
      <c r="G92" s="59">
        <v>0</v>
      </c>
      <c r="H92" s="59">
        <v>7.9999999999999982</v>
      </c>
      <c r="I92" s="59">
        <v>7.9999999999999982</v>
      </c>
      <c r="J92" s="61" t="s">
        <v>20</v>
      </c>
      <c r="K92" s="60" t="s">
        <v>122</v>
      </c>
      <c r="L92" s="55" t="s">
        <v>71</v>
      </c>
      <c r="M92" s="55" t="str">
        <f t="shared" si="1"/>
        <v>Jul_2019</v>
      </c>
    </row>
  </sheetData>
  <conditionalFormatting sqref="E2:K32">
    <cfRule type="cellIs" dxfId="145" priority="146" operator="equal">
      <formula>0</formula>
    </cfRule>
  </conditionalFormatting>
  <conditionalFormatting sqref="D2">
    <cfRule type="containsText" dxfId="144" priority="141" operator="containsText" text="Fri">
      <formula>NOT(ISERROR(SEARCH("Fri",D2)))</formula>
    </cfRule>
    <cfRule type="containsText" dxfId="143" priority="142" operator="containsText" text="Thu">
      <formula>NOT(ISERROR(SEARCH("Thu",D2)))</formula>
    </cfRule>
    <cfRule type="containsText" dxfId="142" priority="143" operator="containsText" text="Wed">
      <formula>NOT(ISERROR(SEARCH("Wed",D2)))</formula>
    </cfRule>
    <cfRule type="containsText" dxfId="141" priority="144" operator="containsText" text="Tue">
      <formula>NOT(ISERROR(SEARCH("Tue",D2)))</formula>
    </cfRule>
    <cfRule type="containsText" dxfId="140" priority="145" operator="containsText" text="Mon">
      <formula>NOT(ISERROR(SEARCH("Mon",D2)))</formula>
    </cfRule>
  </conditionalFormatting>
  <conditionalFormatting sqref="A2:B2">
    <cfRule type="cellIs" dxfId="139" priority="140" operator="equal">
      <formula>0</formula>
    </cfRule>
  </conditionalFormatting>
  <conditionalFormatting sqref="D3:D5">
    <cfRule type="containsText" dxfId="138" priority="135" operator="containsText" text="Fri">
      <formula>NOT(ISERROR(SEARCH("Fri",D3)))</formula>
    </cfRule>
    <cfRule type="containsText" dxfId="137" priority="136" operator="containsText" text="Thu">
      <formula>NOT(ISERROR(SEARCH("Thu",D3)))</formula>
    </cfRule>
    <cfRule type="containsText" dxfId="136" priority="137" operator="containsText" text="Wed">
      <formula>NOT(ISERROR(SEARCH("Wed",D3)))</formula>
    </cfRule>
    <cfRule type="containsText" dxfId="135" priority="138" operator="containsText" text="Tue">
      <formula>NOT(ISERROR(SEARCH("Tue",D3)))</formula>
    </cfRule>
    <cfRule type="containsText" dxfId="134" priority="139" operator="containsText" text="Mon">
      <formula>NOT(ISERROR(SEARCH("Mon",D3)))</formula>
    </cfRule>
  </conditionalFormatting>
  <conditionalFormatting sqref="A3:B5">
    <cfRule type="cellIs" dxfId="133" priority="134" operator="equal">
      <formula>0</formula>
    </cfRule>
  </conditionalFormatting>
  <conditionalFormatting sqref="D6">
    <cfRule type="containsText" dxfId="132" priority="129" operator="containsText" text="Fri">
      <formula>NOT(ISERROR(SEARCH("Fri",D6)))</formula>
    </cfRule>
    <cfRule type="containsText" dxfId="131" priority="130" operator="containsText" text="Thu">
      <formula>NOT(ISERROR(SEARCH("Thu",D6)))</formula>
    </cfRule>
    <cfRule type="containsText" dxfId="130" priority="131" operator="containsText" text="Wed">
      <formula>NOT(ISERROR(SEARCH("Wed",D6)))</formula>
    </cfRule>
    <cfRule type="containsText" dxfId="129" priority="132" operator="containsText" text="Tue">
      <formula>NOT(ISERROR(SEARCH("Tue",D6)))</formula>
    </cfRule>
    <cfRule type="containsText" dxfId="128" priority="133" operator="containsText" text="Mon">
      <formula>NOT(ISERROR(SEARCH("Mon",D6)))</formula>
    </cfRule>
  </conditionalFormatting>
  <conditionalFormatting sqref="D7:D8">
    <cfRule type="containsText" dxfId="127" priority="124" operator="containsText" text="Fri">
      <formula>NOT(ISERROR(SEARCH("Fri",D7)))</formula>
    </cfRule>
    <cfRule type="containsText" dxfId="126" priority="125" operator="containsText" text="Thu">
      <formula>NOT(ISERROR(SEARCH("Thu",D7)))</formula>
    </cfRule>
    <cfRule type="containsText" dxfId="125" priority="126" operator="containsText" text="Wed">
      <formula>NOT(ISERROR(SEARCH("Wed",D7)))</formula>
    </cfRule>
    <cfRule type="containsText" dxfId="124" priority="127" operator="containsText" text="Tue">
      <formula>NOT(ISERROR(SEARCH("Tue",D7)))</formula>
    </cfRule>
    <cfRule type="containsText" dxfId="123" priority="128" operator="containsText" text="Mon">
      <formula>NOT(ISERROR(SEARCH("Mon",D7)))</formula>
    </cfRule>
  </conditionalFormatting>
  <conditionalFormatting sqref="A6:B8">
    <cfRule type="cellIs" dxfId="122" priority="123" operator="equal">
      <formula>0</formula>
    </cfRule>
  </conditionalFormatting>
  <conditionalFormatting sqref="D9">
    <cfRule type="containsText" dxfId="121" priority="118" operator="containsText" text="Fri">
      <formula>NOT(ISERROR(SEARCH("Fri",D9)))</formula>
    </cfRule>
    <cfRule type="containsText" dxfId="120" priority="119" operator="containsText" text="Thu">
      <formula>NOT(ISERROR(SEARCH("Thu",D9)))</formula>
    </cfRule>
    <cfRule type="containsText" dxfId="119" priority="120" operator="containsText" text="Wed">
      <formula>NOT(ISERROR(SEARCH("Wed",D9)))</formula>
    </cfRule>
    <cfRule type="containsText" dxfId="118" priority="121" operator="containsText" text="Tue">
      <formula>NOT(ISERROR(SEARCH("Tue",D9)))</formula>
    </cfRule>
    <cfRule type="containsText" dxfId="117" priority="122" operator="containsText" text="Mon">
      <formula>NOT(ISERROR(SEARCH("Mon",D9)))</formula>
    </cfRule>
  </conditionalFormatting>
  <conditionalFormatting sqref="A9:B9">
    <cfRule type="cellIs" dxfId="116" priority="117" operator="equal">
      <formula>0</formula>
    </cfRule>
  </conditionalFormatting>
  <conditionalFormatting sqref="D10">
    <cfRule type="containsText" dxfId="115" priority="112" operator="containsText" text="Fri">
      <formula>NOT(ISERROR(SEARCH("Fri",D10)))</formula>
    </cfRule>
    <cfRule type="containsText" dxfId="114" priority="113" operator="containsText" text="Thu">
      <formula>NOT(ISERROR(SEARCH("Thu",D10)))</formula>
    </cfRule>
    <cfRule type="containsText" dxfId="113" priority="114" operator="containsText" text="Wed">
      <formula>NOT(ISERROR(SEARCH("Wed",D10)))</formula>
    </cfRule>
    <cfRule type="containsText" dxfId="112" priority="115" operator="containsText" text="Tue">
      <formula>NOT(ISERROR(SEARCH("Tue",D10)))</formula>
    </cfRule>
    <cfRule type="containsText" dxfId="111" priority="116" operator="containsText" text="Mon">
      <formula>NOT(ISERROR(SEARCH("Mon",D10)))</formula>
    </cfRule>
  </conditionalFormatting>
  <conditionalFormatting sqref="A10:B10">
    <cfRule type="cellIs" dxfId="110" priority="111" operator="equal">
      <formula>0</formula>
    </cfRule>
  </conditionalFormatting>
  <conditionalFormatting sqref="D11:D12">
    <cfRule type="containsText" dxfId="109" priority="106" operator="containsText" text="Fri">
      <formula>NOT(ISERROR(SEARCH("Fri",D11)))</formula>
    </cfRule>
    <cfRule type="containsText" dxfId="108" priority="107" operator="containsText" text="Thu">
      <formula>NOT(ISERROR(SEARCH("Thu",D11)))</formula>
    </cfRule>
    <cfRule type="containsText" dxfId="107" priority="108" operator="containsText" text="Wed">
      <formula>NOT(ISERROR(SEARCH("Wed",D11)))</formula>
    </cfRule>
    <cfRule type="containsText" dxfId="106" priority="109" operator="containsText" text="Tue">
      <formula>NOT(ISERROR(SEARCH("Tue",D11)))</formula>
    </cfRule>
    <cfRule type="containsText" dxfId="105" priority="110" operator="containsText" text="Mon">
      <formula>NOT(ISERROR(SEARCH("Mon",D11)))</formula>
    </cfRule>
  </conditionalFormatting>
  <conditionalFormatting sqref="A11:B12">
    <cfRule type="cellIs" dxfId="104" priority="105" operator="equal">
      <formula>0</formula>
    </cfRule>
  </conditionalFormatting>
  <conditionalFormatting sqref="D13:D14">
    <cfRule type="containsText" dxfId="103" priority="100" operator="containsText" text="Fri">
      <formula>NOT(ISERROR(SEARCH("Fri",D13)))</formula>
    </cfRule>
    <cfRule type="containsText" dxfId="102" priority="101" operator="containsText" text="Thu">
      <formula>NOT(ISERROR(SEARCH("Thu",D13)))</formula>
    </cfRule>
    <cfRule type="containsText" dxfId="101" priority="102" operator="containsText" text="Wed">
      <formula>NOT(ISERROR(SEARCH("Wed",D13)))</formula>
    </cfRule>
    <cfRule type="containsText" dxfId="100" priority="103" operator="containsText" text="Tue">
      <formula>NOT(ISERROR(SEARCH("Tue",D13)))</formula>
    </cfRule>
    <cfRule type="containsText" dxfId="99" priority="104" operator="containsText" text="Mon">
      <formula>NOT(ISERROR(SEARCH("Mon",D13)))</formula>
    </cfRule>
  </conditionalFormatting>
  <conditionalFormatting sqref="A13:B14">
    <cfRule type="cellIs" dxfId="98" priority="99" operator="equal">
      <formula>0</formula>
    </cfRule>
  </conditionalFormatting>
  <conditionalFormatting sqref="D15:D16">
    <cfRule type="containsText" dxfId="97" priority="94" operator="containsText" text="Fri">
      <formula>NOT(ISERROR(SEARCH("Fri",D15)))</formula>
    </cfRule>
    <cfRule type="containsText" dxfId="96" priority="95" operator="containsText" text="Thu">
      <formula>NOT(ISERROR(SEARCH("Thu",D15)))</formula>
    </cfRule>
    <cfRule type="containsText" dxfId="95" priority="96" operator="containsText" text="Wed">
      <formula>NOT(ISERROR(SEARCH("Wed",D15)))</formula>
    </cfRule>
    <cfRule type="containsText" dxfId="94" priority="97" operator="containsText" text="Tue">
      <formula>NOT(ISERROR(SEARCH("Tue",D15)))</formula>
    </cfRule>
    <cfRule type="containsText" dxfId="93" priority="98" operator="containsText" text="Mon">
      <formula>NOT(ISERROR(SEARCH("Mon",D15)))</formula>
    </cfRule>
  </conditionalFormatting>
  <conditionalFormatting sqref="A15:B16">
    <cfRule type="cellIs" dxfId="92" priority="93" operator="equal">
      <formula>0</formula>
    </cfRule>
  </conditionalFormatting>
  <conditionalFormatting sqref="D17">
    <cfRule type="containsText" dxfId="91" priority="88" operator="containsText" text="Fri">
      <formula>NOT(ISERROR(SEARCH("Fri",D17)))</formula>
    </cfRule>
    <cfRule type="containsText" dxfId="90" priority="89" operator="containsText" text="Thu">
      <formula>NOT(ISERROR(SEARCH("Thu",D17)))</formula>
    </cfRule>
    <cfRule type="containsText" dxfId="89" priority="90" operator="containsText" text="Wed">
      <formula>NOT(ISERROR(SEARCH("Wed",D17)))</formula>
    </cfRule>
    <cfRule type="containsText" dxfId="88" priority="91" operator="containsText" text="Tue">
      <formula>NOT(ISERROR(SEARCH("Tue",D17)))</formula>
    </cfRule>
    <cfRule type="containsText" dxfId="87" priority="92" operator="containsText" text="Mon">
      <formula>NOT(ISERROR(SEARCH("Mon",D17)))</formula>
    </cfRule>
  </conditionalFormatting>
  <conditionalFormatting sqref="A17:B17">
    <cfRule type="cellIs" dxfId="86" priority="87" operator="equal">
      <formula>0</formula>
    </cfRule>
  </conditionalFormatting>
  <conditionalFormatting sqref="D18">
    <cfRule type="containsText" dxfId="85" priority="82" operator="containsText" text="Fri">
      <formula>NOT(ISERROR(SEARCH("Fri",D18)))</formula>
    </cfRule>
    <cfRule type="containsText" dxfId="84" priority="83" operator="containsText" text="Thu">
      <formula>NOT(ISERROR(SEARCH("Thu",D18)))</formula>
    </cfRule>
    <cfRule type="containsText" dxfId="83" priority="84" operator="containsText" text="Wed">
      <formula>NOT(ISERROR(SEARCH("Wed",D18)))</formula>
    </cfRule>
    <cfRule type="containsText" dxfId="82" priority="85" operator="containsText" text="Tue">
      <formula>NOT(ISERROR(SEARCH("Tue",D18)))</formula>
    </cfRule>
    <cfRule type="containsText" dxfId="81" priority="86" operator="containsText" text="Mon">
      <formula>NOT(ISERROR(SEARCH("Mon",D18)))</formula>
    </cfRule>
  </conditionalFormatting>
  <conditionalFormatting sqref="D19">
    <cfRule type="containsText" dxfId="80" priority="77" operator="containsText" text="Fri">
      <formula>NOT(ISERROR(SEARCH("Fri",D19)))</formula>
    </cfRule>
    <cfRule type="containsText" dxfId="79" priority="78" operator="containsText" text="Thu">
      <formula>NOT(ISERROR(SEARCH("Thu",D19)))</formula>
    </cfRule>
    <cfRule type="containsText" dxfId="78" priority="79" operator="containsText" text="Wed">
      <formula>NOT(ISERROR(SEARCH("Wed",D19)))</formula>
    </cfRule>
    <cfRule type="containsText" dxfId="77" priority="80" operator="containsText" text="Tue">
      <formula>NOT(ISERROR(SEARCH("Tue",D19)))</formula>
    </cfRule>
    <cfRule type="containsText" dxfId="76" priority="81" operator="containsText" text="Mon">
      <formula>NOT(ISERROR(SEARCH("Mon",D19)))</formula>
    </cfRule>
  </conditionalFormatting>
  <conditionalFormatting sqref="A18:B19">
    <cfRule type="cellIs" dxfId="75" priority="76" operator="equal">
      <formula>0</formula>
    </cfRule>
  </conditionalFormatting>
  <conditionalFormatting sqref="D20:D25 D27:D28">
    <cfRule type="containsText" dxfId="74" priority="71" operator="containsText" text="Fri">
      <formula>NOT(ISERROR(SEARCH("Fri",D20)))</formula>
    </cfRule>
    <cfRule type="containsText" dxfId="73" priority="72" operator="containsText" text="Thu">
      <formula>NOT(ISERROR(SEARCH("Thu",D20)))</formula>
    </cfRule>
    <cfRule type="containsText" dxfId="72" priority="73" operator="containsText" text="Wed">
      <formula>NOT(ISERROR(SEARCH("Wed",D20)))</formula>
    </cfRule>
    <cfRule type="containsText" dxfId="71" priority="74" operator="containsText" text="Tue">
      <formula>NOT(ISERROR(SEARCH("Tue",D20)))</formula>
    </cfRule>
    <cfRule type="containsText" dxfId="70" priority="75" operator="containsText" text="Mon">
      <formula>NOT(ISERROR(SEARCH("Mon",D20)))</formula>
    </cfRule>
  </conditionalFormatting>
  <conditionalFormatting sqref="D26">
    <cfRule type="containsText" dxfId="69" priority="66" operator="containsText" text="Fri">
      <formula>NOT(ISERROR(SEARCH("Fri",D26)))</formula>
    </cfRule>
    <cfRule type="containsText" dxfId="68" priority="67" operator="containsText" text="Thu">
      <formula>NOT(ISERROR(SEARCH("Thu",D26)))</formula>
    </cfRule>
    <cfRule type="containsText" dxfId="67" priority="68" operator="containsText" text="Wed">
      <formula>NOT(ISERROR(SEARCH("Wed",D26)))</formula>
    </cfRule>
    <cfRule type="containsText" dxfId="66" priority="69" operator="containsText" text="Tue">
      <formula>NOT(ISERROR(SEARCH("Tue",D26)))</formula>
    </cfRule>
    <cfRule type="containsText" dxfId="65" priority="70" operator="containsText" text="Mon">
      <formula>NOT(ISERROR(SEARCH("Mon",D26)))</formula>
    </cfRule>
  </conditionalFormatting>
  <conditionalFormatting sqref="D29:D32">
    <cfRule type="containsText" dxfId="64" priority="61" operator="containsText" text="Fri">
      <formula>NOT(ISERROR(SEARCH("Fri",D29)))</formula>
    </cfRule>
    <cfRule type="containsText" dxfId="63" priority="62" operator="containsText" text="Thu">
      <formula>NOT(ISERROR(SEARCH("Thu",D29)))</formula>
    </cfRule>
    <cfRule type="containsText" dxfId="62" priority="63" operator="containsText" text="Wed">
      <formula>NOT(ISERROR(SEARCH("Wed",D29)))</formula>
    </cfRule>
    <cfRule type="containsText" dxfId="61" priority="64" operator="containsText" text="Tue">
      <formula>NOT(ISERROR(SEARCH("Tue",D29)))</formula>
    </cfRule>
    <cfRule type="containsText" dxfId="60" priority="65" operator="containsText" text="Mon">
      <formula>NOT(ISERROR(SEARCH("Mon",D29)))</formula>
    </cfRule>
  </conditionalFormatting>
  <conditionalFormatting sqref="A20:B32">
    <cfRule type="cellIs" dxfId="59" priority="60" operator="equal">
      <formula>0</formula>
    </cfRule>
  </conditionalFormatting>
  <conditionalFormatting sqref="D33:D52">
    <cfRule type="containsText" dxfId="58" priority="55" operator="containsText" text="Fri">
      <formula>NOT(ISERROR(SEARCH("Fri",D33)))</formula>
    </cfRule>
    <cfRule type="containsText" dxfId="57" priority="56" operator="containsText" text="Thu">
      <formula>NOT(ISERROR(SEARCH("Thu",D33)))</formula>
    </cfRule>
    <cfRule type="containsText" dxfId="56" priority="57" operator="containsText" text="Wed">
      <formula>NOT(ISERROR(SEARCH("Wed",D33)))</formula>
    </cfRule>
    <cfRule type="containsText" dxfId="55" priority="58" operator="containsText" text="Tue">
      <formula>NOT(ISERROR(SEARCH("Tue",D33)))</formula>
    </cfRule>
    <cfRule type="containsText" dxfId="54" priority="59" operator="containsText" text="Mon">
      <formula>NOT(ISERROR(SEARCH("Mon",D33)))</formula>
    </cfRule>
  </conditionalFormatting>
  <conditionalFormatting sqref="E33:K92">
    <cfRule type="cellIs" dxfId="53" priority="54" operator="equal">
      <formula>0</formula>
    </cfRule>
  </conditionalFormatting>
  <conditionalFormatting sqref="A33:B43">
    <cfRule type="cellIs" dxfId="52" priority="53" operator="equal">
      <formula>0</formula>
    </cfRule>
  </conditionalFormatting>
  <conditionalFormatting sqref="D53:D54">
    <cfRule type="containsText" dxfId="51" priority="48" operator="containsText" text="Fri">
      <formula>NOT(ISERROR(SEARCH("Fri",D53)))</formula>
    </cfRule>
    <cfRule type="containsText" dxfId="50" priority="49" operator="containsText" text="Thu">
      <formula>NOT(ISERROR(SEARCH("Thu",D53)))</formula>
    </cfRule>
    <cfRule type="containsText" dxfId="49" priority="50" operator="containsText" text="Wed">
      <formula>NOT(ISERROR(SEARCH("Wed",D53)))</formula>
    </cfRule>
    <cfRule type="containsText" dxfId="48" priority="51" operator="containsText" text="Tue">
      <formula>NOT(ISERROR(SEARCH("Tue",D53)))</formula>
    </cfRule>
    <cfRule type="containsText" dxfId="47" priority="52" operator="containsText" text="Mon">
      <formula>NOT(ISERROR(SEARCH("Mon",D53)))</formula>
    </cfRule>
  </conditionalFormatting>
  <conditionalFormatting sqref="A44:B54">
    <cfRule type="cellIs" dxfId="46" priority="47" operator="equal">
      <formula>0</formula>
    </cfRule>
  </conditionalFormatting>
  <conditionalFormatting sqref="D55:D65">
    <cfRule type="containsText" dxfId="45" priority="42" operator="containsText" text="Fri">
      <formula>NOT(ISERROR(SEARCH("Fri",D55)))</formula>
    </cfRule>
    <cfRule type="containsText" dxfId="44" priority="43" operator="containsText" text="Thu">
      <formula>NOT(ISERROR(SEARCH("Thu",D55)))</formula>
    </cfRule>
    <cfRule type="containsText" dxfId="43" priority="44" operator="containsText" text="Wed">
      <formula>NOT(ISERROR(SEARCH("Wed",D55)))</formula>
    </cfRule>
    <cfRule type="containsText" dxfId="42" priority="45" operator="containsText" text="Tue">
      <formula>NOT(ISERROR(SEARCH("Tue",D55)))</formula>
    </cfRule>
    <cfRule type="containsText" dxfId="41" priority="46" operator="containsText" text="Mon">
      <formula>NOT(ISERROR(SEARCH("Mon",D55)))</formula>
    </cfRule>
  </conditionalFormatting>
  <conditionalFormatting sqref="A55:B65">
    <cfRule type="cellIs" dxfId="40" priority="41" operator="equal">
      <formula>0</formula>
    </cfRule>
  </conditionalFormatting>
  <conditionalFormatting sqref="D66:D71 D73:D74">
    <cfRule type="containsText" dxfId="39" priority="36" operator="containsText" text="Fri">
      <formula>NOT(ISERROR(SEARCH("Fri",D66)))</formula>
    </cfRule>
    <cfRule type="containsText" dxfId="38" priority="37" operator="containsText" text="Thu">
      <formula>NOT(ISERROR(SEARCH("Thu",D66)))</formula>
    </cfRule>
    <cfRule type="containsText" dxfId="37" priority="38" operator="containsText" text="Wed">
      <formula>NOT(ISERROR(SEARCH("Wed",D66)))</formula>
    </cfRule>
    <cfRule type="containsText" dxfId="36" priority="39" operator="containsText" text="Tue">
      <formula>NOT(ISERROR(SEARCH("Tue",D66)))</formula>
    </cfRule>
    <cfRule type="containsText" dxfId="35" priority="40" operator="containsText" text="Mon">
      <formula>NOT(ISERROR(SEARCH("Mon",D66)))</formula>
    </cfRule>
  </conditionalFormatting>
  <conditionalFormatting sqref="D72">
    <cfRule type="containsText" dxfId="34" priority="31" operator="containsText" text="Fri">
      <formula>NOT(ISERROR(SEARCH("Fri",D72)))</formula>
    </cfRule>
    <cfRule type="containsText" dxfId="33" priority="32" operator="containsText" text="Thu">
      <formula>NOT(ISERROR(SEARCH("Thu",D72)))</formula>
    </cfRule>
    <cfRule type="containsText" dxfId="32" priority="33" operator="containsText" text="Wed">
      <formula>NOT(ISERROR(SEARCH("Wed",D72)))</formula>
    </cfRule>
    <cfRule type="containsText" dxfId="31" priority="34" operator="containsText" text="Tue">
      <formula>NOT(ISERROR(SEARCH("Tue",D72)))</formula>
    </cfRule>
    <cfRule type="containsText" dxfId="30" priority="35" operator="containsText" text="Mon">
      <formula>NOT(ISERROR(SEARCH("Mon",D72)))</formula>
    </cfRule>
  </conditionalFormatting>
  <conditionalFormatting sqref="D75:D76">
    <cfRule type="containsText" dxfId="29" priority="26" operator="containsText" text="Fri">
      <formula>NOT(ISERROR(SEARCH("Fri",D75)))</formula>
    </cfRule>
    <cfRule type="containsText" dxfId="28" priority="27" operator="containsText" text="Thu">
      <formula>NOT(ISERROR(SEARCH("Thu",D75)))</formula>
    </cfRule>
    <cfRule type="containsText" dxfId="27" priority="28" operator="containsText" text="Wed">
      <formula>NOT(ISERROR(SEARCH("Wed",D75)))</formula>
    </cfRule>
    <cfRule type="containsText" dxfId="26" priority="29" operator="containsText" text="Tue">
      <formula>NOT(ISERROR(SEARCH("Tue",D75)))</formula>
    </cfRule>
    <cfRule type="containsText" dxfId="25" priority="30" operator="containsText" text="Mon">
      <formula>NOT(ISERROR(SEARCH("Mon",D75)))</formula>
    </cfRule>
  </conditionalFormatting>
  <conditionalFormatting sqref="A66:B76">
    <cfRule type="cellIs" dxfId="24" priority="25" operator="equal">
      <formula>0</formula>
    </cfRule>
  </conditionalFormatting>
  <conditionalFormatting sqref="D77:D89">
    <cfRule type="containsText" dxfId="23" priority="20" operator="containsText" text="Fri">
      <formula>NOT(ISERROR(SEARCH("Fri",D77)))</formula>
    </cfRule>
    <cfRule type="containsText" dxfId="22" priority="21" operator="containsText" text="Thu">
      <formula>NOT(ISERROR(SEARCH("Thu",D77)))</formula>
    </cfRule>
    <cfRule type="containsText" dxfId="21" priority="22" operator="containsText" text="Wed">
      <formula>NOT(ISERROR(SEARCH("Wed",D77)))</formula>
    </cfRule>
    <cfRule type="containsText" dxfId="20" priority="23" operator="containsText" text="Tue">
      <formula>NOT(ISERROR(SEARCH("Tue",D77)))</formula>
    </cfRule>
    <cfRule type="containsText" dxfId="19" priority="24" operator="containsText" text="Mon">
      <formula>NOT(ISERROR(SEARCH("Mon",D77)))</formula>
    </cfRule>
  </conditionalFormatting>
  <conditionalFormatting sqref="A77:B89">
    <cfRule type="cellIs" dxfId="18" priority="19" operator="equal">
      <formula>0</formula>
    </cfRule>
  </conditionalFormatting>
  <conditionalFormatting sqref="D90">
    <cfRule type="containsText" dxfId="17" priority="14" operator="containsText" text="Fri">
      <formula>NOT(ISERROR(SEARCH("Fri",D90)))</formula>
    </cfRule>
    <cfRule type="containsText" dxfId="16" priority="15" operator="containsText" text="Thu">
      <formula>NOT(ISERROR(SEARCH("Thu",D90)))</formula>
    </cfRule>
    <cfRule type="containsText" dxfId="15" priority="16" operator="containsText" text="Wed">
      <formula>NOT(ISERROR(SEARCH("Wed",D90)))</formula>
    </cfRule>
    <cfRule type="containsText" dxfId="14" priority="17" operator="containsText" text="Tue">
      <formula>NOT(ISERROR(SEARCH("Tue",D90)))</formula>
    </cfRule>
    <cfRule type="containsText" dxfId="13" priority="18" operator="containsText" text="Mon">
      <formula>NOT(ISERROR(SEARCH("Mon",D90)))</formula>
    </cfRule>
  </conditionalFormatting>
  <conditionalFormatting sqref="A90:B90">
    <cfRule type="cellIs" dxfId="12" priority="13" operator="equal">
      <formula>0</formula>
    </cfRule>
  </conditionalFormatting>
  <conditionalFormatting sqref="D91">
    <cfRule type="containsText" dxfId="11" priority="8" operator="containsText" text="Fri">
      <formula>NOT(ISERROR(SEARCH("Fri",D91)))</formula>
    </cfRule>
    <cfRule type="containsText" dxfId="10" priority="9" operator="containsText" text="Thu">
      <formula>NOT(ISERROR(SEARCH("Thu",D91)))</formula>
    </cfRule>
    <cfRule type="containsText" dxfId="9" priority="10" operator="containsText" text="Wed">
      <formula>NOT(ISERROR(SEARCH("Wed",D91)))</formula>
    </cfRule>
    <cfRule type="containsText" dxfId="8" priority="11" operator="containsText" text="Tue">
      <formula>NOT(ISERROR(SEARCH("Tue",D91)))</formula>
    </cfRule>
    <cfRule type="containsText" dxfId="7" priority="12" operator="containsText" text="Mon">
      <formula>NOT(ISERROR(SEARCH("Mon",D91)))</formula>
    </cfRule>
  </conditionalFormatting>
  <conditionalFormatting sqref="A91:B91">
    <cfRule type="cellIs" dxfId="6" priority="7" operator="equal">
      <formula>0</formula>
    </cfRule>
  </conditionalFormatting>
  <conditionalFormatting sqref="D92">
    <cfRule type="containsText" dxfId="5" priority="2" operator="containsText" text="Fri">
      <formula>NOT(ISERROR(SEARCH("Fri",D92)))</formula>
    </cfRule>
    <cfRule type="containsText" dxfId="4" priority="3" operator="containsText" text="Thu">
      <formula>NOT(ISERROR(SEARCH("Thu",D92)))</formula>
    </cfRule>
    <cfRule type="containsText" dxfId="3" priority="4" operator="containsText" text="Wed">
      <formula>NOT(ISERROR(SEARCH("Wed",D92)))</formula>
    </cfRule>
    <cfRule type="containsText" dxfId="2" priority="5" operator="containsText" text="Tue">
      <formula>NOT(ISERROR(SEARCH("Tue",D92)))</formula>
    </cfRule>
    <cfRule type="containsText" dxfId="1" priority="6" operator="containsText" text="Mon">
      <formula>NOT(ISERROR(SEARCH("Mon",D92)))</formula>
    </cfRule>
  </conditionalFormatting>
  <conditionalFormatting sqref="A92:B92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Nguyen Ngoc Truong Loc</vt:lpstr>
      <vt:lpstr>Le Thanh Vi</vt:lpstr>
      <vt:lpstr>Dinh Thi Ngoc Van</vt:lpstr>
      <vt:lpstr>Nguyen Thi Anh Thi</vt:lpstr>
      <vt:lpstr>Do Thi Hue</vt:lpstr>
      <vt:lpstr>Mai Thi Quynh Huong</vt:lpstr>
      <vt:lpstr>Macro</vt:lpstr>
      <vt:lpstr>Template</vt:lpstr>
      <vt:lpstr>2017OT</vt:lpstr>
      <vt:lpstr>Consolidation</vt:lpstr>
      <vt:lpstr>'Dinh Thi Ngoc Van'!Print_Area</vt:lpstr>
      <vt:lpstr>'Do Thi Hue'!Print_Area</vt:lpstr>
      <vt:lpstr>'Le Thanh Vi'!Print_Area</vt:lpstr>
      <vt:lpstr>'Mai Thi Quynh Huong'!Print_Area</vt:lpstr>
      <vt:lpstr>'Nguyen Ngoc Truong Loc'!Print_Area</vt:lpstr>
      <vt:lpstr>'Nguyen Thi Anh Thi'!Print_Area</vt:lpstr>
      <vt:lpstr>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Lui, Kok Kwang (FXGS SGP)</dc:creator>
  <cp:lastModifiedBy>FXML PrintRoom (FXV HCM)</cp:lastModifiedBy>
  <cp:lastPrinted>2019-07-11T02:37:40Z</cp:lastPrinted>
  <dcterms:created xsi:type="dcterms:W3CDTF">2016-11-03T03:53:13Z</dcterms:created>
  <dcterms:modified xsi:type="dcterms:W3CDTF">2019-07-11T02:38:02Z</dcterms:modified>
</cp:coreProperties>
</file>