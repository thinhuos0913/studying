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 defaultThemeVersion="124226"/>
  <bookViews>
    <workbookView xWindow="0" yWindow="0" windowWidth="19440" windowHeight="9435" tabRatio="879" activeTab="1"/>
  </bookViews>
  <sheets>
    <sheet name="Summary" sheetId="61" r:id="rId1"/>
    <sheet name="AllData" sheetId="62" r:id="rId2"/>
    <sheet name="Config" sheetId="64" r:id="rId3"/>
    <sheet name="Temp" sheetId="65" r:id="rId4"/>
  </sheets>
  <externalReferences>
    <externalReference r:id="rId5"/>
    <externalReference r:id="rId6"/>
  </externalReferences>
  <definedNames>
    <definedName name="_xlnm._FilterDatabase" localSheetId="1" hidden="1">AllData!$A$1:$M$1</definedName>
    <definedName name="DROPBOX">'[1]QA Report DPLX'!$Q$14:INDEX('[1]QA Report DPLX'!XFD1:XFD144,COUNTIF('[1]QA Report DPLX'!XFD1:XFD144,"?*"))</definedName>
    <definedName name="Staff_Name">[2]Overtime!$U$3:$U$12</definedName>
  </definedNames>
  <calcPr calcId="144525"/>
</workbook>
</file>

<file path=xl/calcChain.xml><?xml version="1.0" encoding="utf-8"?>
<calcChain xmlns="http://schemas.openxmlformats.org/spreadsheetml/2006/main">
  <c r="M1420" i="62" l="1"/>
  <c r="M1419" i="62"/>
  <c r="M1418" i="62"/>
  <c r="M1417" i="62"/>
  <c r="M1416" i="62"/>
  <c r="M1415" i="62"/>
  <c r="M1414" i="62"/>
  <c r="M1413" i="62"/>
  <c r="M1412" i="62"/>
  <c r="M1411" i="62"/>
  <c r="M1410" i="62"/>
  <c r="M1409" i="62"/>
  <c r="M1408" i="62"/>
  <c r="M1407" i="62"/>
  <c r="M1406" i="62"/>
  <c r="M1405" i="62"/>
  <c r="M1404" i="62"/>
  <c r="M1403" i="62"/>
  <c r="M1402" i="62"/>
  <c r="M1401" i="62"/>
  <c r="M1400" i="62"/>
  <c r="M1399" i="62"/>
  <c r="M1398" i="62"/>
  <c r="M1397" i="62"/>
  <c r="M1396" i="62"/>
  <c r="M1395" i="62"/>
  <c r="M1394" i="62"/>
  <c r="M1393" i="62"/>
  <c r="M1392" i="62"/>
  <c r="M1391" i="62"/>
  <c r="M1390" i="62"/>
  <c r="M1389" i="62"/>
  <c r="M1388" i="62"/>
  <c r="M1387" i="62"/>
  <c r="M1386" i="62"/>
  <c r="M1385" i="62"/>
  <c r="M1384" i="62"/>
  <c r="M1383" i="62"/>
  <c r="M1382" i="62"/>
  <c r="M1381" i="62"/>
  <c r="M1380" i="62"/>
  <c r="M1379" i="62"/>
  <c r="M1378" i="62"/>
  <c r="M1377" i="62"/>
  <c r="M1376" i="62"/>
  <c r="M1375" i="62"/>
  <c r="M1374" i="62"/>
  <c r="M1373" i="62"/>
  <c r="M76" i="65"/>
  <c r="M75" i="65"/>
  <c r="M74" i="65"/>
  <c r="M73" i="65"/>
  <c r="M72" i="65"/>
  <c r="M71" i="65"/>
  <c r="M70" i="65"/>
  <c r="M69" i="65"/>
  <c r="M68" i="65"/>
  <c r="M67" i="65"/>
  <c r="M66" i="65"/>
  <c r="M65" i="65"/>
  <c r="M64" i="65"/>
  <c r="M63" i="65"/>
  <c r="M62" i="65"/>
  <c r="M61" i="65"/>
  <c r="M60" i="65"/>
  <c r="M59" i="65"/>
  <c r="M58" i="65"/>
  <c r="M57" i="65"/>
  <c r="M56" i="65"/>
  <c r="M55" i="65"/>
  <c r="M54" i="65"/>
  <c r="M53" i="65"/>
  <c r="M52" i="65"/>
  <c r="M51" i="65"/>
  <c r="M50" i="65"/>
  <c r="M49" i="65"/>
  <c r="M48" i="65"/>
  <c r="M47" i="65"/>
  <c r="M46" i="65"/>
  <c r="M45" i="65"/>
  <c r="M44" i="65"/>
  <c r="M43" i="65"/>
  <c r="M42" i="65"/>
  <c r="M41" i="65"/>
  <c r="M40" i="65"/>
  <c r="M39" i="65"/>
  <c r="M38" i="65"/>
  <c r="M37" i="65"/>
  <c r="M36" i="65"/>
  <c r="M35" i="65"/>
  <c r="M34" i="65"/>
  <c r="M33" i="65"/>
  <c r="M32" i="65"/>
  <c r="M31" i="65"/>
  <c r="M30" i="65"/>
  <c r="M29" i="65"/>
  <c r="M28" i="65"/>
  <c r="M27" i="65"/>
  <c r="M26" i="65"/>
  <c r="M25" i="65"/>
  <c r="M24" i="65"/>
  <c r="M23" i="65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4" i="65"/>
  <c r="M3" i="65"/>
  <c r="M2" i="65"/>
  <c r="M1372" i="62" l="1"/>
  <c r="M1371" i="62"/>
  <c r="M1370" i="62"/>
  <c r="M1369" i="62"/>
  <c r="M1368" i="62"/>
  <c r="M1367" i="62"/>
  <c r="M1366" i="62"/>
  <c r="M1365" i="62"/>
  <c r="M1364" i="62"/>
  <c r="M1363" i="62"/>
  <c r="M1362" i="62"/>
  <c r="M1361" i="62"/>
  <c r="M1360" i="62"/>
  <c r="M1359" i="62"/>
  <c r="M1358" i="62"/>
  <c r="M1357" i="62"/>
  <c r="M1356" i="62"/>
  <c r="L472" i="62" l="1"/>
  <c r="M472" i="62"/>
  <c r="L473" i="62"/>
  <c r="M473" i="62"/>
  <c r="L474" i="62"/>
  <c r="M474" i="62"/>
  <c r="L475" i="62"/>
  <c r="M475" i="62"/>
  <c r="L476" i="62"/>
  <c r="M476" i="62"/>
  <c r="L477" i="62"/>
  <c r="M477" i="62"/>
  <c r="L478" i="62"/>
  <c r="M478" i="62"/>
  <c r="L479" i="62"/>
  <c r="M479" i="62"/>
  <c r="L480" i="62"/>
  <c r="M480" i="62"/>
  <c r="L481" i="62"/>
  <c r="M481" i="62"/>
  <c r="L482" i="62"/>
  <c r="M482" i="62"/>
  <c r="L483" i="62"/>
  <c r="M483" i="62"/>
  <c r="L484" i="62"/>
  <c r="M484" i="62"/>
  <c r="L485" i="62"/>
  <c r="M485" i="62"/>
  <c r="L486" i="62"/>
  <c r="M486" i="62"/>
  <c r="L487" i="62"/>
  <c r="M487" i="62"/>
  <c r="L488" i="62"/>
  <c r="M488" i="62"/>
  <c r="L489" i="62"/>
  <c r="M489" i="62"/>
  <c r="L490" i="62"/>
  <c r="M490" i="62"/>
  <c r="L491" i="62"/>
  <c r="M491" i="62"/>
  <c r="L492" i="62"/>
  <c r="M492" i="62"/>
  <c r="L493" i="62"/>
  <c r="M493" i="62"/>
  <c r="L494" i="62"/>
  <c r="M494" i="62"/>
  <c r="L495" i="62"/>
  <c r="M495" i="62"/>
  <c r="L496" i="62"/>
  <c r="M496" i="62"/>
  <c r="L497" i="62"/>
  <c r="M497" i="62"/>
  <c r="L498" i="62"/>
  <c r="M498" i="62"/>
  <c r="L499" i="62"/>
  <c r="M499" i="62"/>
  <c r="L500" i="62"/>
  <c r="M500" i="62"/>
  <c r="L501" i="62"/>
  <c r="M501" i="62"/>
  <c r="L502" i="62"/>
  <c r="M502" i="62"/>
  <c r="L503" i="62"/>
  <c r="M503" i="62"/>
  <c r="L504" i="62"/>
  <c r="M504" i="62"/>
  <c r="L505" i="62"/>
  <c r="M505" i="62"/>
  <c r="L506" i="62"/>
  <c r="M506" i="62"/>
  <c r="L507" i="62"/>
  <c r="M507" i="62"/>
  <c r="L508" i="62"/>
  <c r="M508" i="62"/>
  <c r="L509" i="62"/>
  <c r="M509" i="62"/>
  <c r="L510" i="62"/>
  <c r="M510" i="62"/>
  <c r="L511" i="62"/>
  <c r="M511" i="62"/>
  <c r="L512" i="62"/>
  <c r="M512" i="62"/>
  <c r="L513" i="62"/>
  <c r="M513" i="62"/>
  <c r="L514" i="62"/>
  <c r="M514" i="62"/>
  <c r="L515" i="62"/>
  <c r="M515" i="62"/>
  <c r="L516" i="62"/>
  <c r="M516" i="62"/>
  <c r="L517" i="62"/>
  <c r="M517" i="62"/>
  <c r="L518" i="62"/>
  <c r="M518" i="62"/>
  <c r="L519" i="62"/>
  <c r="M519" i="62"/>
  <c r="L520" i="62"/>
  <c r="M520" i="62"/>
  <c r="L521" i="62"/>
  <c r="M521" i="62"/>
  <c r="L522" i="62"/>
  <c r="M522" i="62"/>
  <c r="L523" i="62"/>
  <c r="M523" i="62"/>
  <c r="L524" i="62"/>
  <c r="M524" i="62"/>
  <c r="L525" i="62"/>
  <c r="M525" i="62"/>
  <c r="L526" i="62"/>
  <c r="M526" i="62"/>
  <c r="L527" i="62"/>
  <c r="M527" i="62"/>
  <c r="L528" i="62"/>
  <c r="M528" i="62"/>
  <c r="L529" i="62"/>
  <c r="M529" i="62"/>
  <c r="L530" i="62"/>
  <c r="M530" i="62"/>
  <c r="L531" i="62"/>
  <c r="M531" i="62"/>
  <c r="L532" i="62"/>
  <c r="M532" i="62"/>
  <c r="L533" i="62"/>
  <c r="M533" i="62"/>
  <c r="L534" i="62"/>
  <c r="M534" i="62"/>
  <c r="L535" i="62"/>
  <c r="M535" i="62"/>
  <c r="L536" i="62"/>
  <c r="M536" i="62"/>
  <c r="L537" i="62"/>
  <c r="M537" i="62"/>
  <c r="L538" i="62"/>
  <c r="M538" i="62"/>
  <c r="L539" i="62"/>
  <c r="M539" i="62"/>
  <c r="L540" i="62"/>
  <c r="M540" i="62"/>
  <c r="L541" i="62"/>
  <c r="M541" i="62"/>
  <c r="L542" i="62"/>
  <c r="M542" i="62"/>
  <c r="L543" i="62"/>
  <c r="M543" i="62"/>
  <c r="L544" i="62"/>
  <c r="M544" i="62"/>
  <c r="L545" i="62"/>
  <c r="M545" i="62"/>
  <c r="L546" i="62"/>
  <c r="M546" i="62"/>
  <c r="L547" i="62"/>
  <c r="M547" i="62"/>
  <c r="L548" i="62"/>
  <c r="M548" i="62"/>
  <c r="L549" i="62"/>
  <c r="M549" i="62"/>
  <c r="L550" i="62"/>
  <c r="M550" i="62"/>
  <c r="L551" i="62"/>
  <c r="M551" i="62"/>
  <c r="L3" i="62" l="1"/>
  <c r="M3" i="62"/>
  <c r="L4" i="62"/>
  <c r="M4" i="62"/>
  <c r="L5" i="62"/>
  <c r="M5" i="62"/>
  <c r="L6" i="62"/>
  <c r="M6" i="62"/>
  <c r="L7" i="62"/>
  <c r="M7" i="62"/>
  <c r="L8" i="62"/>
  <c r="M8" i="62"/>
  <c r="L9" i="62"/>
  <c r="M9" i="62"/>
  <c r="L10" i="62"/>
  <c r="M10" i="62"/>
  <c r="L11" i="62"/>
  <c r="M11" i="62"/>
  <c r="L12" i="62"/>
  <c r="M12" i="62"/>
  <c r="L13" i="62"/>
  <c r="M13" i="62"/>
  <c r="L14" i="62"/>
  <c r="M14" i="62"/>
  <c r="L15" i="62"/>
  <c r="M15" i="62"/>
  <c r="L16" i="62"/>
  <c r="M16" i="62"/>
  <c r="L17" i="62"/>
  <c r="M17" i="62"/>
  <c r="L18" i="62"/>
  <c r="M18" i="62"/>
  <c r="L19" i="62"/>
  <c r="M19" i="62"/>
  <c r="L20" i="62"/>
  <c r="M20" i="62"/>
  <c r="L21" i="62"/>
  <c r="M21" i="62"/>
  <c r="L22" i="62"/>
  <c r="M22" i="62"/>
  <c r="L23" i="62"/>
  <c r="M23" i="62"/>
  <c r="L24" i="62"/>
  <c r="M24" i="62"/>
  <c r="L25" i="62"/>
  <c r="M25" i="62"/>
  <c r="L26" i="62"/>
  <c r="M26" i="62"/>
  <c r="L27" i="62"/>
  <c r="M27" i="62"/>
  <c r="L28" i="62"/>
  <c r="M28" i="62"/>
  <c r="L29" i="62"/>
  <c r="M29" i="62"/>
  <c r="L30" i="62"/>
  <c r="M30" i="62"/>
  <c r="L31" i="62"/>
  <c r="M31" i="62"/>
  <c r="L32" i="62"/>
  <c r="M32" i="62"/>
  <c r="L33" i="62"/>
  <c r="M33" i="62"/>
  <c r="L34" i="62"/>
  <c r="M34" i="62"/>
  <c r="L35" i="62"/>
  <c r="M35" i="62"/>
  <c r="L36" i="62"/>
  <c r="M36" i="62"/>
  <c r="L37" i="62"/>
  <c r="M37" i="62"/>
  <c r="L38" i="62"/>
  <c r="M38" i="62"/>
  <c r="L39" i="62"/>
  <c r="M39" i="62"/>
  <c r="L40" i="62"/>
  <c r="M40" i="62"/>
  <c r="L41" i="62"/>
  <c r="M41" i="62"/>
  <c r="L42" i="62"/>
  <c r="M42" i="62"/>
  <c r="L43" i="62"/>
  <c r="M43" i="62"/>
  <c r="L44" i="62"/>
  <c r="M44" i="62"/>
  <c r="L45" i="62"/>
  <c r="M45" i="62"/>
  <c r="L46" i="62"/>
  <c r="M46" i="62"/>
  <c r="L47" i="62"/>
  <c r="M47" i="62"/>
  <c r="L48" i="62"/>
  <c r="M48" i="62"/>
  <c r="L49" i="62"/>
  <c r="M49" i="62"/>
  <c r="L50" i="62"/>
  <c r="M50" i="62"/>
  <c r="L51" i="62"/>
  <c r="M51" i="62"/>
  <c r="L52" i="62"/>
  <c r="M52" i="62"/>
  <c r="L53" i="62"/>
  <c r="M53" i="62"/>
  <c r="L54" i="62"/>
  <c r="M54" i="62"/>
  <c r="L55" i="62"/>
  <c r="M55" i="62"/>
  <c r="L56" i="62"/>
  <c r="M56" i="62"/>
  <c r="L57" i="62"/>
  <c r="M57" i="62"/>
  <c r="L58" i="62"/>
  <c r="M58" i="62"/>
  <c r="L59" i="62"/>
  <c r="M59" i="62"/>
  <c r="L60" i="62"/>
  <c r="M60" i="62"/>
  <c r="L61" i="62"/>
  <c r="M61" i="62"/>
  <c r="L62" i="62"/>
  <c r="M62" i="62"/>
  <c r="L63" i="62"/>
  <c r="M63" i="62"/>
  <c r="L64" i="62"/>
  <c r="M64" i="62"/>
  <c r="L65" i="62"/>
  <c r="M65" i="62"/>
  <c r="L66" i="62"/>
  <c r="M66" i="62"/>
  <c r="L67" i="62"/>
  <c r="M67" i="62"/>
  <c r="L68" i="62"/>
  <c r="M68" i="62"/>
  <c r="L69" i="62"/>
  <c r="M69" i="62"/>
  <c r="L70" i="62"/>
  <c r="M70" i="62"/>
  <c r="L71" i="62"/>
  <c r="M71" i="62"/>
  <c r="L72" i="62"/>
  <c r="M72" i="62"/>
  <c r="L73" i="62"/>
  <c r="M73" i="62"/>
  <c r="L74" i="62"/>
  <c r="M74" i="62"/>
  <c r="L75" i="62"/>
  <c r="M75" i="62"/>
  <c r="L76" i="62"/>
  <c r="M76" i="62"/>
  <c r="L77" i="62"/>
  <c r="M77" i="62"/>
  <c r="L78" i="62"/>
  <c r="M78" i="62"/>
  <c r="L79" i="62"/>
  <c r="M79" i="62"/>
  <c r="L80" i="62"/>
  <c r="M80" i="62"/>
  <c r="L81" i="62"/>
  <c r="M81" i="62"/>
  <c r="L82" i="62"/>
  <c r="M82" i="62"/>
  <c r="L83" i="62"/>
  <c r="M83" i="62"/>
  <c r="L84" i="62"/>
  <c r="M84" i="62"/>
  <c r="L85" i="62"/>
  <c r="M85" i="62"/>
  <c r="L86" i="62"/>
  <c r="M86" i="62"/>
  <c r="L87" i="62"/>
  <c r="M87" i="62"/>
  <c r="L88" i="62"/>
  <c r="M88" i="62"/>
  <c r="L89" i="62"/>
  <c r="M89" i="62"/>
  <c r="L90" i="62"/>
  <c r="M90" i="62"/>
  <c r="L91" i="62"/>
  <c r="M91" i="62"/>
  <c r="L92" i="62"/>
  <c r="M92" i="62"/>
  <c r="L93" i="62"/>
  <c r="M93" i="62"/>
  <c r="L94" i="62"/>
  <c r="M94" i="62"/>
  <c r="L95" i="62"/>
  <c r="M95" i="62"/>
  <c r="L96" i="62"/>
  <c r="M96" i="62"/>
  <c r="L97" i="62"/>
  <c r="M97" i="62"/>
  <c r="L98" i="62"/>
  <c r="M98" i="62"/>
  <c r="L99" i="62"/>
  <c r="M99" i="62"/>
  <c r="L100" i="62"/>
  <c r="M100" i="62"/>
  <c r="L101" i="62"/>
  <c r="M101" i="62"/>
  <c r="L102" i="62"/>
  <c r="M102" i="62"/>
  <c r="L103" i="62"/>
  <c r="M103" i="62"/>
  <c r="L104" i="62"/>
  <c r="M104" i="62"/>
  <c r="L105" i="62"/>
  <c r="M105" i="62"/>
  <c r="L106" i="62"/>
  <c r="M106" i="62"/>
  <c r="L107" i="62"/>
  <c r="M107" i="62"/>
  <c r="L108" i="62"/>
  <c r="M108" i="62"/>
  <c r="L109" i="62"/>
  <c r="M109" i="62"/>
  <c r="L110" i="62"/>
  <c r="M110" i="62"/>
  <c r="L111" i="62"/>
  <c r="M111" i="62"/>
  <c r="L112" i="62"/>
  <c r="M112" i="62"/>
  <c r="L113" i="62"/>
  <c r="M113" i="62"/>
  <c r="L114" i="62"/>
  <c r="M114" i="62"/>
  <c r="L115" i="62"/>
  <c r="M115" i="62"/>
  <c r="L116" i="62"/>
  <c r="M116" i="62"/>
  <c r="L117" i="62"/>
  <c r="M117" i="62"/>
  <c r="L118" i="62"/>
  <c r="M118" i="62"/>
  <c r="L119" i="62"/>
  <c r="M119" i="62"/>
  <c r="L120" i="62"/>
  <c r="M120" i="62"/>
  <c r="L121" i="62"/>
  <c r="M121" i="62"/>
  <c r="L122" i="62"/>
  <c r="M122" i="62"/>
  <c r="L123" i="62"/>
  <c r="M123" i="62"/>
  <c r="L124" i="62"/>
  <c r="M124" i="62"/>
  <c r="L125" i="62"/>
  <c r="M125" i="62"/>
  <c r="L126" i="62"/>
  <c r="M126" i="62"/>
  <c r="L127" i="62"/>
  <c r="M127" i="62"/>
  <c r="L128" i="62"/>
  <c r="M128" i="62"/>
  <c r="L129" i="62"/>
  <c r="M129" i="62"/>
  <c r="L130" i="62"/>
  <c r="M130" i="62"/>
  <c r="L131" i="62"/>
  <c r="M131" i="62"/>
  <c r="L132" i="62"/>
  <c r="M132" i="62"/>
  <c r="L133" i="62"/>
  <c r="M133" i="62"/>
  <c r="L134" i="62"/>
  <c r="M134" i="62"/>
  <c r="L135" i="62"/>
  <c r="M135" i="62"/>
  <c r="L136" i="62"/>
  <c r="M136" i="62"/>
  <c r="L137" i="62"/>
  <c r="M137" i="62"/>
  <c r="L138" i="62"/>
  <c r="M138" i="62"/>
  <c r="L139" i="62"/>
  <c r="M139" i="62"/>
  <c r="L140" i="62"/>
  <c r="M140" i="62"/>
  <c r="L141" i="62"/>
  <c r="M141" i="62"/>
  <c r="L142" i="62"/>
  <c r="M142" i="62"/>
  <c r="L143" i="62"/>
  <c r="M143" i="62"/>
  <c r="L144" i="62"/>
  <c r="M144" i="62"/>
  <c r="L145" i="62"/>
  <c r="M145" i="62"/>
  <c r="L146" i="62"/>
  <c r="M146" i="62"/>
  <c r="L147" i="62"/>
  <c r="M147" i="62"/>
  <c r="L148" i="62"/>
  <c r="M148" i="62"/>
  <c r="L149" i="62"/>
  <c r="M149" i="62"/>
  <c r="L150" i="62"/>
  <c r="M150" i="62"/>
  <c r="L151" i="62"/>
  <c r="M151" i="62"/>
  <c r="L152" i="62"/>
  <c r="M152" i="62"/>
  <c r="L153" i="62"/>
  <c r="M153" i="62"/>
  <c r="L154" i="62"/>
  <c r="M154" i="62"/>
  <c r="L155" i="62"/>
  <c r="M155" i="62"/>
  <c r="L156" i="62"/>
  <c r="M156" i="62"/>
  <c r="L157" i="62"/>
  <c r="M157" i="62"/>
  <c r="L158" i="62"/>
  <c r="M158" i="62"/>
  <c r="L159" i="62"/>
  <c r="M159" i="62"/>
  <c r="L160" i="62"/>
  <c r="M160" i="62"/>
  <c r="L161" i="62"/>
  <c r="M161" i="62"/>
  <c r="L162" i="62"/>
  <c r="M162" i="62"/>
  <c r="L163" i="62"/>
  <c r="M163" i="62"/>
  <c r="L164" i="62"/>
  <c r="M164" i="62"/>
  <c r="L165" i="62"/>
  <c r="M165" i="62"/>
  <c r="L166" i="62"/>
  <c r="M166" i="62"/>
  <c r="L167" i="62"/>
  <c r="M167" i="62"/>
  <c r="L168" i="62"/>
  <c r="M168" i="62"/>
  <c r="L169" i="62"/>
  <c r="M169" i="62"/>
  <c r="L170" i="62"/>
  <c r="M170" i="62"/>
  <c r="L171" i="62"/>
  <c r="M171" i="62"/>
  <c r="L172" i="62"/>
  <c r="M172" i="62"/>
  <c r="L173" i="62"/>
  <c r="M173" i="62"/>
  <c r="L174" i="62"/>
  <c r="M174" i="62"/>
  <c r="L175" i="62"/>
  <c r="M175" i="62"/>
  <c r="L176" i="62"/>
  <c r="M176" i="62"/>
  <c r="L177" i="62"/>
  <c r="M177" i="62"/>
  <c r="L178" i="62"/>
  <c r="M178" i="62"/>
  <c r="L179" i="62"/>
  <c r="M179" i="62"/>
  <c r="L180" i="62"/>
  <c r="M180" i="62"/>
  <c r="L181" i="62"/>
  <c r="M181" i="62"/>
  <c r="L182" i="62"/>
  <c r="M182" i="62"/>
  <c r="L183" i="62"/>
  <c r="M183" i="62"/>
  <c r="L184" i="62"/>
  <c r="M184" i="62"/>
  <c r="L185" i="62"/>
  <c r="M185" i="62"/>
  <c r="L186" i="62"/>
  <c r="M186" i="62"/>
  <c r="L187" i="62"/>
  <c r="M187" i="62"/>
  <c r="L188" i="62"/>
  <c r="M188" i="62"/>
  <c r="L189" i="62"/>
  <c r="M189" i="62"/>
  <c r="L190" i="62"/>
  <c r="M190" i="62"/>
  <c r="L191" i="62"/>
  <c r="M191" i="62"/>
  <c r="L192" i="62"/>
  <c r="M192" i="62"/>
  <c r="L193" i="62"/>
  <c r="M193" i="62"/>
  <c r="L194" i="62"/>
  <c r="M194" i="62"/>
  <c r="L195" i="62"/>
  <c r="M195" i="62"/>
  <c r="L196" i="62"/>
  <c r="M196" i="62"/>
  <c r="L197" i="62"/>
  <c r="M197" i="62"/>
  <c r="L198" i="62"/>
  <c r="M198" i="62"/>
  <c r="L199" i="62"/>
  <c r="M199" i="62"/>
  <c r="L200" i="62"/>
  <c r="M200" i="62"/>
  <c r="L201" i="62"/>
  <c r="M201" i="62"/>
  <c r="L202" i="62"/>
  <c r="M202" i="62"/>
  <c r="L203" i="62"/>
  <c r="M203" i="62"/>
  <c r="L204" i="62"/>
  <c r="M204" i="62"/>
  <c r="L205" i="62"/>
  <c r="M205" i="62"/>
  <c r="L206" i="62"/>
  <c r="M206" i="62"/>
  <c r="L207" i="62"/>
  <c r="M207" i="62"/>
  <c r="L208" i="62"/>
  <c r="M208" i="62"/>
  <c r="L209" i="62"/>
  <c r="M209" i="62"/>
  <c r="L210" i="62"/>
  <c r="M210" i="62"/>
  <c r="L211" i="62"/>
  <c r="M211" i="62"/>
  <c r="L212" i="62"/>
  <c r="M212" i="62"/>
  <c r="L213" i="62"/>
  <c r="M213" i="62"/>
  <c r="L214" i="62"/>
  <c r="M214" i="62"/>
  <c r="L215" i="62"/>
  <c r="M215" i="62"/>
  <c r="L216" i="62"/>
  <c r="M216" i="62"/>
  <c r="L217" i="62"/>
  <c r="M217" i="62"/>
  <c r="L218" i="62"/>
  <c r="M218" i="62"/>
  <c r="L219" i="62"/>
  <c r="M219" i="62"/>
  <c r="L220" i="62"/>
  <c r="M220" i="62"/>
  <c r="L221" i="62"/>
  <c r="M221" i="62"/>
  <c r="L222" i="62"/>
  <c r="M222" i="62"/>
  <c r="L223" i="62"/>
  <c r="M223" i="62"/>
  <c r="L224" i="62"/>
  <c r="M224" i="62"/>
  <c r="L225" i="62"/>
  <c r="M225" i="62"/>
  <c r="L226" i="62"/>
  <c r="M226" i="62"/>
  <c r="L227" i="62"/>
  <c r="M227" i="62"/>
  <c r="L228" i="62"/>
  <c r="M228" i="62"/>
  <c r="L229" i="62"/>
  <c r="M229" i="62"/>
  <c r="L230" i="62"/>
  <c r="M230" i="62"/>
  <c r="L231" i="62"/>
  <c r="M231" i="62"/>
  <c r="L232" i="62"/>
  <c r="M232" i="62"/>
  <c r="L233" i="62"/>
  <c r="M233" i="62"/>
  <c r="L234" i="62"/>
  <c r="M234" i="62"/>
  <c r="L235" i="62"/>
  <c r="M235" i="62"/>
  <c r="L236" i="62"/>
  <c r="M236" i="62"/>
  <c r="L237" i="62"/>
  <c r="M237" i="62"/>
  <c r="L238" i="62"/>
  <c r="M238" i="62"/>
  <c r="L239" i="62"/>
  <c r="M239" i="62"/>
  <c r="L240" i="62"/>
  <c r="M240" i="62"/>
  <c r="L241" i="62"/>
  <c r="M241" i="62"/>
  <c r="L242" i="62"/>
  <c r="M242" i="62"/>
  <c r="L243" i="62"/>
  <c r="M243" i="62"/>
  <c r="L244" i="62"/>
  <c r="M244" i="62"/>
  <c r="L245" i="62"/>
  <c r="M245" i="62"/>
  <c r="L246" i="62"/>
  <c r="M246" i="62"/>
  <c r="L247" i="62"/>
  <c r="M247" i="62"/>
  <c r="L248" i="62"/>
  <c r="M248" i="62"/>
  <c r="L249" i="62"/>
  <c r="M249" i="62"/>
  <c r="L250" i="62"/>
  <c r="M250" i="62"/>
  <c r="L251" i="62"/>
  <c r="M251" i="62"/>
  <c r="L252" i="62"/>
  <c r="M252" i="62"/>
  <c r="L253" i="62"/>
  <c r="M253" i="62"/>
  <c r="L254" i="62"/>
  <c r="M254" i="62"/>
  <c r="L255" i="62"/>
  <c r="M255" i="62"/>
  <c r="L256" i="62"/>
  <c r="M256" i="62"/>
  <c r="L257" i="62"/>
  <c r="M257" i="62"/>
  <c r="L258" i="62"/>
  <c r="M258" i="62"/>
  <c r="L259" i="62"/>
  <c r="M259" i="62"/>
  <c r="L260" i="62"/>
  <c r="M260" i="62"/>
  <c r="L261" i="62"/>
  <c r="M261" i="62"/>
  <c r="L262" i="62"/>
  <c r="M262" i="62"/>
  <c r="L263" i="62"/>
  <c r="M263" i="62"/>
  <c r="L264" i="62"/>
  <c r="M264" i="62"/>
  <c r="L265" i="62"/>
  <c r="M265" i="62"/>
  <c r="L266" i="62"/>
  <c r="M266" i="62"/>
  <c r="L267" i="62"/>
  <c r="M267" i="62"/>
  <c r="L268" i="62"/>
  <c r="M268" i="62"/>
  <c r="L269" i="62"/>
  <c r="M269" i="62"/>
  <c r="L270" i="62"/>
  <c r="M270" i="62"/>
  <c r="L271" i="62"/>
  <c r="M271" i="62"/>
  <c r="L272" i="62"/>
  <c r="M272" i="62"/>
  <c r="L273" i="62"/>
  <c r="M273" i="62"/>
  <c r="L274" i="62"/>
  <c r="M274" i="62"/>
  <c r="L275" i="62"/>
  <c r="M275" i="62"/>
  <c r="L276" i="62"/>
  <c r="M276" i="62"/>
  <c r="L277" i="62"/>
  <c r="M277" i="62"/>
  <c r="L278" i="62"/>
  <c r="M278" i="62"/>
  <c r="L279" i="62"/>
  <c r="M279" i="62"/>
  <c r="L280" i="62"/>
  <c r="M280" i="62"/>
  <c r="L281" i="62"/>
  <c r="M281" i="62"/>
  <c r="L282" i="62"/>
  <c r="M282" i="62"/>
  <c r="L283" i="62"/>
  <c r="M283" i="62"/>
  <c r="L284" i="62"/>
  <c r="M284" i="62"/>
  <c r="L285" i="62"/>
  <c r="M285" i="62"/>
  <c r="L286" i="62"/>
  <c r="M286" i="62"/>
  <c r="L287" i="62"/>
  <c r="M287" i="62"/>
  <c r="L288" i="62"/>
  <c r="M288" i="62"/>
  <c r="L289" i="62"/>
  <c r="M289" i="62"/>
  <c r="L290" i="62"/>
  <c r="M290" i="62"/>
  <c r="L291" i="62"/>
  <c r="M291" i="62"/>
  <c r="L292" i="62"/>
  <c r="M292" i="62"/>
  <c r="L293" i="62"/>
  <c r="M293" i="62"/>
  <c r="L294" i="62"/>
  <c r="M294" i="62"/>
  <c r="L295" i="62"/>
  <c r="M295" i="62"/>
  <c r="L296" i="62"/>
  <c r="M296" i="62"/>
  <c r="L297" i="62"/>
  <c r="M297" i="62"/>
  <c r="L298" i="62"/>
  <c r="M298" i="62"/>
  <c r="L299" i="62"/>
  <c r="M299" i="62"/>
  <c r="L300" i="62"/>
  <c r="M300" i="62"/>
  <c r="L301" i="62"/>
  <c r="M301" i="62"/>
  <c r="L302" i="62"/>
  <c r="M302" i="62"/>
  <c r="L303" i="62"/>
  <c r="M303" i="62"/>
  <c r="L304" i="62"/>
  <c r="M304" i="62"/>
  <c r="L305" i="62"/>
  <c r="M305" i="62"/>
  <c r="L306" i="62"/>
  <c r="M306" i="62"/>
  <c r="L307" i="62"/>
  <c r="M307" i="62"/>
  <c r="L308" i="62"/>
  <c r="M308" i="62"/>
  <c r="L309" i="62"/>
  <c r="M309" i="62"/>
  <c r="L310" i="62"/>
  <c r="M310" i="62"/>
  <c r="L311" i="62"/>
  <c r="M311" i="62"/>
  <c r="L312" i="62"/>
  <c r="M312" i="62"/>
  <c r="L313" i="62"/>
  <c r="M313" i="62"/>
  <c r="L314" i="62"/>
  <c r="M314" i="62"/>
  <c r="L315" i="62"/>
  <c r="M315" i="62"/>
  <c r="L316" i="62"/>
  <c r="M316" i="62"/>
  <c r="L317" i="62"/>
  <c r="M317" i="62"/>
  <c r="L318" i="62"/>
  <c r="M318" i="62"/>
  <c r="L319" i="62"/>
  <c r="M319" i="62"/>
  <c r="L320" i="62"/>
  <c r="M320" i="62"/>
  <c r="L321" i="62"/>
  <c r="M321" i="62"/>
  <c r="L322" i="62"/>
  <c r="M322" i="62"/>
  <c r="L323" i="62"/>
  <c r="M323" i="62"/>
  <c r="L324" i="62"/>
  <c r="M324" i="62"/>
  <c r="L325" i="62"/>
  <c r="M325" i="62"/>
  <c r="L326" i="62"/>
  <c r="M326" i="62"/>
  <c r="L327" i="62"/>
  <c r="M327" i="62"/>
  <c r="L328" i="62"/>
  <c r="M328" i="62"/>
  <c r="L329" i="62"/>
  <c r="M329" i="62"/>
  <c r="L330" i="62"/>
  <c r="M330" i="62"/>
  <c r="L331" i="62"/>
  <c r="M331" i="62"/>
  <c r="L332" i="62"/>
  <c r="M332" i="62"/>
  <c r="L333" i="62"/>
  <c r="M333" i="62"/>
  <c r="L334" i="62"/>
  <c r="M334" i="62"/>
  <c r="L335" i="62"/>
  <c r="M335" i="62"/>
  <c r="L336" i="62"/>
  <c r="M336" i="62"/>
  <c r="L337" i="62"/>
  <c r="M337" i="62"/>
  <c r="L338" i="62"/>
  <c r="M338" i="62"/>
  <c r="L339" i="62"/>
  <c r="M339" i="62"/>
  <c r="L340" i="62"/>
  <c r="M340" i="62"/>
  <c r="L341" i="62"/>
  <c r="M341" i="62"/>
  <c r="L342" i="62"/>
  <c r="M342" i="62"/>
  <c r="L343" i="62"/>
  <c r="M343" i="62"/>
  <c r="L344" i="62"/>
  <c r="M344" i="62"/>
  <c r="L345" i="62"/>
  <c r="M345" i="62"/>
  <c r="L346" i="62"/>
  <c r="M346" i="62"/>
  <c r="L347" i="62"/>
  <c r="M347" i="62"/>
  <c r="L348" i="62"/>
  <c r="M348" i="62"/>
  <c r="L349" i="62"/>
  <c r="M349" i="62"/>
  <c r="L350" i="62"/>
  <c r="M350" i="62"/>
  <c r="L351" i="62"/>
  <c r="M351" i="62"/>
  <c r="L352" i="62"/>
  <c r="M352" i="62"/>
  <c r="L353" i="62"/>
  <c r="M353" i="62"/>
  <c r="L354" i="62"/>
  <c r="M354" i="62"/>
  <c r="L355" i="62"/>
  <c r="M355" i="62"/>
  <c r="L356" i="62"/>
  <c r="M356" i="62"/>
  <c r="L357" i="62"/>
  <c r="M357" i="62"/>
  <c r="L358" i="62"/>
  <c r="M358" i="62"/>
  <c r="L359" i="62"/>
  <c r="M359" i="62"/>
  <c r="L360" i="62"/>
  <c r="M360" i="62"/>
  <c r="L361" i="62"/>
  <c r="M361" i="62"/>
  <c r="L362" i="62"/>
  <c r="M362" i="62"/>
  <c r="L363" i="62"/>
  <c r="M363" i="62"/>
  <c r="L364" i="62"/>
  <c r="M364" i="62"/>
  <c r="L365" i="62"/>
  <c r="M365" i="62"/>
  <c r="L366" i="62"/>
  <c r="M366" i="62"/>
  <c r="L367" i="62"/>
  <c r="M367" i="62"/>
  <c r="L368" i="62"/>
  <c r="M368" i="62"/>
  <c r="L369" i="62"/>
  <c r="M369" i="62"/>
  <c r="L370" i="62"/>
  <c r="M370" i="62"/>
  <c r="L371" i="62"/>
  <c r="M371" i="62"/>
  <c r="L372" i="62"/>
  <c r="M372" i="62"/>
  <c r="L373" i="62"/>
  <c r="M373" i="62"/>
  <c r="L374" i="62"/>
  <c r="M374" i="62"/>
  <c r="L375" i="62"/>
  <c r="M375" i="62"/>
  <c r="L376" i="62"/>
  <c r="M376" i="62"/>
  <c r="L377" i="62"/>
  <c r="M377" i="62"/>
  <c r="L378" i="62"/>
  <c r="M378" i="62"/>
  <c r="L379" i="62"/>
  <c r="M379" i="62"/>
  <c r="L380" i="62"/>
  <c r="M380" i="62"/>
  <c r="L381" i="62"/>
  <c r="M381" i="62"/>
  <c r="L382" i="62"/>
  <c r="M382" i="62"/>
  <c r="L383" i="62"/>
  <c r="M383" i="62"/>
  <c r="L384" i="62"/>
  <c r="M384" i="62"/>
  <c r="L385" i="62"/>
  <c r="M385" i="62"/>
  <c r="L386" i="62"/>
  <c r="M386" i="62"/>
  <c r="L387" i="62"/>
  <c r="M387" i="62"/>
  <c r="L388" i="62"/>
  <c r="M388" i="62"/>
  <c r="L389" i="62"/>
  <c r="M389" i="62"/>
  <c r="L390" i="62"/>
  <c r="M390" i="62"/>
  <c r="L391" i="62"/>
  <c r="M391" i="62"/>
  <c r="L392" i="62"/>
  <c r="M392" i="62"/>
  <c r="L393" i="62"/>
  <c r="M393" i="62"/>
  <c r="L394" i="62"/>
  <c r="M394" i="62"/>
  <c r="L395" i="62"/>
  <c r="M395" i="62"/>
  <c r="L396" i="62"/>
  <c r="M396" i="62"/>
  <c r="L397" i="62"/>
  <c r="M397" i="62"/>
  <c r="L398" i="62"/>
  <c r="M398" i="62"/>
  <c r="L399" i="62"/>
  <c r="M399" i="62"/>
  <c r="L400" i="62"/>
  <c r="M400" i="62"/>
  <c r="L401" i="62"/>
  <c r="M401" i="62"/>
  <c r="L402" i="62"/>
  <c r="M402" i="62"/>
  <c r="L403" i="62"/>
  <c r="M403" i="62"/>
  <c r="L404" i="62"/>
  <c r="M404" i="62"/>
  <c r="L405" i="62"/>
  <c r="M405" i="62"/>
  <c r="L406" i="62"/>
  <c r="M406" i="62"/>
  <c r="L407" i="62"/>
  <c r="M407" i="62"/>
  <c r="L408" i="62"/>
  <c r="M408" i="62"/>
  <c r="L409" i="62"/>
  <c r="M409" i="62"/>
  <c r="L410" i="62"/>
  <c r="M410" i="62"/>
  <c r="L411" i="62"/>
  <c r="M411" i="62"/>
  <c r="L412" i="62"/>
  <c r="M412" i="62"/>
  <c r="L413" i="62"/>
  <c r="M413" i="62"/>
  <c r="L414" i="62"/>
  <c r="M414" i="62"/>
  <c r="L415" i="62"/>
  <c r="M415" i="62"/>
  <c r="L416" i="62"/>
  <c r="M416" i="62"/>
  <c r="L417" i="62"/>
  <c r="M417" i="62"/>
  <c r="L418" i="62"/>
  <c r="M418" i="62"/>
  <c r="L419" i="62"/>
  <c r="M419" i="62"/>
  <c r="L420" i="62"/>
  <c r="M420" i="62"/>
  <c r="L421" i="62"/>
  <c r="M421" i="62"/>
  <c r="L422" i="62"/>
  <c r="M422" i="62"/>
  <c r="L423" i="62"/>
  <c r="M423" i="62"/>
  <c r="L424" i="62"/>
  <c r="M424" i="62"/>
  <c r="L425" i="62"/>
  <c r="M425" i="62"/>
  <c r="L426" i="62"/>
  <c r="M426" i="62"/>
  <c r="L427" i="62"/>
  <c r="M427" i="62"/>
  <c r="L428" i="62"/>
  <c r="M428" i="62"/>
  <c r="L429" i="62"/>
  <c r="M429" i="62"/>
  <c r="L430" i="62"/>
  <c r="M430" i="62"/>
  <c r="L431" i="62"/>
  <c r="M431" i="62"/>
  <c r="L432" i="62"/>
  <c r="M432" i="62"/>
  <c r="L433" i="62"/>
  <c r="M433" i="62"/>
  <c r="L434" i="62"/>
  <c r="M434" i="62"/>
  <c r="L435" i="62"/>
  <c r="M435" i="62"/>
  <c r="L436" i="62"/>
  <c r="M436" i="62"/>
  <c r="L437" i="62"/>
  <c r="M437" i="62"/>
  <c r="L438" i="62"/>
  <c r="M438" i="62"/>
  <c r="L439" i="62"/>
  <c r="M439" i="62"/>
  <c r="L440" i="62"/>
  <c r="M440" i="62"/>
  <c r="L441" i="62"/>
  <c r="M441" i="62"/>
  <c r="L442" i="62"/>
  <c r="M442" i="62"/>
  <c r="L443" i="62"/>
  <c r="M443" i="62"/>
  <c r="L444" i="62"/>
  <c r="M444" i="62"/>
  <c r="L445" i="62"/>
  <c r="M445" i="62"/>
  <c r="L446" i="62"/>
  <c r="M446" i="62"/>
  <c r="L447" i="62"/>
  <c r="M447" i="62"/>
  <c r="L448" i="62"/>
  <c r="M448" i="62"/>
  <c r="L449" i="62"/>
  <c r="M449" i="62"/>
  <c r="L450" i="62"/>
  <c r="M450" i="62"/>
  <c r="L451" i="62"/>
  <c r="M451" i="62"/>
  <c r="L452" i="62"/>
  <c r="M452" i="62"/>
  <c r="L453" i="62"/>
  <c r="M453" i="62"/>
  <c r="L454" i="62"/>
  <c r="M454" i="62"/>
  <c r="L455" i="62"/>
  <c r="M455" i="62"/>
  <c r="L456" i="62"/>
  <c r="M456" i="62"/>
  <c r="L457" i="62"/>
  <c r="M457" i="62"/>
  <c r="L458" i="62"/>
  <c r="M458" i="62"/>
  <c r="L459" i="62"/>
  <c r="M459" i="62"/>
  <c r="L460" i="62"/>
  <c r="M460" i="62"/>
  <c r="L461" i="62"/>
  <c r="M461" i="62"/>
  <c r="L462" i="62"/>
  <c r="M462" i="62"/>
  <c r="L463" i="62"/>
  <c r="M463" i="62"/>
  <c r="L464" i="62"/>
  <c r="M464" i="62"/>
  <c r="L465" i="62"/>
  <c r="M465" i="62"/>
  <c r="L466" i="62"/>
  <c r="M466" i="62"/>
  <c r="L467" i="62"/>
  <c r="M467" i="62"/>
  <c r="L468" i="62"/>
  <c r="M468" i="62"/>
  <c r="L469" i="62"/>
  <c r="M469" i="62"/>
  <c r="L470" i="62"/>
  <c r="M470" i="62"/>
  <c r="L471" i="62"/>
  <c r="M471" i="62"/>
  <c r="L552" i="62"/>
  <c r="M552" i="62"/>
  <c r="L553" i="62"/>
  <c r="M553" i="62"/>
  <c r="L554" i="62"/>
  <c r="M554" i="62"/>
  <c r="L555" i="62"/>
  <c r="M555" i="62"/>
  <c r="L556" i="62"/>
  <c r="M556" i="62"/>
  <c r="L557" i="62"/>
  <c r="M557" i="62"/>
  <c r="L558" i="62"/>
  <c r="M558" i="62"/>
  <c r="L559" i="62"/>
  <c r="M559" i="62"/>
  <c r="L560" i="62"/>
  <c r="M560" i="62"/>
  <c r="L561" i="62"/>
  <c r="M561" i="62"/>
  <c r="L562" i="62"/>
  <c r="M562" i="62"/>
  <c r="L563" i="62"/>
  <c r="M563" i="62"/>
  <c r="L564" i="62"/>
  <c r="M564" i="62"/>
  <c r="L565" i="62"/>
  <c r="M565" i="62"/>
  <c r="L566" i="62"/>
  <c r="M566" i="62"/>
  <c r="L567" i="62"/>
  <c r="M567" i="62"/>
  <c r="L568" i="62"/>
  <c r="M568" i="62"/>
  <c r="L569" i="62"/>
  <c r="M569" i="62"/>
  <c r="L570" i="62"/>
  <c r="M570" i="62"/>
  <c r="L571" i="62"/>
  <c r="M571" i="62"/>
  <c r="L572" i="62"/>
  <c r="M572" i="62"/>
  <c r="L573" i="62"/>
  <c r="M573" i="62"/>
  <c r="L574" i="62"/>
  <c r="M574" i="62"/>
  <c r="L575" i="62"/>
  <c r="M575" i="62"/>
  <c r="L576" i="62"/>
  <c r="M576" i="62"/>
  <c r="L577" i="62"/>
  <c r="M577" i="62"/>
  <c r="L578" i="62"/>
  <c r="M578" i="62"/>
  <c r="L579" i="62"/>
  <c r="M579" i="62"/>
  <c r="L580" i="62"/>
  <c r="M580" i="62"/>
  <c r="L581" i="62"/>
  <c r="M581" i="62"/>
  <c r="L582" i="62"/>
  <c r="M582" i="62"/>
  <c r="L583" i="62"/>
  <c r="M583" i="62"/>
  <c r="L584" i="62"/>
  <c r="M584" i="62"/>
  <c r="L585" i="62"/>
  <c r="M585" i="62"/>
  <c r="L586" i="62"/>
  <c r="M586" i="62"/>
  <c r="L587" i="62"/>
  <c r="M587" i="62"/>
  <c r="L588" i="62"/>
  <c r="M588" i="62"/>
  <c r="L589" i="62"/>
  <c r="M589" i="62"/>
  <c r="L590" i="62"/>
  <c r="M590" i="62"/>
  <c r="L591" i="62"/>
  <c r="M591" i="62"/>
  <c r="L592" i="62"/>
  <c r="M592" i="62"/>
  <c r="L593" i="62"/>
  <c r="M593" i="62"/>
  <c r="L594" i="62"/>
  <c r="M594" i="62"/>
  <c r="L595" i="62"/>
  <c r="M595" i="62"/>
  <c r="L596" i="62"/>
  <c r="M596" i="62"/>
  <c r="L597" i="62"/>
  <c r="M597" i="62"/>
  <c r="L598" i="62"/>
  <c r="M598" i="62"/>
  <c r="L599" i="62"/>
  <c r="M599" i="62"/>
  <c r="L600" i="62"/>
  <c r="M600" i="62"/>
  <c r="L601" i="62"/>
  <c r="M601" i="62"/>
  <c r="L602" i="62"/>
  <c r="M602" i="62"/>
  <c r="L603" i="62"/>
  <c r="M603" i="62"/>
  <c r="L604" i="62"/>
  <c r="M604" i="62"/>
  <c r="L605" i="62"/>
  <c r="M605" i="62"/>
  <c r="L606" i="62"/>
  <c r="M606" i="62"/>
  <c r="L607" i="62"/>
  <c r="M607" i="62"/>
  <c r="L608" i="62"/>
  <c r="M608" i="62"/>
  <c r="L609" i="62"/>
  <c r="M609" i="62"/>
  <c r="L610" i="62"/>
  <c r="M610" i="62"/>
  <c r="L611" i="62"/>
  <c r="M611" i="62"/>
  <c r="L612" i="62"/>
  <c r="M612" i="62"/>
  <c r="L613" i="62"/>
  <c r="M613" i="62"/>
  <c r="L614" i="62"/>
  <c r="M614" i="62"/>
  <c r="L615" i="62"/>
  <c r="M615" i="62"/>
  <c r="L616" i="62"/>
  <c r="M616" i="62"/>
  <c r="L617" i="62"/>
  <c r="M617" i="62"/>
  <c r="L618" i="62"/>
  <c r="M618" i="62"/>
  <c r="L619" i="62"/>
  <c r="M619" i="62"/>
  <c r="L620" i="62"/>
  <c r="M620" i="62"/>
  <c r="L621" i="62"/>
  <c r="M621" i="62"/>
  <c r="L622" i="62"/>
  <c r="M622" i="62"/>
  <c r="L623" i="62"/>
  <c r="M623" i="62"/>
  <c r="L624" i="62"/>
  <c r="M624" i="62"/>
  <c r="L625" i="62"/>
  <c r="M625" i="62"/>
  <c r="L626" i="62"/>
  <c r="M626" i="62"/>
  <c r="L627" i="62"/>
  <c r="M627" i="62"/>
  <c r="L628" i="62"/>
  <c r="M628" i="62"/>
  <c r="L629" i="62"/>
  <c r="M629" i="62"/>
  <c r="L630" i="62"/>
  <c r="M630" i="62"/>
  <c r="L631" i="62"/>
  <c r="M631" i="62"/>
  <c r="L632" i="62"/>
  <c r="M632" i="62"/>
  <c r="L633" i="62"/>
  <c r="M633" i="62"/>
  <c r="L634" i="62"/>
  <c r="M634" i="62"/>
  <c r="L635" i="62"/>
  <c r="M635" i="62"/>
  <c r="L636" i="62"/>
  <c r="M636" i="62"/>
  <c r="L637" i="62"/>
  <c r="M637" i="62"/>
  <c r="L638" i="62"/>
  <c r="M638" i="62"/>
  <c r="L639" i="62"/>
  <c r="M639" i="62"/>
  <c r="L640" i="62"/>
  <c r="M640" i="62"/>
  <c r="L641" i="62"/>
  <c r="M641" i="62"/>
  <c r="L642" i="62"/>
  <c r="M642" i="62"/>
  <c r="L643" i="62"/>
  <c r="M643" i="62"/>
  <c r="L644" i="62"/>
  <c r="M644" i="62"/>
  <c r="L645" i="62"/>
  <c r="M645" i="62"/>
  <c r="L646" i="62"/>
  <c r="M646" i="62"/>
  <c r="L647" i="62"/>
  <c r="M647" i="62"/>
  <c r="L648" i="62"/>
  <c r="M648" i="62"/>
  <c r="L649" i="62"/>
  <c r="M649" i="62"/>
  <c r="L650" i="62"/>
  <c r="M650" i="62"/>
  <c r="L651" i="62"/>
  <c r="M651" i="62"/>
  <c r="L652" i="62"/>
  <c r="M652" i="62"/>
  <c r="L653" i="62"/>
  <c r="M653" i="62"/>
  <c r="L654" i="62"/>
  <c r="M654" i="62"/>
  <c r="L655" i="62"/>
  <c r="M655" i="62"/>
  <c r="L656" i="62"/>
  <c r="M656" i="62"/>
  <c r="L657" i="62"/>
  <c r="M657" i="62"/>
  <c r="L658" i="62"/>
  <c r="M658" i="62"/>
  <c r="L659" i="62"/>
  <c r="M659" i="62"/>
  <c r="L660" i="62"/>
  <c r="M660" i="62"/>
  <c r="L661" i="62"/>
  <c r="M661" i="62"/>
  <c r="L662" i="62"/>
  <c r="M662" i="62"/>
  <c r="L663" i="62"/>
  <c r="M663" i="62"/>
  <c r="L664" i="62"/>
  <c r="M664" i="62"/>
  <c r="L665" i="62"/>
  <c r="M665" i="62"/>
  <c r="L666" i="62"/>
  <c r="M666" i="62"/>
  <c r="L667" i="62"/>
  <c r="M667" i="62"/>
  <c r="L668" i="62"/>
  <c r="M668" i="62"/>
  <c r="L669" i="62"/>
  <c r="M669" i="62"/>
  <c r="L670" i="62"/>
  <c r="M670" i="62"/>
  <c r="L671" i="62"/>
  <c r="M671" i="62"/>
  <c r="L672" i="62"/>
  <c r="M672" i="62"/>
  <c r="L673" i="62"/>
  <c r="M673" i="62"/>
  <c r="L674" i="62"/>
  <c r="M674" i="62"/>
  <c r="L675" i="62"/>
  <c r="M675" i="62"/>
  <c r="L676" i="62"/>
  <c r="M676" i="62"/>
  <c r="L677" i="62"/>
  <c r="M677" i="62"/>
  <c r="L678" i="62"/>
  <c r="M678" i="62"/>
  <c r="L679" i="62"/>
  <c r="M679" i="62"/>
  <c r="L680" i="62"/>
  <c r="M680" i="62"/>
  <c r="L681" i="62"/>
  <c r="M681" i="62"/>
  <c r="L682" i="62"/>
  <c r="M682" i="62"/>
  <c r="L683" i="62"/>
  <c r="M683" i="62"/>
  <c r="L684" i="62"/>
  <c r="M684" i="62"/>
  <c r="L685" i="62"/>
  <c r="M685" i="62"/>
  <c r="L686" i="62"/>
  <c r="M686" i="62"/>
  <c r="L687" i="62"/>
  <c r="M687" i="62"/>
  <c r="L688" i="62"/>
  <c r="M688" i="62"/>
  <c r="L689" i="62"/>
  <c r="M689" i="62"/>
  <c r="L690" i="62"/>
  <c r="M690" i="62"/>
  <c r="L691" i="62"/>
  <c r="M691" i="62"/>
  <c r="L692" i="62"/>
  <c r="M692" i="62"/>
  <c r="L693" i="62"/>
  <c r="M693" i="62"/>
  <c r="L694" i="62"/>
  <c r="M694" i="62"/>
  <c r="L695" i="62"/>
  <c r="M695" i="62"/>
  <c r="L696" i="62"/>
  <c r="M696" i="62"/>
  <c r="L697" i="62"/>
  <c r="M697" i="62"/>
  <c r="L698" i="62"/>
  <c r="M698" i="62"/>
  <c r="L699" i="62"/>
  <c r="M699" i="62"/>
  <c r="L700" i="62"/>
  <c r="M700" i="62"/>
  <c r="L701" i="62"/>
  <c r="M701" i="62"/>
  <c r="L702" i="62"/>
  <c r="M702" i="62"/>
  <c r="L703" i="62"/>
  <c r="M703" i="62"/>
  <c r="L704" i="62"/>
  <c r="M704" i="62"/>
  <c r="L705" i="62"/>
  <c r="M705" i="62"/>
  <c r="L706" i="62"/>
  <c r="M706" i="62"/>
  <c r="L707" i="62"/>
  <c r="M707" i="62"/>
  <c r="L708" i="62"/>
  <c r="M708" i="62"/>
  <c r="L709" i="62"/>
  <c r="M709" i="62"/>
  <c r="L710" i="62"/>
  <c r="M710" i="62"/>
  <c r="L711" i="62"/>
  <c r="M711" i="62"/>
  <c r="L712" i="62"/>
  <c r="M712" i="62"/>
  <c r="L713" i="62"/>
  <c r="M713" i="62"/>
  <c r="L714" i="62"/>
  <c r="M714" i="62"/>
  <c r="L715" i="62"/>
  <c r="M715" i="62"/>
  <c r="L716" i="62"/>
  <c r="M716" i="62"/>
  <c r="L717" i="62"/>
  <c r="M717" i="62"/>
  <c r="L718" i="62"/>
  <c r="M718" i="62"/>
  <c r="L719" i="62"/>
  <c r="M719" i="62"/>
  <c r="L720" i="62"/>
  <c r="M720" i="62"/>
  <c r="L721" i="62"/>
  <c r="M721" i="62"/>
  <c r="L722" i="62"/>
  <c r="M722" i="62"/>
  <c r="L723" i="62"/>
  <c r="M723" i="62"/>
  <c r="L724" i="62"/>
  <c r="M724" i="62"/>
  <c r="L725" i="62"/>
  <c r="M725" i="62"/>
  <c r="L726" i="62"/>
  <c r="M726" i="62"/>
  <c r="L727" i="62"/>
  <c r="M727" i="62"/>
  <c r="L728" i="62"/>
  <c r="M728" i="62"/>
  <c r="L729" i="62"/>
  <c r="M729" i="62"/>
  <c r="L730" i="62"/>
  <c r="M730" i="62"/>
  <c r="L731" i="62"/>
  <c r="M731" i="62"/>
  <c r="L732" i="62"/>
  <c r="M732" i="62"/>
  <c r="L733" i="62"/>
  <c r="M733" i="62"/>
  <c r="L734" i="62"/>
  <c r="M734" i="62"/>
  <c r="L735" i="62"/>
  <c r="M735" i="62"/>
  <c r="L736" i="62"/>
  <c r="M736" i="62"/>
  <c r="L737" i="62"/>
  <c r="M737" i="62"/>
  <c r="L738" i="62"/>
  <c r="M738" i="62"/>
  <c r="L739" i="62"/>
  <c r="M739" i="62"/>
  <c r="L740" i="62"/>
  <c r="M740" i="62"/>
  <c r="L741" i="62"/>
  <c r="M741" i="62"/>
  <c r="L742" i="62"/>
  <c r="M742" i="62"/>
  <c r="L743" i="62"/>
  <c r="M743" i="62"/>
  <c r="L744" i="62"/>
  <c r="M744" i="62"/>
  <c r="L745" i="62"/>
  <c r="M745" i="62"/>
  <c r="L746" i="62"/>
  <c r="M746" i="62"/>
  <c r="L747" i="62"/>
  <c r="M747" i="62"/>
  <c r="L748" i="62"/>
  <c r="M748" i="62"/>
  <c r="L749" i="62"/>
  <c r="M749" i="62"/>
  <c r="L750" i="62"/>
  <c r="M750" i="62"/>
  <c r="L751" i="62"/>
  <c r="M751" i="62"/>
  <c r="L752" i="62"/>
  <c r="M752" i="62"/>
  <c r="L753" i="62"/>
  <c r="M753" i="62"/>
  <c r="L754" i="62"/>
  <c r="M754" i="62"/>
  <c r="L755" i="62"/>
  <c r="M755" i="62"/>
  <c r="L756" i="62"/>
  <c r="M756" i="62"/>
  <c r="L757" i="62"/>
  <c r="M757" i="62"/>
  <c r="L758" i="62"/>
  <c r="M758" i="62"/>
  <c r="L759" i="62"/>
  <c r="M759" i="62"/>
  <c r="L760" i="62"/>
  <c r="M760" i="62"/>
  <c r="L761" i="62"/>
  <c r="M761" i="62"/>
  <c r="L762" i="62"/>
  <c r="M762" i="62"/>
  <c r="L763" i="62"/>
  <c r="M763" i="62"/>
  <c r="L764" i="62"/>
  <c r="M764" i="62"/>
  <c r="L765" i="62"/>
  <c r="M765" i="62"/>
  <c r="L766" i="62"/>
  <c r="M766" i="62"/>
  <c r="L2" i="62" l="1"/>
  <c r="M2" i="62"/>
  <c r="AP17" i="61" l="1"/>
  <c r="AL17" i="61"/>
  <c r="AH17" i="61"/>
  <c r="AD17" i="61"/>
  <c r="Z17" i="61"/>
  <c r="V17" i="61"/>
  <c r="R17" i="61"/>
  <c r="AO9" i="61"/>
  <c r="AK9" i="61"/>
  <c r="AG9" i="61"/>
  <c r="AC9" i="61"/>
  <c r="Y9" i="61"/>
  <c r="U9" i="61"/>
  <c r="Q9" i="61"/>
  <c r="M9" i="61"/>
  <c r="I9" i="61"/>
  <c r="AO17" i="61"/>
  <c r="AK17" i="61"/>
  <c r="AG17" i="61"/>
  <c r="AC17" i="61"/>
  <c r="Y17" i="61"/>
  <c r="U17" i="61"/>
  <c r="Q17" i="61"/>
  <c r="AN9" i="61"/>
  <c r="AJ9" i="61"/>
  <c r="AF9" i="61"/>
  <c r="AB9" i="61"/>
  <c r="X9" i="61"/>
  <c r="T9" i="61"/>
  <c r="P9" i="61"/>
  <c r="L9" i="61"/>
  <c r="H9" i="61"/>
  <c r="AN17" i="61"/>
  <c r="AJ17" i="61"/>
  <c r="AF17" i="61"/>
  <c r="AB17" i="61"/>
  <c r="X17" i="61"/>
  <c r="T17" i="61"/>
  <c r="P17" i="61"/>
  <c r="AM9" i="61"/>
  <c r="AI9" i="61"/>
  <c r="AE9" i="61"/>
  <c r="AA9" i="61"/>
  <c r="W9" i="61"/>
  <c r="S9" i="61"/>
  <c r="O9" i="61"/>
  <c r="K9" i="61"/>
  <c r="G9" i="61"/>
  <c r="AM17" i="61"/>
  <c r="AI17" i="61"/>
  <c r="AE17" i="61"/>
  <c r="AA17" i="61"/>
  <c r="W17" i="61"/>
  <c r="S17" i="61"/>
  <c r="AP9" i="61"/>
  <c r="AL9" i="61"/>
  <c r="AH9" i="61"/>
  <c r="AD9" i="61"/>
  <c r="Z9" i="61"/>
  <c r="V9" i="61"/>
  <c r="R9" i="61"/>
  <c r="N9" i="61"/>
  <c r="J9" i="61"/>
  <c r="F9" i="61"/>
  <c r="AN16" i="61"/>
  <c r="AJ16" i="61"/>
  <c r="AF16" i="61"/>
  <c r="AB16" i="61"/>
  <c r="X16" i="61"/>
  <c r="T16" i="61"/>
  <c r="P16" i="61"/>
  <c r="AM15" i="61"/>
  <c r="AI15" i="61"/>
  <c r="AE15" i="61"/>
  <c r="AA15" i="61"/>
  <c r="W15" i="61"/>
  <c r="S15" i="61"/>
  <c r="AM16" i="61"/>
  <c r="AI16" i="61"/>
  <c r="AE16" i="61"/>
  <c r="AA16" i="61"/>
  <c r="W16" i="61"/>
  <c r="S16" i="61"/>
  <c r="AP15" i="61"/>
  <c r="AL15" i="61"/>
  <c r="AH15" i="61"/>
  <c r="AD15" i="61"/>
  <c r="Z15" i="61"/>
  <c r="V15" i="61"/>
  <c r="R15" i="61"/>
  <c r="AP16" i="61"/>
  <c r="AL16" i="61"/>
  <c r="AH16" i="61"/>
  <c r="AD16" i="61"/>
  <c r="Z16" i="61"/>
  <c r="V16" i="61"/>
  <c r="R16" i="61"/>
  <c r="AO15" i="61"/>
  <c r="AK15" i="61"/>
  <c r="AG15" i="61"/>
  <c r="AC15" i="61"/>
  <c r="Y15" i="61"/>
  <c r="U15" i="61"/>
  <c r="Q15" i="61"/>
  <c r="AO16" i="61"/>
  <c r="AK16" i="61"/>
  <c r="AG16" i="61"/>
  <c r="AC16" i="61"/>
  <c r="Y16" i="61"/>
  <c r="U16" i="61"/>
  <c r="Q16" i="61"/>
  <c r="AN15" i="61"/>
  <c r="AJ15" i="61"/>
  <c r="AF15" i="61"/>
  <c r="AB15" i="61"/>
  <c r="X15" i="61"/>
  <c r="T15" i="61"/>
  <c r="P15" i="61"/>
  <c r="AN20" i="61"/>
  <c r="AJ20" i="61"/>
  <c r="AF20" i="61"/>
  <c r="AB20" i="61"/>
  <c r="X20" i="61"/>
  <c r="T20" i="61"/>
  <c r="P20" i="61"/>
  <c r="AM19" i="61"/>
  <c r="AI19" i="61"/>
  <c r="AE19" i="61"/>
  <c r="AA19" i="61"/>
  <c r="W19" i="61"/>
  <c r="S19" i="61"/>
  <c r="AP23" i="61"/>
  <c r="AL23" i="61"/>
  <c r="AH23" i="61"/>
  <c r="AD23" i="61"/>
  <c r="Z23" i="61"/>
  <c r="V23" i="61"/>
  <c r="R23" i="61"/>
  <c r="N23" i="61"/>
  <c r="J23" i="61"/>
  <c r="F23" i="61"/>
  <c r="AM14" i="61"/>
  <c r="AI14" i="61"/>
  <c r="AE14" i="61"/>
  <c r="AA14" i="61"/>
  <c r="W14" i="61"/>
  <c r="S14" i="61"/>
  <c r="AM20" i="61"/>
  <c r="AI20" i="61"/>
  <c r="AE20" i="61"/>
  <c r="AA20" i="61"/>
  <c r="W20" i="61"/>
  <c r="S20" i="61"/>
  <c r="AP19" i="61"/>
  <c r="AL19" i="61"/>
  <c r="AH19" i="61"/>
  <c r="AD19" i="61"/>
  <c r="Z19" i="61"/>
  <c r="V19" i="61"/>
  <c r="R19" i="61"/>
  <c r="AO23" i="61"/>
  <c r="AK23" i="61"/>
  <c r="AG23" i="61"/>
  <c r="AC23" i="61"/>
  <c r="Y23" i="61"/>
  <c r="U23" i="61"/>
  <c r="Q23" i="61"/>
  <c r="M23" i="61"/>
  <c r="I23" i="61"/>
  <c r="AP14" i="61"/>
  <c r="AL14" i="61"/>
  <c r="AH14" i="61"/>
  <c r="AD14" i="61"/>
  <c r="Z14" i="61"/>
  <c r="V14" i="61"/>
  <c r="R14" i="61"/>
  <c r="AP20" i="61"/>
  <c r="AL20" i="61"/>
  <c r="AH20" i="61"/>
  <c r="AD20" i="61"/>
  <c r="Z20" i="61"/>
  <c r="V20" i="61"/>
  <c r="R20" i="61"/>
  <c r="AO19" i="61"/>
  <c r="AK19" i="61"/>
  <c r="AG19" i="61"/>
  <c r="AC19" i="61"/>
  <c r="Y19" i="61"/>
  <c r="U19" i="61"/>
  <c r="Q19" i="61"/>
  <c r="AN23" i="61"/>
  <c r="AJ23" i="61"/>
  <c r="AF23" i="61"/>
  <c r="AB23" i="61"/>
  <c r="X23" i="61"/>
  <c r="T23" i="61"/>
  <c r="P23" i="61"/>
  <c r="L23" i="61"/>
  <c r="H23" i="61"/>
  <c r="AO14" i="61"/>
  <c r="AK14" i="61"/>
  <c r="AO20" i="61"/>
  <c r="Y20" i="61"/>
  <c r="AJ19" i="61"/>
  <c r="T19" i="61"/>
  <c r="AE23" i="61"/>
  <c r="O23" i="61"/>
  <c r="AJ14" i="61"/>
  <c r="AB14" i="61"/>
  <c r="T14" i="61"/>
  <c r="AK20" i="61"/>
  <c r="U20" i="61"/>
  <c r="AF19" i="61"/>
  <c r="P19" i="61"/>
  <c r="AA23" i="61"/>
  <c r="K23" i="61"/>
  <c r="AG14" i="61"/>
  <c r="Y14" i="61"/>
  <c r="Q14" i="61"/>
  <c r="AG20" i="61"/>
  <c r="Q20" i="61"/>
  <c r="AB19" i="61"/>
  <c r="AM23" i="61"/>
  <c r="W23" i="61"/>
  <c r="G23" i="61"/>
  <c r="AF14" i="61"/>
  <c r="X14" i="61"/>
  <c r="P14" i="61"/>
  <c r="AC20" i="61"/>
  <c r="AN19" i="61"/>
  <c r="X19" i="61"/>
  <c r="AI23" i="61"/>
  <c r="S23" i="61"/>
  <c r="AN14" i="61"/>
  <c r="AC14" i="61"/>
  <c r="U14" i="61"/>
  <c r="AP24" i="61"/>
  <c r="AP13" i="61"/>
  <c r="AP8" i="61"/>
  <c r="AO18" i="61"/>
  <c r="AO10" i="61"/>
  <c r="AN21" i="61"/>
  <c r="AN11" i="61"/>
  <c r="AM22" i="61"/>
  <c r="AM12" i="61"/>
  <c r="AL24" i="61"/>
  <c r="AL13" i="61"/>
  <c r="AL8" i="61"/>
  <c r="AK18" i="61"/>
  <c r="AK10" i="61"/>
  <c r="AJ21" i="61"/>
  <c r="AJ11" i="61"/>
  <c r="AI22" i="61"/>
  <c r="AI12" i="61"/>
  <c r="AH24" i="61"/>
  <c r="AH13" i="61"/>
  <c r="AH8" i="61"/>
  <c r="AG18" i="61"/>
  <c r="AG10" i="61"/>
  <c r="AP22" i="61"/>
  <c r="AP12" i="61"/>
  <c r="AO24" i="61"/>
  <c r="AO13" i="61"/>
  <c r="AO8" i="61"/>
  <c r="AN18" i="61"/>
  <c r="AN10" i="61"/>
  <c r="AM21" i="61"/>
  <c r="AM11" i="61"/>
  <c r="AL22" i="61"/>
  <c r="AL12" i="61"/>
  <c r="AK24" i="61"/>
  <c r="AK13" i="61"/>
  <c r="AK8" i="61"/>
  <c r="AJ18" i="61"/>
  <c r="AJ10" i="61"/>
  <c r="AI21" i="61"/>
  <c r="AI11" i="61"/>
  <c r="AH22" i="61"/>
  <c r="AH12" i="61"/>
  <c r="AG24" i="61"/>
  <c r="AG13" i="61"/>
  <c r="AG8" i="61"/>
  <c r="AP21" i="61"/>
  <c r="AP11" i="61"/>
  <c r="AO22" i="61"/>
  <c r="AO12" i="61"/>
  <c r="AN24" i="61"/>
  <c r="AN13" i="61"/>
  <c r="AN8" i="61"/>
  <c r="AM18" i="61"/>
  <c r="AM10" i="61"/>
  <c r="AL21" i="61"/>
  <c r="AL11" i="61"/>
  <c r="AK22" i="61"/>
  <c r="AK12" i="61"/>
  <c r="AJ24" i="61"/>
  <c r="AJ13" i="61"/>
  <c r="AJ8" i="61"/>
  <c r="AI18" i="61"/>
  <c r="AI10" i="61"/>
  <c r="AH21" i="61"/>
  <c r="AH11" i="61"/>
  <c r="AG22" i="61"/>
  <c r="AG12" i="61"/>
  <c r="AP18" i="61"/>
  <c r="AP10" i="61"/>
  <c r="AO21" i="61"/>
  <c r="AO11" i="61"/>
  <c r="AN22" i="61"/>
  <c r="AN12" i="61"/>
  <c r="AM24" i="61"/>
  <c r="AM13" i="61"/>
  <c r="AM8" i="61"/>
  <c r="AL18" i="61"/>
  <c r="AL10" i="61"/>
  <c r="AK21" i="61"/>
  <c r="AK11" i="61"/>
  <c r="AJ22" i="61"/>
  <c r="AJ12" i="61"/>
  <c r="AI24" i="61"/>
  <c r="AI13" i="61"/>
  <c r="AI8" i="61"/>
  <c r="AH18" i="61"/>
  <c r="AH10" i="61"/>
  <c r="AG21" i="61"/>
  <c r="AG11" i="61"/>
  <c r="P8" i="61"/>
  <c r="AC24" i="61"/>
  <c r="Y24" i="61"/>
  <c r="U24" i="61"/>
  <c r="Q24" i="61"/>
  <c r="AE22" i="61"/>
  <c r="AA22" i="61"/>
  <c r="W22" i="61"/>
  <c r="S22" i="61"/>
  <c r="AF21" i="61"/>
  <c r="AB21" i="61"/>
  <c r="X21" i="61"/>
  <c r="T21" i="61"/>
  <c r="P21" i="61"/>
  <c r="AC18" i="61"/>
  <c r="Y18" i="61"/>
  <c r="U18" i="61"/>
  <c r="Q18" i="61"/>
  <c r="AD13" i="61"/>
  <c r="Z13" i="61"/>
  <c r="V13" i="61"/>
  <c r="R13" i="61"/>
  <c r="AF11" i="61"/>
  <c r="AE12" i="61"/>
  <c r="AE8" i="61"/>
  <c r="AD10" i="61"/>
  <c r="AB11" i="61"/>
  <c r="AF18" i="61"/>
  <c r="AB18" i="61"/>
  <c r="X18" i="61"/>
  <c r="T18" i="61"/>
  <c r="P18" i="61"/>
  <c r="AC13" i="61"/>
  <c r="Y13" i="61"/>
  <c r="U13" i="61"/>
  <c r="Q13" i="61"/>
  <c r="AE11" i="61"/>
  <c r="AD8" i="61"/>
  <c r="AC10" i="61"/>
  <c r="AE24" i="61"/>
  <c r="W24" i="61"/>
  <c r="U22" i="61"/>
  <c r="Q22" i="61"/>
  <c r="AD21" i="61"/>
  <c r="Z21" i="61"/>
  <c r="V21" i="61"/>
  <c r="R21" i="61"/>
  <c r="AE18" i="61"/>
  <c r="AA18" i="61"/>
  <c r="W18" i="61"/>
  <c r="S18" i="61"/>
  <c r="AF13" i="61"/>
  <c r="X13" i="61"/>
  <c r="T13" i="61"/>
  <c r="AF10" i="61"/>
  <c r="AD11" i="61"/>
  <c r="AC8" i="61"/>
  <c r="Z24" i="61"/>
  <c r="R24" i="61"/>
  <c r="AF22" i="61"/>
  <c r="X22" i="61"/>
  <c r="T22" i="61"/>
  <c r="P22" i="61"/>
  <c r="AC21" i="61"/>
  <c r="Y21" i="61"/>
  <c r="U21" i="61"/>
  <c r="Q21" i="61"/>
  <c r="AF24" i="61"/>
  <c r="AB24" i="61"/>
  <c r="X24" i="61"/>
  <c r="T24" i="61"/>
  <c r="P24" i="61"/>
  <c r="AD22" i="61"/>
  <c r="Z22" i="61"/>
  <c r="V22" i="61"/>
  <c r="R22" i="61"/>
  <c r="AE21" i="61"/>
  <c r="AA21" i="61"/>
  <c r="W21" i="61"/>
  <c r="S21" i="61"/>
  <c r="AD12" i="61"/>
  <c r="AA24" i="61"/>
  <c r="S24" i="61"/>
  <c r="AC22" i="61"/>
  <c r="Y22" i="61"/>
  <c r="AB13" i="61"/>
  <c r="P13" i="61"/>
  <c r="AC12" i="61"/>
  <c r="AB10" i="61"/>
  <c r="AD24" i="61"/>
  <c r="V24" i="61"/>
  <c r="AB22" i="61"/>
  <c r="AD18" i="61"/>
  <c r="R18" i="61"/>
  <c r="S13" i="61"/>
  <c r="AE13" i="61"/>
  <c r="AF12" i="61"/>
  <c r="AC11" i="61"/>
  <c r="Z18" i="61"/>
  <c r="AA13" i="61"/>
  <c r="AF8" i="61"/>
  <c r="AB12" i="61"/>
  <c r="V18" i="61"/>
  <c r="W13" i="61"/>
  <c r="AE10" i="61"/>
  <c r="AB8" i="61"/>
  <c r="AA10" i="61"/>
  <c r="AA8" i="61"/>
  <c r="Z12" i="61"/>
  <c r="Y10" i="61"/>
  <c r="Z11" i="61"/>
  <c r="Y12" i="61"/>
  <c r="Y8" i="61"/>
  <c r="Y11" i="61"/>
  <c r="AA12" i="61"/>
  <c r="Z10" i="61"/>
  <c r="AA11" i="61"/>
  <c r="Z8" i="61"/>
  <c r="V12" i="61"/>
  <c r="V11" i="61"/>
  <c r="V10" i="61"/>
  <c r="V8" i="61"/>
  <c r="O24" i="61"/>
  <c r="K24" i="61"/>
  <c r="G24" i="61"/>
  <c r="T12" i="61"/>
  <c r="P12" i="61"/>
  <c r="L12" i="61"/>
  <c r="H12" i="61"/>
  <c r="S11" i="61"/>
  <c r="O11" i="61"/>
  <c r="K11" i="61"/>
  <c r="G11" i="61"/>
  <c r="T8" i="61"/>
  <c r="K8" i="61"/>
  <c r="U12" i="61"/>
  <c r="U8" i="61"/>
  <c r="J24" i="61"/>
  <c r="S12" i="61"/>
  <c r="K12" i="61"/>
  <c r="R11" i="61"/>
  <c r="J11" i="61"/>
  <c r="P10" i="61"/>
  <c r="H10" i="61"/>
  <c r="X12" i="61"/>
  <c r="X11" i="61"/>
  <c r="X10" i="61"/>
  <c r="X8" i="61"/>
  <c r="M24" i="61"/>
  <c r="I24" i="61"/>
  <c r="R12" i="61"/>
  <c r="N12" i="61"/>
  <c r="J12" i="61"/>
  <c r="F12" i="61"/>
  <c r="Q11" i="61"/>
  <c r="M11" i="61"/>
  <c r="I11" i="61"/>
  <c r="S10" i="61"/>
  <c r="O10" i="61"/>
  <c r="K10" i="61"/>
  <c r="G10" i="61"/>
  <c r="R8" i="61"/>
  <c r="M8" i="61"/>
  <c r="I8" i="61"/>
  <c r="W12" i="61"/>
  <c r="W11" i="61"/>
  <c r="W10" i="61"/>
  <c r="W8" i="61"/>
  <c r="L24" i="61"/>
  <c r="H24" i="61"/>
  <c r="Q12" i="61"/>
  <c r="M12" i="61"/>
  <c r="I12" i="61"/>
  <c r="T11" i="61"/>
  <c r="P11" i="61"/>
  <c r="L11" i="61"/>
  <c r="H11" i="61"/>
  <c r="R10" i="61"/>
  <c r="N10" i="61"/>
  <c r="J10" i="61"/>
  <c r="F10" i="61"/>
  <c r="Q8" i="61"/>
  <c r="L8" i="61"/>
  <c r="H8" i="61"/>
  <c r="Q10" i="61"/>
  <c r="M10" i="61"/>
  <c r="I10" i="61"/>
  <c r="O8" i="61"/>
  <c r="G8" i="61"/>
  <c r="U11" i="61"/>
  <c r="U10" i="61"/>
  <c r="N24" i="61"/>
  <c r="F24" i="61"/>
  <c r="O12" i="61"/>
  <c r="G12" i="61"/>
  <c r="N11" i="61"/>
  <c r="F11" i="61"/>
  <c r="T10" i="61"/>
  <c r="L10" i="61"/>
  <c r="S8" i="61"/>
  <c r="N8" i="61"/>
  <c r="J8" i="61"/>
  <c r="F8" i="61"/>
  <c r="AI25" i="61" l="1"/>
  <c r="E15" i="61"/>
  <c r="AO25" i="61"/>
  <c r="AL25" i="61"/>
  <c r="E14" i="61"/>
  <c r="E9" i="61"/>
  <c r="AP25" i="61"/>
  <c r="E16" i="61"/>
  <c r="E17" i="61"/>
  <c r="AJ25" i="61"/>
  <c r="AG25" i="61"/>
  <c r="E19" i="61"/>
  <c r="AM25" i="61"/>
  <c r="AN25" i="61"/>
  <c r="AK25" i="61"/>
  <c r="AH25" i="61"/>
  <c r="E23" i="61"/>
  <c r="E20" i="61"/>
  <c r="E24" i="61"/>
  <c r="E13" i="61"/>
  <c r="E8" i="61"/>
  <c r="E10" i="61"/>
  <c r="E21" i="61"/>
  <c r="E22" i="61"/>
  <c r="E18" i="61"/>
  <c r="E11" i="61"/>
  <c r="E12" i="61"/>
  <c r="J25" i="61"/>
  <c r="Y25" i="61"/>
  <c r="I25" i="61"/>
  <c r="K25" i="61"/>
  <c r="AE25" i="61"/>
  <c r="Q25" i="61"/>
  <c r="W25" i="61"/>
  <c r="Z25" i="61"/>
  <c r="AA25" i="61"/>
  <c r="AF25" i="61"/>
  <c r="AC25" i="61"/>
  <c r="AD25" i="61"/>
  <c r="N25" i="61"/>
  <c r="O25" i="61"/>
  <c r="H25" i="61"/>
  <c r="M25" i="61"/>
  <c r="S25" i="61"/>
  <c r="L25" i="61"/>
  <c r="R25" i="61"/>
  <c r="X25" i="61"/>
  <c r="U25" i="61"/>
  <c r="T25" i="61"/>
  <c r="V25" i="61"/>
  <c r="AB25" i="61"/>
  <c r="P25" i="61"/>
  <c r="E25" i="61" l="1"/>
</calcChain>
</file>

<file path=xl/sharedStrings.xml><?xml version="1.0" encoding="utf-8"?>
<sst xmlns="http://schemas.openxmlformats.org/spreadsheetml/2006/main" count="8367" uniqueCount="445">
  <si>
    <t>Perm staff onsite</t>
  </si>
  <si>
    <t>Employment Type</t>
  </si>
  <si>
    <t>Employee Name</t>
  </si>
  <si>
    <t>OT date</t>
  </si>
  <si>
    <t>OT Day</t>
  </si>
  <si>
    <t>Time From</t>
  </si>
  <si>
    <t>Time To</t>
  </si>
  <si>
    <t>Rate Type</t>
  </si>
  <si>
    <t>Purpose</t>
  </si>
  <si>
    <t>Normal Working Days before 10pm</t>
  </si>
  <si>
    <t>Nguyen Thanh My</t>
  </si>
  <si>
    <t>Truong Van Thai</t>
  </si>
  <si>
    <t>Dang Minh Phuc</t>
  </si>
  <si>
    <t>Ma Hong Phuc</t>
  </si>
  <si>
    <t>Truong Thi Minh Trang</t>
  </si>
  <si>
    <t>Meal Allowance</t>
  </si>
  <si>
    <t>Tue</t>
  </si>
  <si>
    <t>Fri</t>
  </si>
  <si>
    <t>Thu</t>
  </si>
  <si>
    <t>Wed</t>
  </si>
  <si>
    <t>1063 Policies</t>
  </si>
  <si>
    <t>Mon</t>
  </si>
  <si>
    <t>933 Policies</t>
  </si>
  <si>
    <t>Sun</t>
  </si>
  <si>
    <t>Sat</t>
  </si>
  <si>
    <t>Nr</t>
  </si>
  <si>
    <t>745 Policies</t>
  </si>
  <si>
    <t>2752 Policies</t>
  </si>
  <si>
    <t>917 Policies</t>
  </si>
  <si>
    <t>927 Policies</t>
  </si>
  <si>
    <t>1633 Policies</t>
  </si>
  <si>
    <t>1378 Policies</t>
  </si>
  <si>
    <t>1593 Policies</t>
  </si>
  <si>
    <t>Normal Working Days after 10pm</t>
  </si>
  <si>
    <t>Le Thanh Vi</t>
  </si>
  <si>
    <t>Total: 1380 Policies (Batch 20170228_0119: 1380 Policies)</t>
  </si>
  <si>
    <t>Total: 1272 Policies (Batch 20170301_1147: 129 Policies, Batch 20170301_1508: 66 Policies, Batch 20170301_0115: 1077 Policies)</t>
  </si>
  <si>
    <t>Total: 1004 Policies (Batch 20170302_1205: 284 Policies, Batch 20170302_1455: 22 Policies, Batch 20170302_2117: 267 Policies, Batch 20170303_1202: 240 Policies, Batch 20170303_1517: 91 Policies)</t>
  </si>
  <si>
    <t>Total: 961 Policies (Batch 20170315_1538: 87 Policies, Batch 20170315_2207: 421 Policies, Batch 20170316_2207: 199 Policies, Batch 20170316_2207: 254 Policies)</t>
  </si>
  <si>
    <t>Total: 964 Policies (Batch 20170320_1154: 109 Policies, Batch 20170320_1504: 90 Policies, Batch 20170320_2111: 451 Policies, Batch 20170321_1207: 314 Policies)</t>
  </si>
  <si>
    <t>Total: 1004 Policies (Batch 20170325_1504: 261 Policies, Batch 20170325_2128: 294 Policies, Batch 20170327_1202: 374 Policies, Batch 20170327_1513: 76 Policies)</t>
  </si>
  <si>
    <t>Total: 1472 Policies (Batch 20170329_1536: 377 Policies, Batch 20170329_2242: 467 Policies, Batch 20170330_1210: 628 Policies)</t>
  </si>
  <si>
    <t>Total: 1224 Policies (Batch 20170329_2251: 750 Policies, Batch 20170329_1205: 494 Policies)</t>
  </si>
  <si>
    <t>Total: 1078 Policies (Batch 20170330_1514: 310 Policies, Batch 20170330_0000: 768 Policies)</t>
  </si>
  <si>
    <t>Total: 1031 Policies (Batch 20170321_1514: 220 Policies, Batch 20170321_2112: 467 Policies, Batch 20170322_1152: 204 Policies, Batch 20170322_1518: 140 Policies)</t>
  </si>
  <si>
    <t>Total: 713 Policies (Batch 20170328_2318: 259 Policies, Batch 20170328_1158: 320 Policies, Batch 20170328_1506: 134 Policies)</t>
  </si>
  <si>
    <t>Saturday/Sunday (Weekends) before 10pm</t>
  </si>
  <si>
    <t>Total: 1374 Policies (Batch 20170331_1152: 812 Policies, Batch 20170331_1509: 562 Policies)</t>
  </si>
  <si>
    <t>Total: 1467 Policies (Batch 20170331_1002: 1467 Policies, Batch 20170403_1901: 171 Policies)</t>
  </si>
  <si>
    <t>Total: 1467 Policies (Batch 20170331_1002: 1468 Policies, Batch 20170403_1901: 171 Policies)</t>
  </si>
  <si>
    <t>Total: 1362 Policies (Batch 20170403_1901: 171 Policies, Batch 20170403_1202: 261 Policies, Batch 20170403_1516: 78 Policies, Batch 20170403_2253: 653 Policies, Batch 20170404_1211: 112 Policies,  Batch 20170404_1515: 87 Policies)</t>
  </si>
  <si>
    <t>Total: 903 Policies (Batch 20170410_1501: 124 Policies, Batch 20170410_0202: 366 Policies, Batch 20170411_1203: 165 Policies, Batch 20170411_1501: 248 Policies)</t>
  </si>
  <si>
    <t>Total: 999 Policies (Batch 20170418_1454: 169 Policies, Batch 20170418_2248: 457 Policies, Batch 20170419_1126: 228 Policies, Batch 20170419_1519: 145 Policies)</t>
  </si>
  <si>
    <t>Total: 952 Policies (Batch 20170421_1537: 199 Policies, Batch 20170421_2118: 413 Policies, Batch 20170424_1201: 272 Policies, Batch 20170424_1502: 68 Policies)</t>
  </si>
  <si>
    <t>Total: 952 Policies (Batch 20170421_1537: 199 Policies, Batch 20170421_2118: 413 Policies, Batch 20170424_1201: 272 Policies)</t>
  </si>
  <si>
    <t>Total: 723 Policies (Batch 20170424_2301: 447 Policies, Batch 20170425_1208: 276 Policies)</t>
  </si>
  <si>
    <t>Total: 1312 Policies (Batch 20170424_2301: 447 Policies, Batch 20170426_1214: 416 Policies, Batch 20170426_1457: 172 Policies)</t>
  </si>
  <si>
    <t>Total: 1099 Policies (Batch 20170426_2303: 91 Policies, Batch 20170427_0921: 833 Policies, Batch 20170427_1330: 175 Policies)</t>
  </si>
  <si>
    <t>Total: 1327 Policies (Batch 20170427_0044: 1025 Policies, Batch 20170428_1206: 267 Policies, Batch 20170428_1513: 35 Policies)</t>
  </si>
  <si>
    <t>Total: 1631 Policies (Batch 20170428_0044: 1071 Policies, Batch 20170429_1200: 560 Policies)</t>
  </si>
  <si>
    <t>Public Holiday before 10pm</t>
  </si>
  <si>
    <t>Total: 1938 Policies (Batch 20170429_1817: 676 Policies, Batch 20170429_2234: 1262 Policies)</t>
  </si>
  <si>
    <t>Total: 1925 Policies (Batch 20170430_1100: 308 Policies, Batch 20170430_1755: 593 Policies,  Batch 20170430_2152: 1024 Policies)</t>
  </si>
  <si>
    <t>Total: 1065 Policies (Batch 20170516_1510: 165 Policies, Batch 20170516_0053: 215 Policies, Batch 20170517_1136: 544 Policies, Batch 20170517_1455: 141 Policies)</t>
  </si>
  <si>
    <t>Total: 1141 Policies (Batch 20170524_1516: 99 Policies, Batch 20170524_2200: 652 Policies, Batch 20170525_1153: 88 Policies, Batch 20170525_1508: 198 Policies)</t>
  </si>
  <si>
    <t>Total: 1571 Policies (Batch 20170529_2253: 1003 Policies, Batch 20170530_1207: 348 Policies)</t>
  </si>
  <si>
    <t>Total: 1301 Policies (Batch 20170530_0052: 1301 Policies)</t>
  </si>
  <si>
    <t>Total: 1277 Policies (Batch 20170531_1241: 631 Policies, Batch 20170531_1953: 646 Policies)</t>
  </si>
  <si>
    <t>Nguyen Nhu Y Vi</t>
  </si>
  <si>
    <t>Nguyen Minh Tuan</t>
  </si>
  <si>
    <t>Total: 2218 Policies (Batch 20170531_0304: 1303 Policies, Batch 20170531_0916: 915 Policies,)</t>
  </si>
  <si>
    <t>Total: 785 Policies (Backlog of Batch 20170531_0916: 665/915 Policies, Batch 20170602_1206: 356 Policies, Batch 20170602_2047: 429 Policies)</t>
  </si>
  <si>
    <t>Total: 1004 Policies (Batch 20170615_2328: 795 Policies, Batch 20170616_1300: 45 Policies, Batch 20170616_1459: 164 Policies)</t>
  </si>
  <si>
    <t>Total: 1115 Policies (Batch 20170626_1808: 237 Policies, Batch 20170626_2246: 438 Policies, Batch 20170627_1201: 225 Policies, Batch 20170627_216: 216 Policies)</t>
  </si>
  <si>
    <t>Total: 1219 Policies (Batch 20170627_2214: 871 Policies, Batch 20170628_1158: 258 Policies, Batch 20170628_1158: 91 Policies)</t>
  </si>
  <si>
    <t>Total: 1296 Policies (Batch 20170628_2257: 903 Policies, Batch 20170629_1158: 305 Policies, Batch 20170629_1519: 88 Policies)</t>
  </si>
  <si>
    <t>Total: 1318 Policies (Batch 20170629_0001: 1318 Policies)</t>
  </si>
  <si>
    <t>Cao Xuan Khoa</t>
  </si>
  <si>
    <t>Total: 723 Policies (Batch 20170630_1203: 376 Policies, Batch 20170630_1603: 347 Policies)</t>
  </si>
  <si>
    <t>Total: 723 Policies (Batch 20170630_1203: 376 Policies, Batch 20170630_1603: 347 Policies, Batch 20170630_2303: 1369 Policies)</t>
  </si>
  <si>
    <t>Total: 959 Policies (Batch 20170630_1250: 487 Policies, Batch 20170630_1637: 473 Policies)</t>
  </si>
  <si>
    <t>Total: 1522 Policies (Batch 20170630_0023: 1522 Policies)</t>
  </si>
  <si>
    <t>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</t>
  </si>
  <si>
    <t>Total: 865 Policies (Batch 20170714_1537: 209 Policies, Batch 20170714_2241: 269 Policies, Batch 20170717_1202: 239 Policies,  Batch 20170717_1518: 148 Policies)</t>
  </si>
  <si>
    <t>Total: 1365 Policies (Batch 20170724_1519: 138 Policies; Batch 20170724_0029: 547 Policies, Batch 20170725_1156: 554 Policies, Batch 20170725_1501: 126 Policies)</t>
  </si>
  <si>
    <t>Total: 1015 Policies (Batch 20170725_2200: 687 Policies, Batch 20170726_1106: 133 Policies,  Batch 20170726_1417: 195 Policies)</t>
  </si>
  <si>
    <t>Total: 1264 Policies (Batch 20170726_1417: 195 Policies, Batch 20170727_1108: 144 Policies, Batch 20170727_1424: 410 Policies)</t>
  </si>
  <si>
    <t>Total: 1486 Policies (Batch 20170727_0324: 611 Policies, Batch 20170728_1140: 546 Policies, Batch 20170728_1415: 242 Policies)</t>
  </si>
  <si>
    <t>Total: 1469 Policies (Batch 20170730_1117: 168 Policies, Batch 20170730_1458: 329 Policies, Batch 20170730_2235: 842 Policies, Batch 20170731_1105: 130 Policies)</t>
  </si>
  <si>
    <t>Month</t>
  </si>
  <si>
    <t>Nov_2016</t>
  </si>
  <si>
    <t>Nov_2017</t>
  </si>
  <si>
    <t>Dec_2016</t>
  </si>
  <si>
    <t>Jan_2017</t>
  </si>
  <si>
    <t>Feb_2017</t>
  </si>
  <si>
    <t>Mar_2017</t>
  </si>
  <si>
    <t>Apr_2017</t>
  </si>
  <si>
    <t>May_2017</t>
  </si>
  <si>
    <t>Jun_2017</t>
  </si>
  <si>
    <t>Jul_2017</t>
  </si>
  <si>
    <t>Aug_2017</t>
  </si>
  <si>
    <t>Sep_2017</t>
  </si>
  <si>
    <t>Oct_2017</t>
  </si>
  <si>
    <t>Dec_2017</t>
  </si>
  <si>
    <t>Total</t>
  </si>
  <si>
    <t>Total: 898 Policies (Batch 20170731_1429: 178 Policies, Batch 20170731_2216: 720 Policies)</t>
  </si>
  <si>
    <t>Total: 1658 Policies (Batch 20170731_1100: 1656 Policies)</t>
  </si>
  <si>
    <t>Total: 790 Policies (Batch 20170801_0512: 77 Policies, Batch 20170802_1128: 91 Policies, Batch 20170802_1431: 74 Policies, Batch 20170802_2158: 505 Policies, Batch 20170803_1127: 43 Policies)</t>
  </si>
  <si>
    <t>Total: 947 Policies (Batch 20170815_2222: 782 Policies, Batch 20170816_1135: 86 Policies, Batch 20170816_1435: 79 Policies)</t>
  </si>
  <si>
    <t>Total: 1601 Policies (Batch 20170821_1431: 280 Policies; 20170821_2254: 871 Policies, 20170821_1118: 450 Policies)</t>
  </si>
  <si>
    <t>Total: 1199 Policies (Batch 20170822_1431: 186 Policies, Batch 20170822_2304: 1013 Policies)</t>
  </si>
  <si>
    <t>Total: 1065 Policies (Batch 20170823_1121: 193 Policies, Batch 20170823_1452: 188 Policies, Batch 20170823_2218: 179 Policies, Batch 20170824_1151: 439 Policies, Batch 20170824_1515: 66 Policies)</t>
  </si>
  <si>
    <t>Regular Work Hours</t>
  </si>
  <si>
    <t>Total OT Hours FXV</t>
  </si>
  <si>
    <t>MLV-Billable Total OT Hours</t>
  </si>
  <si>
    <t>765 Policies</t>
  </si>
  <si>
    <t>540 Policies</t>
  </si>
  <si>
    <t>Part timer onsite</t>
  </si>
  <si>
    <t>Tran Thai Thuan</t>
  </si>
  <si>
    <t>942 Policies</t>
  </si>
  <si>
    <t>53 Policies and Backlog 255 Policies of Batch 665</t>
  </si>
  <si>
    <t>476 Policies</t>
  </si>
  <si>
    <t>320 Policies</t>
  </si>
  <si>
    <t>475 Policies</t>
  </si>
  <si>
    <t>479 Policies</t>
  </si>
  <si>
    <t>689 Policies</t>
  </si>
  <si>
    <t>391 Policies</t>
  </si>
  <si>
    <t>659 Policies</t>
  </si>
  <si>
    <t>Nguyen Trung Tin</t>
  </si>
  <si>
    <t>Huynh Thi Linh Trang</t>
  </si>
  <si>
    <t>Bui Thi Hoai Thuong</t>
  </si>
  <si>
    <t>Total: 1619 Policies (Batch 20170125_0102: 1357 Policies, Batch 20170202_2151: 19 Policies, Batch 20170203_1149: 130 Policies, Batch 20170203_1452: 113 Policies)</t>
  </si>
  <si>
    <t>Total: 522 Policies (Batch 20170214_1455: 160 Policies, Batch 20170214_2142: 113 Policies, Batch 20170215_1205: 249 Policies,UL Cert Printing (650 Cert.))</t>
  </si>
  <si>
    <t>Total: 519 Policies (Batch 20170216_1549: 144 Policies, Batch 20170216_2216: 113 Policies, Batch 20170217_1403: 262 Policies, Ant Stm testing)</t>
  </si>
  <si>
    <t>Total: 335 Policies (Batch 20170217_1514: 21 Policies, Batch 20170217_2112: 202 Policies, Batch 20170220_1149: 90 Policies, Batch 20170220_1453: 22 Policies, Endorsement Testing)</t>
  </si>
  <si>
    <t>Total: 743 Policies (Batch 20170220_2219: 494 Policies, Batch 20170221_1202: 155 Policies, Batch 20170221_1442: 94 Policies, Anl Stm go live)</t>
  </si>
  <si>
    <t>Total: 712 Policies (Batch 20170224_1146: 212 Policies, Batch 20170224_1501: 237 Policies, Batch 20170224_2239: 263 Policies)</t>
  </si>
  <si>
    <t>Total: 862 Policies (Batch 20170225_1211:282 Policies, Batch 20170225_1533: 189 Policies, Batch 20170225_2110: 293 Policies, Batch 20170226_1156: 98 Policies)</t>
  </si>
  <si>
    <t>Total: 630 Policies (Batch 20170226_1506: 188 Policies, Batch 20170226_2141: 263 Policies, Batch 20170227_1149: 179 Policies, Anl Stm )</t>
  </si>
  <si>
    <t>Total: 1181 Policies (Batch 20170227_1519: 134 Policies, Batch 20170227_2330: 592 Policies, Batch 20170228_1153: 299 Policies, Batch 20170228_1508: 156 Policies)</t>
  </si>
  <si>
    <t>Total: 569 Policies (Batch 20170125_0102: 569 Policies)</t>
  </si>
  <si>
    <t>Total: 819 Policies (Batch 20170206_1152: 7 Policies, Batch 20170206_1509: 76 Policies, Batch 20170206_2255: 458 Policies, Batch 20170207_1208: 278 Policies)</t>
  </si>
  <si>
    <t>Total: 613 Policies (Batch 20170207_2115: 613 Policies)</t>
  </si>
  <si>
    <t>Total: 549 Policies (Batch 20170208_1201: 243 Policies, Batch 20170208_1510: 164 Policies ,Batch 20170208_2111: 142 Policies)</t>
  </si>
  <si>
    <t>Total: 604 Policies (Batch 20170209_1147: 152 Policies, Batch 20170209_1505: 84 Policies, Batch 20170209_2247: 289 Policies, Batch 20170210_1149: 79 Policies)</t>
  </si>
  <si>
    <t>Total: 588 Policies (Batch 20170210_1505: 166 Policies, Batch 20170210_2320: 257 Policies, Batch 20170213_1201: 165 Policies)</t>
  </si>
  <si>
    <t>Total: 406 Policies (Batch 20170213_1503: 16 Policies, Batch 20170213_2201: 293 Policies, Batch 20170214_1155: 97 Policies)</t>
  </si>
  <si>
    <t>Total: 522 Policies (Batch 20170214_1455: 160 Policies, Batch 20170214_2142: 113 Policies, Batch 20170215_1205: 249 Policies)</t>
  </si>
  <si>
    <t>Total: 504 Policies (Batch 20170215_1501: 206 Policies, Batch 20170215_2157: 181 Policies, Batch 20170216_1155: 117 Policies)</t>
  </si>
  <si>
    <t>Total: 519 Policies (Batch 20170216_1549: 144 Policies, Batch 20170216_2216: 113 Policies, Batch 20170217_1403: 262 Policies)</t>
  </si>
  <si>
    <t>Total: 587 Policies (Batch 20170221_2155: 472 Policies, Batch 20170222_1151: 115 Policies)</t>
  </si>
  <si>
    <t>Total: 475 Policies (Batch 20170222_2207: 243 Policies, Batch 20170223_1108: 232 Policies)</t>
  </si>
  <si>
    <t>Total: 495 Policies (Batch 20170222_1454: 198 Policies, Batch 20170223_2124: 297 Policies)</t>
  </si>
  <si>
    <t>Total: 504 Policies (Batch 20170215_1501: 206 Policies, Batch 20170215_2157: 181 Policies, Batch 20170216_1155: 117 Policies, Backfill for fulltime)</t>
  </si>
  <si>
    <t>Anl Stmt: Printing And Enveloping</t>
  </si>
  <si>
    <t>Total: 721 Policies (Batch 20170309_1142: 289 Policies, Batch 20170309_1446: 67 Policies, Batch 20170309_2139: 148 Policies, Batch 20170310_1157: 203 Policies, Batch 20170310_1503: 14 Policies)</t>
  </si>
  <si>
    <t>Total: 522 Policies (Batch 20170317_1502: 92 Policies, Batch 20170320_0947: 430 Policies, Anl Stmt Insertion)</t>
  </si>
  <si>
    <t>Total: 742 Policies (Batch 20170322_2213: 352 Policies, Batch 20170323_1153: 301 Policies, Batch 20170323_1515: 89 Policies)</t>
  </si>
  <si>
    <t>Total: 778 Policies (Batch 20170324_1202: 144 Policies, Batch 20170324_1526: 160 Policies, Batch 20170324_2214: 311 Policies, Batch 20170325_1150: 163 Policies)</t>
  </si>
  <si>
    <t>Anl Stmt Printing &amp; Enveloping</t>
  </si>
  <si>
    <t>Total: 496 Policies (Batch 20170303_2107: 294 Policies, Batch 20170306_1202: 119 Policies, Batch 20170306_1524: 83 Policies)</t>
  </si>
  <si>
    <t>Total: 263 Policies (Batch 20170306_2247: 263 Policies)</t>
  </si>
  <si>
    <t>Total: 416 Policies (Batch 20170308_1135: 112 Policies, Batch 20170308_1519: 126 Policies, Batch 20170308_2112: 187 Policies)</t>
  </si>
  <si>
    <t>Total: 425 Policies (Batch 20170308_1135: 112 Policies, Batch 20170308_1519: 126 Policies, Batch 20170308_2112: 187 Policies)</t>
  </si>
  <si>
    <t>Total: 414 Policies (Batch 20170310_2156: 237 Policies, Batch 20170313_1203: 177 Policies)</t>
  </si>
  <si>
    <t>Total: 560 Policies (Batch 20170313_1512: 88 Policies, Batch 20170313_2204: 218 Policies, Batch 20170314_1201: 254 Policies)</t>
  </si>
  <si>
    <t>Total: 680 Policies (Batch 20170314_1505: 128 Policies, Batch 20170314_2245: 368 Policies, Batch 20170315_1157: 184 Policies)</t>
  </si>
  <si>
    <t>Total: 349 Policies (Batch 20170316_2208: 107 Policies, Batch 20170317_1205: 242 Policies)</t>
  </si>
  <si>
    <t>Total: 714 Policies (Batch 20170323_2154: 410 Policies, Batch 20170324_1202: 144 Policies, Batch 20170324_1526: 160 Policies)</t>
  </si>
  <si>
    <t>Anl Stmt Insertion</t>
  </si>
  <si>
    <t>Tran Ro Pi</t>
  </si>
  <si>
    <t>Nguyen Kim Hoa</t>
  </si>
  <si>
    <t>Total: 1004 Policies (Batch 20170325_1504: 261 Policies, Batch 20170325_2128: 294 Policies, Batch 20170327_1202: 374 Policies, Batch 20170327_1513: 76 PoliciesT(rain for peak cycle))</t>
  </si>
  <si>
    <t>Total: 713 Policies (Batch 20170328_2318: 259 Policies, Batch 20170328_1158: 320 Policies, Batch 20170328_1506: 134 Policies (Train for peak cycle))</t>
  </si>
  <si>
    <t>Total: 1224 Policies (Train for peak cycle)</t>
  </si>
  <si>
    <t>Le Hoang Ngoc</t>
  </si>
  <si>
    <t>Nguyen An Tu</t>
  </si>
  <si>
    <t>Bui Thi Thu Ngan</t>
  </si>
  <si>
    <t>Total: 1777 Policies (Batch 20170331_0831: 805 Policies, Batch 20170331_1248: 972 Policies)</t>
  </si>
  <si>
    <t>Total: 498 Policies (Batch 20170404_2204: 298 Policies, Batch 20170405_1204: 200 Policies,)</t>
  </si>
  <si>
    <t>Total: 442 Policies (Batch 20170405_1821: 338 Policies, Batch 20170407_1156: 104 Policies)</t>
  </si>
  <si>
    <t>Total: 296 Policies (Batch 20170407_1625: 74 Policies, Batch 20170407_2352: 97 Policies, Batch 20170410_1203: 125 Policies)</t>
  </si>
  <si>
    <t>Total: 639 Policies (Batch 20170411_2149: 458 Policies, Batch 20170412_1158: 181 Policies)</t>
  </si>
  <si>
    <t>Total: 480 Policies (Batch 20170412_1512: 66 Policies, Batch 20170412_2124: 231 Policies, Batch 20170413_1155: 35 Policies, Batch 20170413_1450: 148 Policies)</t>
  </si>
  <si>
    <t>Total: 551 Policies (Batch 20170413_0136: 250 Policies, Batch 20170414_1153: 234 Policies,  Batch 20170414_1504: 66 Policies)</t>
  </si>
  <si>
    <t>Total: 302 Policies (Batch 20170414_2309: 187 Policies, Batch 20170417_1156: 115 Policies)</t>
  </si>
  <si>
    <t>Total: 593 Policies (Batch 20170417_1457: 99 Policies, Batch 20170417_2259: 348 Policies, Batch 20170418_1157: 147 Policies)</t>
  </si>
  <si>
    <t>Total: 636 Policies (Batch 20170419_0228: 435 Policies, Batch 20170420_1156: 101 Policies, Batch 20170420_1449: 100 Policies)</t>
  </si>
  <si>
    <t>Total: 490 Policies (Batch 20170420_2207: 292 Policies,  Batch 20170421_1207: 198 Policies)</t>
  </si>
  <si>
    <t>Total: 213 Policies (800/1024 Policies, Batch 20170430_1218: 213 Policies)</t>
  </si>
  <si>
    <t>Total: 545 Policies (Batch 20170503_1204: 93 Policies, Batch 20170503_1508: 177 Policies, Batch 20170504_2253: 230 Policies, Batch 20170504_1159: 45 Policies)</t>
  </si>
  <si>
    <t>Total: 602 Policies (Batch 20170504_1520: 107 Policies, Batch 20170504_2254: 250 Policies, Batch 20170504_0304: 56 Policies, Batch 20170505_1159: 189 Policies)</t>
  </si>
  <si>
    <t>Total: 422 Policies (Batch 20170505_1501: 49 Policies, Batch 20170505_2214: 247 Policies, Batch 20170508_1156: 75 Policies)</t>
  </si>
  <si>
    <t>Total: 312 Policies (Batch 20170508_2253: 248 Policies, Batch 20170509_1205: 64 Policies)</t>
  </si>
  <si>
    <t>Total: 818 Policies (Batch 20170509_1534: 249 Policies, Batch 20170509_1534: 193 Policies,  Batch 20170510_1534: 302 Policies, Batch 20170510_1455: 74 Policies)</t>
  </si>
  <si>
    <t>Total: 373 Policies (Batch 20170510_2245: 236 Policies, Batch 20170511_1157: 59 Policies, Batch 20170511_1503: 78 Policies)</t>
  </si>
  <si>
    <t>Total: 420 Policies (Batch 20170511_2353: 213 Policies, Batch 20170512_1202: 179 Policies, Batch 20170512_1515: 28 Policies)</t>
  </si>
  <si>
    <t>Total: 630 Policies (Batch 20170512_2238: 364 Policies, Batch 20170515_1203: 159 Policies, Batch 20170515_1508: 107 Policies)</t>
  </si>
  <si>
    <t>Total: 592 Policies (Batch 20170515_0124: 431 Policies, Batch 20170516_1211: 161 Policies)</t>
  </si>
  <si>
    <t>Total: 541 Policies (Batch 20170517_2208: 180 Policies, Batch 20170517_2342: 53 Policies, Batch 20170518_1153: 213 Policies,  Batch 20170518_1451: 95 Policies)</t>
  </si>
  <si>
    <t>Total: 393 Policies (Batch 20170518_2334: 328 Policies, Batch 20170519_1209: 65 Policies, Batch 20170519_1532: 169 Policies)</t>
  </si>
  <si>
    <t>Total: 541 Policies (Batch 20170519_1532: 169 Policies, Batch 20170519_0425: 256 Policies, Batch 20170522_1233: 116 Policies)</t>
  </si>
  <si>
    <t>Total: 689 Policies (Batch 20170522_2157: 472 Policies, Batch 20170523_1202: 217 Policies)</t>
  </si>
  <si>
    <t>Total: 777 Policies (Batch 20170523_1501: 99 Policies, Batch 20170523_2308: 638 Policies, Batch 20170524_1206: 40 Policies)</t>
  </si>
  <si>
    <t>Total: 592 Policies (Batch 20170525_2210: 472 Policies, Batch 20170526_1213: 120 Policies)</t>
  </si>
  <si>
    <t>Total: 1034 Policies (Batch 20170527_2322: 658 Policies, Batch 20170529_1206: 275 Policies, Batch 20170529_1505: 101 Policies)</t>
  </si>
  <si>
    <t>Total: 256 Policies (Batch 20170605_1156: 256 Policies)</t>
  </si>
  <si>
    <t>Total: 486 Policies (Batch 20170606_2207: 289 Policies, Batch 20170607_1334: 118 Policies, Batch 20170607_1519: 79 Policies)</t>
  </si>
  <si>
    <t>Total: 413 Policies (Batch 20170607_2232: 196 Policies, Batch 20170608_1157: 108 Policies, Batch 20170608_1505: 109 Policies)</t>
  </si>
  <si>
    <t>Total: 432 Policies (Batch 20170608_1556: 59 Policies, Batch 20170608_2147: 181 Policies, Batch 20170609_1158: 186 Policies, Batch 20170609_1624: 6 Policies)</t>
  </si>
  <si>
    <t>Total: 362 Policies (Batch 20170609_0057: 212 Policies, Batch 20170612_1145: 62 Policies, Batch 20170612_1551: 88 Policies)</t>
  </si>
  <si>
    <t>Total: 733 Policies (Batch 20170612_2219: 340 Policies, Batch 20170613_1159: 260 Policies, Batch 20170613_1508: 133 Policies)</t>
  </si>
  <si>
    <t>Total: 754 Policies (Batch 20170613_2205: 511 Policies, Batch 20170614_1200: 243 Policies)</t>
  </si>
  <si>
    <t>Total: 907 Policies (Batch 20170614_1545: 250 Policies, Batch 20170614_2251: 320 Policies,  Batch 20170615_1203: 242 Policies)</t>
  </si>
  <si>
    <t>Cao Van Khoa</t>
  </si>
  <si>
    <t>Total: 496 Policies (Batch 20170616_2054: 295 Policies, Batch 20170619_1202: 148 Policies, Batch 20170619_1459: 53 Policies)</t>
  </si>
  <si>
    <t>Total: 519 Policies (Batch 20170619_2359: 226 Policies, Batch 20170620_1158: 293 Policies)</t>
  </si>
  <si>
    <t>Total: 873 Policies (Batch 20170620_1507: 171 Policies, Batch 20170620_2305: 457 Policies, Batch 20170621_1148: 149 Policies)</t>
  </si>
  <si>
    <t>Total: 690 Policies (Batch 20170621_2203: 389 Policies, Batch 20170622_1148: 123 Policies, Batch 20170622_1521: 178 Policies)</t>
  </si>
  <si>
    <t>Total: 415 Policies (Batch 20170622_2144: 289 Policies; Batch 20170623_1457: 126 Policies)</t>
  </si>
  <si>
    <t>Total: 461 Policies (Batch 20170623_2223: 192 Policies, Batch 20170624_1244: 269 Policies)</t>
  </si>
  <si>
    <t>Total: 787 Policies (Batch 20170624_1643: 164 Policies, Batch 20170624_2115: 488 Policies,  Batch 20170626_1206: 135 Policies)</t>
  </si>
  <si>
    <t/>
  </si>
  <si>
    <t>Total: 1369 Policies (Batch 20170630_2303: 1369 Policies,)</t>
  </si>
  <si>
    <t>Nguyen Van Han</t>
  </si>
  <si>
    <t>Total: 267 Policies (Batch 20170705_1458: 7 Policies, Batch 20170705_2139: 173 Policies, Batch 20170706_1155: 40 Policies, Batch 20170706_1505: 47 Policies)</t>
  </si>
  <si>
    <t>Total: 445 Policies (Batch 20170706_2248: 349Policies, Batch 20170707_1212: 41 Policies, Batch 20170707_1507: 55 Policies)</t>
  </si>
  <si>
    <t>Total: 255 Policies (Batch 20170707_2139: 255 Policies)</t>
  </si>
  <si>
    <t>Total: 394 Policies (Batch 20170710_1505: 131 Policies, Batch 20170710_2224: 263 Policies)</t>
  </si>
  <si>
    <t>Total: 459 Policies (Batch 20170711_1540: 141 Policies, Batch 20170711_2148: 181 Policies, Batch 20170712_1158: 137 Policies)</t>
  </si>
  <si>
    <t>Total: 535 Policies (Batch 20170712_1503: 49 Policies, Batch 20170712_2241: 260 Policies, Batch 20170713_1209: 214 Policies,  Batch 20170713_1507: 12 Policies)</t>
  </si>
  <si>
    <t>Total: 257 Policies (Batch 20170713_2212: 247 Policies, Batch 20170714_1154: 10 Policies)</t>
  </si>
  <si>
    <t>Total: 492 Policies (Batch 20170717_2317: 319 Policies, Batch 20170718_1202: 173 Policies, Batch 20170718_1459: 118 Policies)</t>
  </si>
  <si>
    <t>Total: 486 Policies (Batch 20170718_1459: 103 Policies, Batch 20170718_2223: 295 Policies, Batch 20170719_1211: 88 Policies)</t>
  </si>
  <si>
    <t>Total: 493 Policies (Batch 20170719_1510: 164 Policies; Batch 20170719_2232: 326 Policies; Batch 20170720_1157: 73 Policies)</t>
  </si>
  <si>
    <t>Total: 677 Policies (Batch 20170720_1445: 204 Policies; Batch 20170720_1445: 402 Policies; Batch 20170721_1148: 71 Policies)</t>
  </si>
  <si>
    <t>Total: 598 Policies (Batch 20170721_1457: 204 Policies; Batch 20170721_2229: 224 Policies; Batch 20170724_1203: 170 Policies)</t>
  </si>
  <si>
    <t>Total: 784 Policies (Batch 20170728_2239: 736 Policies, Batch 20170729_1105: 33 Policies,  Batch 20170729_1455: 15 Policies)</t>
  </si>
  <si>
    <t>Total: 1125 Policies (Batch 20170729_1455: 1125 Policies)</t>
  </si>
  <si>
    <t>Total: 1125 Policies (Batch 20170729_1455: 1125 Policies, Batch 20170730_1117: 168 Policies)</t>
  </si>
  <si>
    <t>Total: 400 Policies (Batch 20170803_1442: 179 Policies, Batch 20170803_2141: 168 Policies, Batch 20170804_1105: 53 Policies)</t>
  </si>
  <si>
    <t>Total: 396 Policies (Batch 20170804_1448: 80 Policies, Batch 20170804_2254: 316 Policies)</t>
  </si>
  <si>
    <t>Total: 371 Policies (Batch 20170807_2125: 267 Policies, Batch 20170808_1113: 104 Policies)</t>
  </si>
  <si>
    <t>Total: 420 Policies (Batch 20170808_1423: 139 Policies, Batch 20170808_0002: 267 Policies)</t>
  </si>
  <si>
    <t>Total: 787 Policies (Batch 20170809_1146: 197 Policies, Batch 20170809_0007: 286 Policies, Batch 20170810_1344: 260 Policies, Batch 20170810_1451: 44 Policies)</t>
  </si>
  <si>
    <t>Total: 277 Policies (Batch 20170810_2204: 173 Policies, Batch 20170811_1112: 51 Policies, Batch 20170811_1414: 53 Policies)</t>
  </si>
  <si>
    <t>Total: 549 Policies (Batch 20170811_2214: 294 Policies; 01708214_1141: 179 Policies; 21708214_1413: 76 Policies)</t>
  </si>
  <si>
    <t>Nguyen Tran Ha Mai</t>
  </si>
  <si>
    <t>Total: 262 Policies (Batch 20170814_2340: 262 Policies)</t>
  </si>
  <si>
    <t>Dong Tran Hai Son</t>
  </si>
  <si>
    <t>Total: 581 Policies (Batch 20170816_2213: 346 Policies; 20170817_1105: 100 Policies; 20170817_1425: 135 Policies)</t>
  </si>
  <si>
    <t>Total: 426 Policies (Batch 20170817_2341: 256 Policies; 20170818_1117: 151 Policies, 20170818_1425: 19 Policies)</t>
  </si>
  <si>
    <t>Total: 399 Policies (Batch 20170818_2228: 12 Policies; 20170821_1138: 388 Policies)</t>
  </si>
  <si>
    <t>Total: 469 Policies (Batch 20170825_2128: 325 Policies; 20170826_1110: 74 Policies; 20170826_1433: 70 Policies)</t>
  </si>
  <si>
    <t>Total: 469 Policies (Batch 20170825_2128: 325 Policies; 20170826_1110: 74 Policies)</t>
  </si>
  <si>
    <t>Total: 1087 Policies (Batch 20170827_0949: 355 Policies; 20170827_2146: 299 Policies, 20170828_1121: 256 Policies, 20170828_1451: 177 Policies)</t>
  </si>
  <si>
    <t>Total: 1297 Policies (Batch 20170828_2232: 638 Policies, Batch 20170829_1113: 349 Policies, Batch 20170829_1436: 309 Policies)</t>
  </si>
  <si>
    <t>Total: 1410 Policies (Batch 20170829_2124: 979 Policies, Batch 20170830_1107: 431 Policies)</t>
  </si>
  <si>
    <t>Total: 1849 Policies (Batch 20170830_1434: 267 Policies, Batch 20170830_2044: 659 Policies, Batch 20170831_1144: 923 Policies)</t>
  </si>
  <si>
    <t>Backlog 600/923 Policies (Batch 20170831_1144) and Total: 1693 Policies (Batch 20170831_1641: 402 Policies, Batch 20170831_2322: 1293 Policies)</t>
  </si>
  <si>
    <t>Backlog 700/1293 Policies (Batch 20170831_2322) and Total: 674 Policies (Batch 20170831_1024: 674 Policies)</t>
  </si>
  <si>
    <t>Backlog 700/1293 Policies (Batch 20170831_2322) and Total: 674 Policies (Batch 20170831_1024: 674 Policies, Batch 20170831_1908: 378 Policies)</t>
  </si>
  <si>
    <t>Total: 1330 Policies (Batch 20170901_1908: 377 Policies, Batch 20170905_1101: 59 Policies, Batch 20170905_1429: 59 Policies, Batch 20170905_2334: 586 Policies, Batch 20170906_1113: 113 Policies, Batch 20170906_1448: 136 Policies)</t>
  </si>
  <si>
    <t>Total: 1135 Policies (Batch 201709015_1451: 178 Policies, Batch 201709015_2223: 449 Policies, Batch 201709016_1209: 264 Policies, Batch 201709016_1518: 244 Policies)</t>
  </si>
  <si>
    <t>Total: 1040 Policies (Batch 201709018_2308: 379 Policies, Batch 201709019_1112: 448 Policies, Batch 201709019_1112: 213 Policies)</t>
  </si>
  <si>
    <t>Total: 1031 Policies (Batch 201709019_0005: 709 Policies, Batch 201709020_1100: 169 Policies, Batch 201709020_1416: 153 Policies)</t>
  </si>
  <si>
    <t>Total: 1421 Policies (Batch 20170925_1430: 279 Policies, Batch 20170925_0039: 646 Policies, Batch 20170926_1112: 146 Policies, Batch 20170926_1429: 350 Policies)</t>
  </si>
  <si>
    <t>Total: 1268 Policies (Batch 20170926_2325: 836 Policies, Batch 20170927_1059: 85 Policies, Batch 20170927_1437: 347 Policies)</t>
  </si>
  <si>
    <t>Total: 1268 Policies (Batch 20170926_2325: 836 Policies, Batch 20170927_1059: 85 Policies)</t>
  </si>
  <si>
    <t>Total: 1316 Policies (Batch 20170927_2227: 803 Policies, Batch 20170928_1124: 222 Policies, Batch 20170928_1440: 291 Policies)</t>
  </si>
  <si>
    <t>Total: 1575 Policies (Batch 20170930_1658: 480 Policies, Batch 20170930_2037: 656 Policies; Batch 20170930_1134: 438 Policies; Batch 20171002_1120: 1 Policies)</t>
  </si>
  <si>
    <t>Total: 885 Policies (Batch 20171020_1433: 129 Policies, Batch 20171020_0017: 357 Policies, Batch 20171023_1111: 177 Policies, Batch 20171023_1440: 222 Policies)</t>
  </si>
  <si>
    <t>Total: 1269 Policies (Batch 20171023_2331: 590 Policies, Batch 20171024_1101: 399 Policies, Batch 20171024_1420: 280 Policies)</t>
  </si>
  <si>
    <t>Total: 1140 Policies (Batch 20171024_2316: 894 Policies, Batch 20171025_1106: 246 Policies)</t>
  </si>
  <si>
    <t>Total: 1265 Policies (Batch 20171025_1430: 253 Policies, Batch 20171025_2142: 557 Policies, Batch 20171026_1112: 142 Policies, Batch 20171026_1426: 313 Policies)</t>
  </si>
  <si>
    <t>Total: 934 Policies (Batch 20171026_2245: 551 Policies, Batch 20171027_1146: 193 Policies, Batch 20171027_1440: 190 Policies)</t>
  </si>
  <si>
    <t>Total: 1023 Policies (Batch 20171027_2234: 658 Policies, Batch 20171028_1100: 148 Policies, Batch 20171028_1430: 217 Policies)</t>
  </si>
  <si>
    <t>Total: 1305 Policies (Batch 20171028_2337: 1060 Policies, Batch 20171030_1054: 245 Policies)</t>
  </si>
  <si>
    <t>Total: 1624 Policies (Batch 20171030_1442: 247 Policies,Batch 20171030_2331: 1377 Policies)</t>
  </si>
  <si>
    <t>Total: 2124 Policies (Batch 20171031_1144: 535 Policies, Batch 20171031_1559: 356 Policies, Batch 20171031_2241: 1233 Policies)</t>
  </si>
  <si>
    <t>Total: 1868 Policies (Batch 20171031_1047: 1868 Policies)</t>
  </si>
  <si>
    <t>Backlog 300/1868 &amp;Total: 927 Policies (Batch 20171101_0351: 164 Policies, Batch 20171102_1146: 229 Policies, Batch 20171102_1712: 163 Policies, Batch 20171102_2158: 198 Policies, Batch 20171103_1131: 144 Policies, Batch 20171103_1445: 29 Policies)</t>
  </si>
  <si>
    <t>7599 Dividend &amp; Total: 550 Policies (Batch 20171106_1047: 159 Policies, Batch 20171106_2127: 190 Policies, Batch 20171107_1139: 101 Policies)</t>
  </si>
  <si>
    <t>10000 Dividend &amp; Total: 593 Policies (Batch 20171107_1457: 173 Policies, Batch 20171107_2054: 139 Policies, Batch 20171108_1112: 96 Policies, Batch 20171108_1420: 185 Policies)</t>
  </si>
  <si>
    <t>Total: 876 Policies (Batch 20171110_1518: 149 Policies, Batch 20171110_2206: 311 Policies, Batch 20171113_1103: 209 Policies, Batch 20171113_1458: 207 Policies)</t>
  </si>
  <si>
    <t>Total: 1005 Policies (Batch 20171113_2214: 554 Policies, Batch 20171114_1128: 289 Policies, Batch 20171114_1459: 162 Policies)</t>
  </si>
  <si>
    <t>Total: 960 Policies (Batch 20171114_0329: 542 Policies, Batch 20171115_1113: 201 Policies, Batch 20171115_1422: 217 Policies)</t>
  </si>
  <si>
    <t>Total: 1024 Policies (Batch 20171120_2141: 510 Policies, Batch 20171121_1057: 287 Policies, Batch 20171121_1436: 227 Policies)</t>
  </si>
  <si>
    <t>Total: 1306 Policies (Batch 20171127_2210: 916 Policies, Batch 20171128_1130: 390 Policies,)</t>
  </si>
  <si>
    <t>Total: 1634 Policies (Batch 20171128_1447: 283 Policies, Batch 20171128_2131: 937 Policies, Batch 20171129_1121: 414 Policies,)</t>
  </si>
  <si>
    <t>Total: 1107 Policies (Batch 20171129_1428: 339 Policies,Batch 20171129_2230: 768 Policies,)</t>
  </si>
  <si>
    <t>Total: 1372 Policies (Batch 20171130_1434: 290 Policies, Batch 20171130_2143: 1082 Policies,)</t>
  </si>
  <si>
    <t>Total: 2080 Policies (Batch 20171130_0751: 2080 Policies,)</t>
  </si>
  <si>
    <t>Total: 1096 Policies (Batch 20171212_1424: 200 Policies, Batch 20171212_2222: 570 Policies, Batch 20171213_1127: 138 Policies, Batch 20171213_1439: 188 Policies)</t>
  </si>
  <si>
    <t>Total: 1441 Policies (Batch 20171218_1508: 288 Policies, Batch 20171218_2256: 752 Policies, Batch 20171219_1247: 401 Policies)</t>
  </si>
  <si>
    <t>Total: 1214 Policies (Batch 20171219_1431: 201 Policies, Batch 20171219_2110: 570 Policies, Batch 20171220_1045: 221 Policies, Batch 20171220_1427: 221 Policies)</t>
  </si>
  <si>
    <t>Total: 1092 Policies (Batch 20171220_2259: 643 Policies, Batch 20171221_1117: 189 Policies, Batch 20171221_1438: 260 Policies)</t>
  </si>
  <si>
    <t>Total: 1616 Policies (Batch 20171222_0018: 680 Policies, Batch 20171223_1045: 436 Policies, Batch 20171223_1441: 503 Policies)</t>
  </si>
  <si>
    <t>Total: 1915 Policies (Batch 20171227_2233: 960 Policies, Batch 20171228_1107: 419 Policies ;Batch 20171228_1438: 536 Policies)</t>
  </si>
  <si>
    <t>Total: 1769 Policies (Batch 20171228_0003: 871 Policies; Batch 20171229_1145: 898 Policies)</t>
  </si>
  <si>
    <t>Saturday/Sunday (Weekends) after 10pm</t>
  </si>
  <si>
    <t>Total: 1635 Policies (Batch 20171229_1808: 891 Policies; Batch 20171229_2202: 744 Policies; Batch 20171230_0940: 526 Policies)</t>
  </si>
  <si>
    <t>Jan_2018</t>
  </si>
  <si>
    <t>Feb_2018</t>
  </si>
  <si>
    <t>Mar_2018</t>
  </si>
  <si>
    <t>Total: 625 Policies (Batch 20180104_1100: 154 Policies, Batch 20180104_1420: 111 Policies, Batch 20180104_2300: 360 Policies)</t>
  </si>
  <si>
    <t>Total: 1112 Policies (Batch 20180123_1427: 264 Policies, Batch 20180123_2250: 450 Policies, Batch 20180124_1130: 192 Policies)</t>
  </si>
  <si>
    <t>Total: 1367 Policies (Batch 20180126_2139: 257 Policies, Batch 20180127_1031: 459 Policies, Batch 20180127_1417: 314 Policies, Batch 20180127_2151: 133 Policies, Batch 20180128_2127: 32 Policies)</t>
  </si>
  <si>
    <t>Total: 1026 Policies (Batch 20180129_2352: 623 Policies, Batch 20180130_1053: 131 Policies, Batch 20180130_1435: 272 Policies)</t>
  </si>
  <si>
    <t>Total: 1204 Policies (Batch 20180130_2216: 1204 Policies, Batch 20180131_1114: 256 Policies)</t>
  </si>
  <si>
    <t>Total: 1599 Policies (Batch 20180131_1429: 390 Policies, Batch 20180131_2105: 1209 Policies)</t>
  </si>
  <si>
    <t>Total: 849 Policies (Batch 20180221_2155: 411 Policies, Batch 20180222_1132: 320 Policies, Batch 20180222_1432: 136 Policies)</t>
  </si>
  <si>
    <t>Total: 1416 Policies (Batch 20180223_2229: 393 Policies, Batch 20180224_2133: 101 Policies, Batch 20180225_2120: 508 Policies, Batch 20180226_1049: 165 Policies, Batch 20180226_1412: 249 Policies)</t>
  </si>
  <si>
    <t>Total: 1275 Policies (Batch 20180226_2232: 862 Policies, Batch 20180227_1112: 99 Policies, Batch 20180227_1440: 314 Policies)</t>
  </si>
  <si>
    <t>Total: 1263 Policies (Batch 20180227_0138: 862 Policies)</t>
  </si>
  <si>
    <t>Total: 1263 Policies (Batch 20180227_0138: 862 Policies, Batch 20180228_1128: 363 Policies)</t>
  </si>
  <si>
    <t>Apr_2018</t>
  </si>
  <si>
    <t>May_2018</t>
  </si>
  <si>
    <t>Jun_2018</t>
  </si>
  <si>
    <t>Jul_2018</t>
  </si>
  <si>
    <t>Total: 1873 Policies (Batch 20180228_1128: 363 Policies, Batch 20180228_1446: 259 Policies, Batch 20180228_2237: 1251 Policies)</t>
  </si>
  <si>
    <t>Annual Statement &amp; Total: 422 Policies (Batch 20180307_1432: 82 Policies, Batch 20180307_2215: 295 Policies, Batch 20180308_1106 : 45 Policies)</t>
  </si>
  <si>
    <t>Annual Statement &amp; Total: 582 Policies (Batch 20180309_1455: 132 Policies , Batch 20180309_2327: 370 Policies, Batch 20180312_1059: 80 Policies, Batch 20180312_1427: 105 Policies)</t>
  </si>
  <si>
    <t>Annual Statement &amp; Total: 1115 Policies ( Batch 20180312_1427: 105 Policies,  Batch 20180312_2252: 545 Policies, Batch 20180313_1100: 240 Policies, Batch 20180313_1432: 225 Policies,)</t>
  </si>
  <si>
    <t>Total: 1115 Policies ( Batch 20180312_1427: 105 Policies,  Batch 20180312_2252: 545 Policies, Batch 20180313_1100: 240 Policies, Batch 20180313_1432: 225 Policies,)</t>
  </si>
  <si>
    <t>Annual Statement &amp; Total: 687 Policies ( Batch 20180313_2328: 594 Policies,  Batch 20180314_1105: 93 Policies)</t>
  </si>
  <si>
    <t>Total: 1393 Policies ( Batch 20180314_1442: 258 Policies,  Batch 20180314_2307: 614 Policies, Batch 20180315_1130: 229 Policies, Batch 20180315_1510: 292 Policies)</t>
  </si>
  <si>
    <t>Annual Statement &amp; Total: 1393 Policies ( Batch 20180314_1442: 258 Policies,  Batch 20180314_2307: 614 Policies, Batch 20180315_1130: 229 Policies, Batch 20180315_1510: 292 Policies)</t>
  </si>
  <si>
    <t>Total: 950 Policies (Batch 20180315_2309: 624 Policies, Batch 20180316_1053: 101 Policies, Batch 20180316_1429: 225 Policies)</t>
  </si>
  <si>
    <t>Annual Statement &amp; Total: 950 Policies (Batch 20180315_2309: 624 Policies, Batch 20180316_1053: 101 Policies, Batch 20180316_1429: 225 Policies)</t>
  </si>
  <si>
    <t>Total: 1054 Policies (Batch 20180316_2331: 334 Policies, Batch 20180319_1122: 472 Policies, Batch 20180319_1428: 248 Policies)</t>
  </si>
  <si>
    <t>Total: 1054 Policies (Batch 20180316_2331: 334 Policies)</t>
  </si>
  <si>
    <t>Total: 1166 Policies (Batch 20180319_2109: 690 Policies, Batch 20180320_1114: 205 Policies, Batch 20180320_1422: 271 Policies)</t>
  </si>
  <si>
    <t>Annual Statement 2018 (Phrase 2: Brochure Manual Insertion) Total: 1166 Policies (Batch 20180319_2109: 690 Policies, Batch 20180320_1114: 205 Policies, Batch 20180320_1422: 271 Policies)</t>
  </si>
  <si>
    <t>Total: 655 Policies (Batch 20180320_2206: 545 Policies, Batch 20180321_9999: 2 Policies, Batch 20180321_1112: 108 Policies)</t>
  </si>
  <si>
    <t>Annual Statement 2018 (Phrase 2: Brochure Manual Insertion) Total: 655 Policies (Batch 20180320_2206: 545 Policies, Batch 20180321_9999: 2 Policies, Batch 20180321_1112: 108 Policies)</t>
  </si>
  <si>
    <t>Total: 1160 Policies (Batch 20180321_1434: 220 Policies, Batch 20180321_2306: 590 Policies, Batch 20180322_1046: 115 Policies, Batch 20180322_1427: 235 Policies)</t>
  </si>
  <si>
    <t>Total: 897 Policies (Batch 20180322_2316: 559 Policies, Batch 20180323_1045: 68 Policies, Batch 20180323_1423: 270 Policies)</t>
  </si>
  <si>
    <t>Annual Statement 2018 (Phrase 2: Brochure Manual Insertion)</t>
  </si>
  <si>
    <t>Total: 625 Policies (Batch 20180323_2128: 625 Policies)</t>
  </si>
  <si>
    <t>Total: 1520 Policies (Batch 20180326_1500: 400 Policies, Batch 20180326_2340: 681 Policies, Batch 20180327_1112: 150 Policies, Batch 20180324_2215: 272 Policies, Batch 20180325_2152: 17 Policies)</t>
  </si>
  <si>
    <t>Total: 1520 Policies (Batch 20180326_1500: 400 Policies, Batch 20180326_2340: 681 Policies, Batch 20180327_1112: 197 Policies)</t>
  </si>
  <si>
    <t>Total: 1164 Policies (Batch 20180327_1444: 432 Policies, Batch 20180327_2310: 732 Policies)</t>
  </si>
  <si>
    <t>Backlog Batch 732 &amp; Total: 740 Policies (Batch 20180328_1038: 321 Policies, Batch 20180328_1443: 419 Policies)</t>
  </si>
  <si>
    <t>Total: 1550 Policies (Batch 20180328_0151: 983 Policies, Batch 20180329_1120: 152 Policies, Batch 20180329_1425: 415 Policies)</t>
  </si>
  <si>
    <t>Total: 1278 Policies (Batch 20180329_0352: 1278 Policies, Batch 20180330_1443: 689 Policies)</t>
  </si>
  <si>
    <t>Total: 1888 Policies (Batch 20180330_1443: 689 Policies, Batch 20180330_2240: 1199 Policies)</t>
  </si>
  <si>
    <t>Backlog 771/1199 Policies &amp; Total: 2001 Policies (Batch 20180331_0814: 99 Policies, Batch 20180331_1334: 509 Policies, Batch 20180331_2024: 1393 Policies)</t>
  </si>
  <si>
    <t>Backlog 1000/1393 Policies &amp; Total: 927 Policies (Batch 20180331_1144: 927 Policies, Batch 20180331_1729: 675 Policies)</t>
  </si>
  <si>
    <t>Backlog 507/1144 Policies &amp; Total: 1655 Policies (Batch 20180331_1144: 927 Policies, Batch 20180331_1729: 675 Policies)</t>
  </si>
  <si>
    <t>Total: 1213 Policies (Batch 20180416_1448: 269 Policies, Batch 20180416_2307: 598 Policies, Batch 20180417_11112: 171 Policies, Batch 20180417_1438: 235 Policies)</t>
  </si>
  <si>
    <t>Total: 1025 Policies (Batch 20180423_1555: 117 Policies, Batch 20180423_1605: 92 Policies, Batch 20180423_1615: 65 Policies, Batch 20180423_2111: 252 Policies, Batch 20180423_2121: 143 Policies, Batch 20180423_2131: 134 Policies, Batch 20180424_1148: 121 Policies, Batch 20180424_1158: 58 Policies, Batch 20180424_1208: 43 Policies)</t>
  </si>
  <si>
    <t>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</t>
  </si>
  <si>
    <t>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Policies)129/598</t>
  </si>
  <si>
    <t>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</t>
  </si>
  <si>
    <t>Total: 1983 Policies (Batch 20180427_1143: 598 Policies, Batch 20180427_1911: 503 Policies, Batch 20180427_1921: 284 Policies, Batch 20180427_1931: 164 Policies, Batch 20180427_2303: 434 Policies)</t>
  </si>
  <si>
    <t>Aug_2018</t>
  </si>
  <si>
    <t>Sep_2018</t>
  </si>
  <si>
    <t>Oct_2018</t>
  </si>
  <si>
    <t>Nov_2018</t>
  </si>
  <si>
    <t>Dec_2018</t>
  </si>
  <si>
    <t>Nguyen Thanh Loc</t>
  </si>
  <si>
    <t>Trinh Thi Hue</t>
  </si>
  <si>
    <t>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</t>
  </si>
  <si>
    <t>Total: 1667 Policies (Batch 20180429_0755: 782 Policies, Batch 20180430_2124: 885 Policies)</t>
  </si>
  <si>
    <t>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</t>
  </si>
  <si>
    <t>Total: 550 Policies (Batch 20180503_1134: 7 Policies, Batch 20180503_1145: 90 Policies, Batch 20180503_1154: 17 Policies, Batch 20180503_1512: 17 Policies,Batch 20180503_1522: 24 Policies,Batch 20180503_1532: 7 Policies,Batch 20180503_2208: 261 Policies)</t>
  </si>
  <si>
    <t>Tran Thi Kim Thoa</t>
  </si>
  <si>
    <t>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</t>
  </si>
  <si>
    <t>Total: 1169 Policies (Batch: 20180508_232N: 104 Policies, Batch: 20180508_233N : 40 Policies, Batch: 20180509_111N : 22 Policies)</t>
  </si>
  <si>
    <t>Total: 1278 Policies (Batch: 20180511_2127: 141 Policies, Batch: 20180511_2137: 77 Policies, Batch: 20180511_2147: 58 Policies)</t>
  </si>
  <si>
    <t>Transmail Billing BL05 Big Volume</t>
  </si>
  <si>
    <t>Total: 823 Policies (Batch: 20180518_1451: 67 Policies, Batch: 20180518_1501: 27 Policies,Batch: 20180518_1501: 19 Policies, Batch: 20180518_2121: 219 Policies,Batch: 20180518_2131: 144 Policies, Batch: 20180518_2141: 77 Policies)</t>
  </si>
  <si>
    <t>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</t>
  </si>
  <si>
    <t>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</t>
  </si>
  <si>
    <t>Total: 1195 Policies (Batch 20180530_1453: 82 Policies,Batch 20180530_1503: 66 Policies,Batch 20180530_2119: 538 Policies,Batch 20180530_2129: 323 Policies,Batch 20180530_2139: 186 Policies,)</t>
  </si>
  <si>
    <t>Le Thi Hong Diem</t>
  </si>
  <si>
    <t>Total: 1875 Policies ( 20180531_1131: 458 Policies, 20180531_1141: 130 Policies, 20180531_1151: 91 Policies, 20180531_2002: 655 Policies, 20180531_2012: 378 Policies, 20180531_2022: 163 Policies, :  Policies,)</t>
  </si>
  <si>
    <t>Total: 2073 Policies ( 20180531_0231: 1174 Policies, 20180531_0241: 354 Policies, 20180531_0251: 202 Policies, 20180531_1405: 262 Policies, 20180531_1415: 22 Policies, 20180531_1425: 59 Policies,)</t>
  </si>
  <si>
    <t>Total: 847 Policies ( 20180607_1438: 39 Policies, 20180607_1448: 33 Policies, 20180607_1458: 55 Policies, 20180607_2111: 103 Policies, 20180607_2121: 138 Policies, 20180607_2131: 82 Policies, 20180608_1213: 397 Policies, :  Policies, :  Policies,)</t>
  </si>
  <si>
    <t>Total: 1450 Policies ( 20180608_1223: 143 Policies, 20180608_1233: 52 Policies, 20180608_1517: 415 Policies, 20180608_1527: 115 Policies, 20180608_1537: 61 Policies, 20180608_1919: 478 Policies, 20180608_1929: 120 Policies, 20180608_1939: 66 Policies, :  Policies,)</t>
  </si>
  <si>
    <t>Total: 746 Policies ( 20180611_1451: 97 Policies, 20180611_1501: 61 Policies, 20180611_1511: 64 Policies, 20180611_2124: 297 Policies, 20180611_2134: 118 Policies, 20180611_2144: 109 Policies,)</t>
  </si>
  <si>
    <t>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</t>
  </si>
  <si>
    <t>Total: 1220 Policies ( 20180618_1455: 94 Policies, 20180618_1505: 91 Policies, 20180618_1515: 70 Policies, 20180618_2308: 406 Policies, 20180618_2318: 180 Policies, 20180618_2328: 106 Policies, 20180619_1113: 47 Policies, 20180619_1123: 26 Policies, 20180619_1133: 22 Policies,)</t>
  </si>
  <si>
    <t>Total: 1364 Policies ( 20180622_1538: 130 Policies, 20180622_1548: 75 Policies, 20180622_1558: 64 Policies, 20180622_2348: 217 Policies, 20180622_2358: 149 Policies, 20180622_0008: 82 Policies, 20180623_1312: 24 Policies, 20180623_1322: 40 Policies, 20180623_1332: 18 Policies,)</t>
  </si>
  <si>
    <t>Total: 1111 Policies ( 20180625_1111: 41 Policies, 20180625_1121: 7 Policies, 20180625_1131: 6 Policies, 20180625_1442: 160 Policies, 20180625_1452: 79 Policies, 20180625_1502: 49 Policies, 20180625_2119: 394 Policies, 20180625_2129: 226 Policies, 20180625_2139: 149 Policies,)</t>
  </si>
  <si>
    <t>Total: 1310 Policies ( 20180626_1212: 253 Policies, 20180626_1222: 67 Policies, 20180626_1232: 56 Policies, 20180626_0130: 477 Policies, 20180626_0140: 294 Policies, 20180626_0150: 163 Policies, :  Policies, :  Policies, :  Policies,)</t>
  </si>
  <si>
    <t>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</t>
  </si>
  <si>
    <t>Total: 1420 Policies ( 20180629_1149: 416 Policies, 20180629_1159: 143 Policies, 20180629_1209: 71 Policies, 20180629_1716: 412 Policies, 20180629_1726: 257 Policies, 20180629_1736: 121 Policies, :  Policies, :  Policies, :  Policies,)</t>
  </si>
  <si>
    <t>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</t>
  </si>
  <si>
    <t>Total: 2907 Policies ( 20181228_2253: 1178 Policies, 20181228_2303: 431 Policies, 20181228_2313: 320 Policies, 20181229_1453: 557 Policies, 20181229_1503: 306 Policies, 20181229_1513: 115 Policies, :  Policies,)</t>
  </si>
  <si>
    <t>Jan_2019</t>
  </si>
  <si>
    <t>Julkifli Osmanl</t>
  </si>
  <si>
    <t>Tran Thi Kim Oanh</t>
  </si>
  <si>
    <t>Total: 2772 Policies ( 20181229_2326: 967 Policies, 20181229_2336: 635 Policies, 20181229_2346: 315 Policies, 20181230_1104: 103 Policies, 20181230_1114: 50 Policies, 20181230_1124: 24 Policies, 20181230_1516: 472 Policies,)</t>
  </si>
  <si>
    <t>Total: 3679 Policies ( 20181230_2100: 945 Policies, 20181230_2110: 371 Policies, 20181230_2120: 193 Policies, 20181231_0930: 955 Policies, 20181231_0940: 521 Policies, 20181231_0950: 181 Policies, 20181231_1058: 513 Policies,)</t>
  </si>
  <si>
    <t>Total: 2853 Policies ( 20181231_1058: 513 Policies, 20181231_1108: 84 Policies, 20181231_1118: 72 Policies, 20181231_1748: 741 Policies, 20181231_1758: 309 Policies, 20181231_1808: 164 Policies, 20181231_2113: 476 Policies,)</t>
  </si>
  <si>
    <t>Tran Ngoc Hieu</t>
  </si>
  <si>
    <t>Total: 1967 Policies ( 20190103_1140: 33 Policies, 20190103_1200: 2 Policies, 20190103_1516: 59 Policies, 20190103_1526: 7 Policies, 20190103_1536: 11 Policies, 20190103_2212: 322 Policies, 20190103_2222: 51 Policies,)</t>
  </si>
  <si>
    <t>Feb_2019</t>
  </si>
  <si>
    <t>Mar_2019</t>
  </si>
  <si>
    <t>Apr_2019</t>
  </si>
  <si>
    <t>May_2019</t>
  </si>
  <si>
    <t>Jun_2019</t>
  </si>
  <si>
    <t>Jul_2019</t>
  </si>
  <si>
    <t>Aug_2019</t>
  </si>
  <si>
    <t>Sep_2019</t>
  </si>
  <si>
    <t>Oct_2019</t>
  </si>
  <si>
    <t>Nov_2019</t>
  </si>
  <si>
    <t>Dec_2019</t>
  </si>
  <si>
    <t>Total: 2461 Policies</t>
  </si>
  <si>
    <t>Vuong Quoc Trieu</t>
  </si>
  <si>
    <t>Total: 2722 Policies</t>
  </si>
  <si>
    <t>Annual Statement 2019: Printing</t>
  </si>
  <si>
    <t>Annual Statement 2019: Auto insert</t>
  </si>
  <si>
    <t>Total: 1954 Policies</t>
  </si>
  <si>
    <t>Nguyen Thi Hai Yen</t>
  </si>
  <si>
    <t>Tran Kim Thuong</t>
  </si>
  <si>
    <t>Total: 2895 Policies</t>
  </si>
  <si>
    <t>Total: 3376 Policies</t>
  </si>
  <si>
    <t>Total: 2826 Policies</t>
  </si>
  <si>
    <t>Total: 3128 Policies</t>
  </si>
  <si>
    <t>Status</t>
  </si>
  <si>
    <t>Working</t>
  </si>
  <si>
    <t>Resignation</t>
  </si>
  <si>
    <t>Total: 2901 Policies</t>
  </si>
  <si>
    <t>Total: 3586 Policies</t>
  </si>
  <si>
    <t>Total: 3260 Policies</t>
  </si>
  <si>
    <t>Total: 2946 Policies</t>
  </si>
  <si>
    <t>Total: 2937 Policies</t>
  </si>
  <si>
    <t>Trinh Kim Toan</t>
  </si>
  <si>
    <t>Tran Tan Thinh</t>
  </si>
  <si>
    <t>Year</t>
  </si>
  <si>
    <t>Sourcefile</t>
  </si>
  <si>
    <t>D:\Print Room Issues\FXV_Overtime Payment\FXV_OT Hours_2018.xlsm</t>
  </si>
  <si>
    <t>Destinationfile</t>
  </si>
  <si>
    <t>D:\Print Room Issues\FXV_Overtime Payment\FXV_Meal Allowance Report.xlsm</t>
  </si>
  <si>
    <t>Total: 2696 Policies</t>
  </si>
  <si>
    <t>Total: 2778 Policies</t>
  </si>
  <si>
    <t>Total: 2713 Policies</t>
  </si>
  <si>
    <t>Total: 2666 Policies</t>
  </si>
  <si>
    <t>Total: 2915 Policies ( 20190704_1437: Total Pol Policies,)</t>
  </si>
  <si>
    <t>Total: 2617 Policies</t>
  </si>
  <si>
    <t>Total: 2284 Policies</t>
  </si>
  <si>
    <t>Total: 2640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</si>
</sst>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h:mm;@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2"/>
      <color theme="0"/>
      <name val="Times New Roman"/>
      <family val="1"/>
    </font>
    <font>
      <sz val="11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4C6E7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43" fontId="2" fillId="0" borderId="0" applyFont="0" applyFill="0" applyBorder="0" applyAlignment="0" applyProtection="0"/>
    <xf numFmtId="0" fontId="5" fillId="0" borderId="0"/>
    <xf numFmtId="43" fontId="2" fillId="0" borderId="0" applyFont="0" applyFill="0" applyBorder="0" applyAlignment="0" applyProtection="0"/>
  </cellStyleXfs>
  <cellXfs count="67">
    <xf numFmtId="0" fontId="0" fillId="0" borderId="0" xfId="0"/>
    <xf numFmtId="0" fontId="3" fillId="3" borderId="1" xfId="0" applyFont="1" applyFill="1" applyBorder="1" applyAlignment="1">
      <alignment vertical="center"/>
    </xf>
    <xf numFmtId="0" fontId="3" fillId="0" borderId="1" xfId="0" applyFont="1" applyBorder="1"/>
    <xf numFmtId="14" fontId="4" fillId="0" borderId="1" xfId="0" applyNumberFormat="1" applyFont="1" applyBorder="1" applyAlignment="1">
      <alignment horizontal="center" vertical="center"/>
    </xf>
    <xf numFmtId="0" fontId="4" fillId="0" borderId="0" xfId="0" applyFont="1"/>
    <xf numFmtId="165" fontId="3" fillId="0" borderId="1" xfId="2" applyNumberFormat="1" applyFont="1" applyFill="1" applyBorder="1" applyAlignment="1">
      <alignment vertical="center"/>
    </xf>
    <xf numFmtId="2" fontId="4" fillId="0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164" fontId="4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14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/>
    <xf numFmtId="165" fontId="4" fillId="0" borderId="1" xfId="4" applyNumberFormat="1" applyFont="1" applyBorder="1"/>
    <xf numFmtId="0" fontId="7" fillId="0" borderId="0" xfId="0" applyFont="1"/>
    <xf numFmtId="0" fontId="3" fillId="0" borderId="1" xfId="0" applyFont="1" applyFill="1" applyBorder="1"/>
    <xf numFmtId="0" fontId="8" fillId="0" borderId="1" xfId="0" applyFont="1" applyFill="1" applyBorder="1"/>
    <xf numFmtId="14" fontId="8" fillId="5" borderId="1" xfId="0" applyNumberFormat="1" applyFont="1" applyFill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center" vertical="center"/>
    </xf>
    <xf numFmtId="164" fontId="8" fillId="5" borderId="1" xfId="0" applyNumberFormat="1" applyFont="1" applyFill="1" applyBorder="1" applyAlignment="1">
      <alignment horizontal="center" vertical="center"/>
    </xf>
    <xf numFmtId="2" fontId="8" fillId="0" borderId="1" xfId="0" applyNumberFormat="1" applyFont="1" applyFill="1" applyBorder="1" applyAlignment="1">
      <alignment horizontal="center" vertical="center"/>
    </xf>
    <xf numFmtId="164" fontId="8" fillId="5" borderId="1" xfId="0" applyNumberFormat="1" applyFont="1" applyFill="1" applyBorder="1" applyAlignment="1">
      <alignment vertical="center"/>
    </xf>
    <xf numFmtId="164" fontId="8" fillId="5" borderId="1" xfId="0" applyNumberFormat="1" applyFont="1" applyFill="1" applyBorder="1" applyAlignment="1">
      <alignment horizontal="left" vertical="center"/>
    </xf>
    <xf numFmtId="164" fontId="8" fillId="5" borderId="1" xfId="0" applyNumberFormat="1" applyFont="1" applyFill="1" applyBorder="1" applyAlignment="1">
      <alignment vertical="top"/>
    </xf>
    <xf numFmtId="14" fontId="8" fillId="6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left"/>
    </xf>
    <xf numFmtId="0" fontId="3" fillId="0" borderId="1" xfId="0" applyFont="1" applyBorder="1" applyAlignment="1">
      <alignment vertical="center"/>
    </xf>
    <xf numFmtId="164" fontId="4" fillId="0" borderId="1" xfId="0" applyNumberFormat="1" applyFont="1" applyFill="1" applyBorder="1"/>
    <xf numFmtId="164" fontId="4" fillId="0" borderId="1" xfId="0" applyNumberFormat="1" applyFont="1" applyFill="1" applyBorder="1" applyAlignment="1">
      <alignment vertical="center"/>
    </xf>
    <xf numFmtId="39" fontId="3" fillId="0" borderId="1" xfId="2" applyNumberFormat="1" applyFont="1" applyFill="1" applyBorder="1" applyAlignment="1">
      <alignment horizontal="center" vertical="center"/>
    </xf>
    <xf numFmtId="165" fontId="3" fillId="0" borderId="1" xfId="2" applyNumberFormat="1" applyFont="1" applyFill="1" applyBorder="1" applyAlignment="1">
      <alignment horizontal="left" vertical="center"/>
    </xf>
    <xf numFmtId="1" fontId="4" fillId="0" borderId="1" xfId="0" applyNumberFormat="1" applyFont="1" applyFill="1" applyBorder="1" applyAlignment="1">
      <alignment horizontal="left" vertical="center" wrapText="1"/>
    </xf>
    <xf numFmtId="165" fontId="3" fillId="0" borderId="1" xfId="2" applyNumberFormat="1" applyFont="1" applyFill="1" applyBorder="1"/>
    <xf numFmtId="165" fontId="3" fillId="0" borderId="1" xfId="2" applyNumberFormat="1" applyFont="1" applyFill="1" applyBorder="1" applyAlignment="1">
      <alignment horizontal="left"/>
    </xf>
    <xf numFmtId="1" fontId="4" fillId="0" borderId="1" xfId="0" applyNumberFormat="1" applyFont="1" applyFill="1" applyBorder="1" applyAlignment="1">
      <alignment horizontal="left"/>
    </xf>
    <xf numFmtId="0" fontId="9" fillId="0" borderId="1" xfId="0" applyFont="1" applyBorder="1"/>
    <xf numFmtId="39" fontId="3" fillId="0" borderId="1" xfId="4" applyNumberFormat="1" applyFont="1" applyFill="1" applyBorder="1" applyAlignment="1">
      <alignment horizontal="center" vertical="center"/>
    </xf>
    <xf numFmtId="165" fontId="3" fillId="0" borderId="1" xfId="4" applyNumberFormat="1" applyFont="1" applyFill="1" applyBorder="1"/>
    <xf numFmtId="165" fontId="3" fillId="0" borderId="1" xfId="4" applyNumberFormat="1" applyFont="1" applyFill="1" applyBorder="1" applyAlignment="1">
      <alignment horizontal="left"/>
    </xf>
    <xf numFmtId="2" fontId="4" fillId="0" borderId="1" xfId="0" applyNumberFormat="1" applyFont="1" applyFill="1" applyBorder="1" applyAlignment="1">
      <alignment horizontal="left"/>
    </xf>
    <xf numFmtId="164" fontId="4" fillId="0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39" fontId="3" fillId="0" borderId="1" xfId="2" applyNumberFormat="1" applyFont="1" applyFill="1" applyBorder="1" applyAlignment="1">
      <alignment horizontal="center"/>
    </xf>
    <xf numFmtId="2" fontId="4" fillId="7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left"/>
    </xf>
    <xf numFmtId="164" fontId="4" fillId="2" borderId="1" xfId="0" applyNumberFormat="1" applyFont="1" applyFill="1" applyBorder="1" applyAlignment="1">
      <alignment horizontal="left" vertical="top"/>
    </xf>
    <xf numFmtId="164" fontId="4" fillId="2" borderId="1" xfId="0" applyNumberFormat="1" applyFont="1" applyFill="1" applyBorder="1" applyAlignment="1">
      <alignment horizontal="left" vertical="center"/>
    </xf>
    <xf numFmtId="164" fontId="4" fillId="8" borderId="1" xfId="0" applyNumberFormat="1" applyFont="1" applyFill="1" applyBorder="1" applyAlignment="1">
      <alignment horizontal="left" vertical="top"/>
    </xf>
    <xf numFmtId="164" fontId="4" fillId="8" borderId="1" xfId="0" applyNumberFormat="1" applyFont="1" applyFill="1" applyBorder="1" applyAlignment="1">
      <alignment horizontal="left" vertical="center"/>
    </xf>
    <xf numFmtId="0" fontId="7" fillId="0" borderId="1" xfId="0" applyFont="1" applyBorder="1"/>
    <xf numFmtId="0" fontId="4" fillId="7" borderId="1" xfId="0" applyFont="1" applyFill="1" applyBorder="1"/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1" fontId="4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/>
    </xf>
    <xf numFmtId="0" fontId="3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vertical="center" wrapText="1"/>
    </xf>
    <xf numFmtId="2" fontId="3" fillId="9" borderId="1" xfId="0" applyNumberFormat="1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/>
    </xf>
  </cellXfs>
  <cellStyles count="5">
    <cellStyle name="Comma" xfId="4" builtinId="3"/>
    <cellStyle name="Comma 2" xfId="2"/>
    <cellStyle name="Normal" xfId="0" builtinId="0"/>
    <cellStyle name="Normal 2" xfId="1"/>
    <cellStyle name="Normal 2 2" xfId="3"/>
  </cellStyles>
  <dxfs count="21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Medium9"/>
  <colors>
    <mruColors>
      <color rgb="FF15E6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364434</xdr:colOff>
      <xdr:row>0</xdr:row>
      <xdr:rowOff>149087</xdr:rowOff>
    </xdr:from>
    <xdr:to>
      <xdr:col>4</xdr:col>
      <xdr:colOff>314739</xdr:colOff>
      <xdr:row>2</xdr:row>
      <xdr:rowOff>66261</xdr:rowOff>
    </xdr:to>
    <xdr:sp macro="[0]!UpdateLatestAllowance" textlink="">
      <xdr:nvSpPr>
        <xdr:cNvPr id="2" name="Rectangle 1">
          <a:extLst>
            <a:ext uri="{FF2B5EF4-FFF2-40B4-BE49-F238E27FC236}">
              <a16:creationId xmlns="" xmlns:a16="http://schemas.microsoft.com/office/drawing/2014/main" id="{E44F39AE-9AEB-4FA6-8362-93C9F28D5A6F}"/>
            </a:ext>
          </a:extLst>
        </xdr:cNvPr>
        <xdr:cNvSpPr/>
      </xdr:nvSpPr>
      <xdr:spPr>
        <a:xfrm>
          <a:off x="3503543" y="149087"/>
          <a:ext cx="819979" cy="298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280147</xdr:colOff>
      <xdr:row>1448</xdr:row>
      <xdr:rowOff>168088</xdr:rowOff>
    </xdr:from>
    <xdr:to>
      <xdr:col>5</xdr:col>
      <xdr:colOff>201706</xdr:colOff>
      <xdr:row>1450</xdr:row>
      <xdr:rowOff>67235</xdr:rowOff>
    </xdr:to>
    <xdr:sp macro="[0]!Macro2" textlink="">
      <xdr:nvSpPr>
        <xdr:cNvPr id="2" name="Rectangle 1">
          <a:extLst>
            <a:ext uri="{FF2B5EF4-FFF2-40B4-BE49-F238E27FC236}">
              <a16:creationId xmlns="" xmlns:a16="http://schemas.microsoft.com/office/drawing/2014/main" id="{9EB901EF-F75D-4569-94DC-7A9C803D41CB}"/>
            </a:ext>
          </a:extLst>
        </xdr:cNvPr>
        <xdr:cNvSpPr/>
      </xdr:nvSpPr>
      <xdr:spPr>
        <a:xfrm>
          <a:off x="3697941" y="292507147"/>
          <a:ext cx="1131794" cy="2801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nprintroom/Desktop/Print%20Room%20Issues/FXV_Managerial%20Documents/Transactional%20Print%20Jobsheet%20(VER%20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luikokkwang\Desktop\ML%20VN\ManuLife\ML%20Vietnam\Billing\Jun%202016%20Billing\FXV%20Manulife%202016-06%20Billing%20Summary_v2%20(160712%201600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A Report DPLX"/>
      <sheetName val="PP Check Nr"/>
      <sheetName val="QA Report SPLX"/>
      <sheetName val="MLV TransMail Print &amp; Env"/>
      <sheetName val="MLV TransMail Data Proc"/>
      <sheetName val="Envelope Log"/>
      <sheetName val="Printer 1 Log"/>
      <sheetName val="Printer 2 Log"/>
      <sheetName val="Staff Log"/>
      <sheetName val="MLV Transactional Job Sheet RC"/>
    </sheetNames>
    <sheetDataSet>
      <sheetData sheetId="0">
        <row r="14">
          <cell r="Q14" t="str">
            <v>100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-June Comparison"/>
      <sheetName val="May &amp; June Daily Volume"/>
      <sheetName val="COVER"/>
      <sheetName val="Summary"/>
      <sheetName val="Mono Click Charge (Policy)"/>
      <sheetName val="Mono Click Charge (TransMail)"/>
      <sheetName val="Mono Click Charge (CP&amp;A)"/>
      <sheetName val="Overtime"/>
      <sheetName val="Cost&amp;Volu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U3" t="str">
            <v>Dang Minh Phuc (FT)</v>
          </cell>
        </row>
        <row r="4">
          <cell r="U4" t="str">
            <v>Dang Minh Phuc (PT)</v>
          </cell>
        </row>
        <row r="5">
          <cell r="U5" t="str">
            <v>Ma Hong Phuc</v>
          </cell>
        </row>
        <row r="6">
          <cell r="U6" t="str">
            <v>MyLan</v>
          </cell>
        </row>
        <row r="7">
          <cell r="U7" t="str">
            <v>Nguyen Thanh My</v>
          </cell>
        </row>
        <row r="8">
          <cell r="U8" t="str">
            <v>Thao Nguyen</v>
          </cell>
        </row>
        <row r="9">
          <cell r="U9" t="str">
            <v>Tran Thai Thuan</v>
          </cell>
        </row>
        <row r="10">
          <cell r="U10" t="str">
            <v>Truong Thi Minh Trang</v>
          </cell>
        </row>
        <row r="11">
          <cell r="U11" t="str">
            <v>Truong Van Thai</v>
          </cell>
        </row>
        <row r="12">
          <cell r="U12" t="str">
            <v>Vo Thi Thu Hong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2:AR25"/>
  <sheetViews>
    <sheetView showGridLines="0" zoomScaleNormal="100" workbookViewId="0">
      <selection activeCell="AM9" sqref="AM9"/>
    </sheetView>
  </sheetViews>
  <sheetFormatPr defaultRowHeight="15" outlineLevelCol="1" x14ac:dyDescent="0.25"/>
  <cols>
    <col min="1" max="1" width="3.42578125" style="15" bestFit="1" customWidth="1"/>
    <col min="2" max="2" width="19" style="15" bestFit="1" customWidth="1"/>
    <col min="3" max="3" width="24.5703125" style="15" bestFit="1" customWidth="1"/>
    <col min="4" max="4" width="13" style="15" customWidth="1"/>
    <col min="5" max="5" width="13.7109375" style="15" customWidth="1"/>
    <col min="6" max="7" width="11" style="15" hidden="1" customWidth="1" outlineLevel="1"/>
    <col min="8" max="31" width="12.140625" style="15" hidden="1" customWidth="1" outlineLevel="1"/>
    <col min="32" max="32" width="0.28515625" style="15" customWidth="1" outlineLevel="1"/>
    <col min="33" max="44" width="12.140625" style="15" customWidth="1"/>
    <col min="45" max="16384" width="9.140625" style="15"/>
  </cols>
  <sheetData>
    <row r="2" spans="1:44" x14ac:dyDescent="0.25">
      <c r="B2" s="53" t="s">
        <v>89</v>
      </c>
      <c r="C2" s="61" t="s">
        <v>404</v>
      </c>
    </row>
    <row r="3" spans="1:44" x14ac:dyDescent="0.25">
      <c r="B3" s="53" t="s">
        <v>432</v>
      </c>
      <c r="C3" s="61">
        <v>2019</v>
      </c>
    </row>
    <row r="6" spans="1:44" ht="15.75" x14ac:dyDescent="0.25">
      <c r="A6" s="66">
        <v>2016</v>
      </c>
      <c r="B6" s="66"/>
      <c r="C6" s="66"/>
      <c r="D6" s="66"/>
      <c r="E6" s="66"/>
      <c r="F6" s="66"/>
      <c r="G6" s="4">
        <v>25000</v>
      </c>
    </row>
    <row r="7" spans="1:44" ht="15.75" x14ac:dyDescent="0.25">
      <c r="A7" s="1" t="s">
        <v>25</v>
      </c>
      <c r="B7" s="1" t="s">
        <v>1</v>
      </c>
      <c r="C7" s="1" t="s">
        <v>2</v>
      </c>
      <c r="D7" s="1" t="s">
        <v>422</v>
      </c>
      <c r="E7" s="1" t="s">
        <v>104</v>
      </c>
      <c r="F7" s="1" t="s">
        <v>90</v>
      </c>
      <c r="G7" s="1" t="s">
        <v>92</v>
      </c>
      <c r="H7" s="1" t="s">
        <v>93</v>
      </c>
      <c r="I7" s="1" t="s">
        <v>94</v>
      </c>
      <c r="J7" s="1" t="s">
        <v>95</v>
      </c>
      <c r="K7" s="1" t="s">
        <v>96</v>
      </c>
      <c r="L7" s="1" t="s">
        <v>97</v>
      </c>
      <c r="M7" s="1" t="s">
        <v>98</v>
      </c>
      <c r="N7" s="1" t="s">
        <v>99</v>
      </c>
      <c r="O7" s="1" t="s">
        <v>99</v>
      </c>
      <c r="P7" s="1" t="s">
        <v>100</v>
      </c>
      <c r="Q7" s="1" t="s">
        <v>101</v>
      </c>
      <c r="R7" s="1" t="s">
        <v>102</v>
      </c>
      <c r="S7" s="1" t="s">
        <v>91</v>
      </c>
      <c r="T7" s="1" t="s">
        <v>103</v>
      </c>
      <c r="U7" s="1" t="s">
        <v>302</v>
      </c>
      <c r="V7" s="1" t="s">
        <v>303</v>
      </c>
      <c r="W7" s="1" t="s">
        <v>304</v>
      </c>
      <c r="X7" s="1" t="s">
        <v>316</v>
      </c>
      <c r="Y7" s="1" t="s">
        <v>317</v>
      </c>
      <c r="Z7" s="1" t="s">
        <v>318</v>
      </c>
      <c r="AA7" s="1" t="s">
        <v>319</v>
      </c>
      <c r="AB7" s="1" t="s">
        <v>356</v>
      </c>
      <c r="AC7" s="1" t="s">
        <v>357</v>
      </c>
      <c r="AD7" s="1" t="s">
        <v>358</v>
      </c>
      <c r="AE7" s="1" t="s">
        <v>359</v>
      </c>
      <c r="AF7" s="1" t="s">
        <v>360</v>
      </c>
      <c r="AG7" s="1" t="s">
        <v>391</v>
      </c>
      <c r="AH7" s="1" t="s">
        <v>399</v>
      </c>
      <c r="AI7" s="1" t="s">
        <v>400</v>
      </c>
      <c r="AJ7" s="1" t="s">
        <v>401</v>
      </c>
      <c r="AK7" s="1" t="s">
        <v>402</v>
      </c>
      <c r="AL7" s="1" t="s">
        <v>403</v>
      </c>
      <c r="AM7" s="1" t="s">
        <v>404</v>
      </c>
      <c r="AN7" s="1" t="s">
        <v>405</v>
      </c>
      <c r="AO7" s="1" t="s">
        <v>406</v>
      </c>
      <c r="AP7" s="1" t="s">
        <v>407</v>
      </c>
      <c r="AQ7" s="1" t="s">
        <v>408</v>
      </c>
      <c r="AR7" s="1" t="s">
        <v>409</v>
      </c>
    </row>
    <row r="8" spans="1:44" ht="15.75" x14ac:dyDescent="0.25">
      <c r="A8" s="55">
        <v>1</v>
      </c>
      <c r="B8" s="2" t="s">
        <v>0</v>
      </c>
      <c r="C8" s="8" t="s">
        <v>10</v>
      </c>
      <c r="D8" s="8" t="s">
        <v>423</v>
      </c>
      <c r="E8" s="56">
        <f>SUM(F8:BA8)</f>
        <v>4200000</v>
      </c>
      <c r="F8" s="14">
        <f>SUMIFS(AllData!$L:$L,AllData!$M:$M,Summary!F$7,AllData!$B:$B,Summary!$C8)*$G$6</f>
        <v>0</v>
      </c>
      <c r="G8" s="14">
        <f>SUMIFS(AllData!$L:$L,AllData!$M:$M,Summary!G$7,AllData!$B:$B,Summary!$C8)*$G$6</f>
        <v>0</v>
      </c>
      <c r="H8" s="14">
        <f>SUMIFS(AllData!$L:$L,AllData!$M:$M,Summary!H$7,AllData!$B:$B,Summary!$C8)*$G$6</f>
        <v>175000</v>
      </c>
      <c r="I8" s="14">
        <f>SUMIFS(AllData!$L:$L,AllData!$M:$M,Summary!I$7,AllData!$B:$B,Summary!$C8)*$G$6</f>
        <v>175000</v>
      </c>
      <c r="J8" s="14">
        <f>SUMIFS(AllData!$L:$L,AllData!$M:$M,Summary!J$7,AllData!$B:$B,Summary!$C8)*$G$6</f>
        <v>225000</v>
      </c>
      <c r="K8" s="14">
        <f>SUMIFS(AllData!$L:$L,AllData!$M:$M,Summary!K$7,AllData!$B:$B,Summary!$C8)*$G$6</f>
        <v>275000</v>
      </c>
      <c r="L8" s="14">
        <f>SUMIFS(AllData!$L:$L,AllData!$M:$M,Summary!L$7,AllData!$B:$B,Summary!$C8)*$G$6</f>
        <v>125000</v>
      </c>
      <c r="M8" s="14">
        <f>SUMIFS(AllData!$L:$L,AllData!$M:$M,Summary!M$7,AllData!$B:$B,Summary!$C8)*$G$6</f>
        <v>200000</v>
      </c>
      <c r="N8" s="14">
        <f>SUMIFS(AllData!$L:$L,AllData!$M:$M,Summary!N$7,AllData!$B:$B,Summary!$C8)*$G$6</f>
        <v>300000</v>
      </c>
      <c r="O8" s="14">
        <f>SUMIFS(AllData!$L:$L,AllData!$M:$M,Summary!O$7,AllData!$B:$B,Summary!$C8)*$G$6</f>
        <v>300000</v>
      </c>
      <c r="P8" s="14">
        <f>SUMIFS(AllData!$L:$L,AllData!$M:$M,Summary!P$7,AllData!$B:$B,Summary!$C8)*$G$6</f>
        <v>250000</v>
      </c>
      <c r="Q8" s="14">
        <f>SUMIFS(AllData!$L:$L,AllData!$M:$M,Summary!Q$7,AllData!$B:$B,Summary!$C8)*$G$6</f>
        <v>200000</v>
      </c>
      <c r="R8" s="14">
        <f>SUMIFS(AllData!$L:$L,AllData!$M:$M,Summary!R$7,AllData!$B:$B,Summary!$C8)*$G$6</f>
        <v>175000</v>
      </c>
      <c r="S8" s="14">
        <f>SUMIFS(AllData!$L:$L,AllData!$M:$M,Summary!S$7,AllData!$B:$B,Summary!$C8)*$G$6</f>
        <v>200000</v>
      </c>
      <c r="T8" s="14">
        <f>SUMIFS(AllData!$L:$L,AllData!$M:$M,Summary!T$7,AllData!$B:$B,Summary!$C8)*$G$6</f>
        <v>175000</v>
      </c>
      <c r="U8" s="14">
        <f>SUMIFS(AllData!$L:$L,AllData!$M:$M,Summary!U$7,AllData!$B:$B,Summary!$C8)*$G$6</f>
        <v>100000</v>
      </c>
      <c r="V8" s="14">
        <f>SUMIFS(AllData!$L:$L,AllData!$M:$M,Summary!V$7,AllData!$B:$B,Summary!$C8)*$G$6</f>
        <v>75000</v>
      </c>
      <c r="W8" s="14">
        <f>SUMIFS(AllData!$L:$L,AllData!$M:$M,Summary!W$7,AllData!$B:$B,Summary!$C8)*$G$6</f>
        <v>250000</v>
      </c>
      <c r="X8" s="14">
        <f>SUMIFS(AllData!$L:$L,AllData!$M:$M,Summary!X$7,AllData!$B:$B,Summary!$C8)*$G$6</f>
        <v>200000</v>
      </c>
      <c r="Y8" s="14">
        <f>SUMIFS(AllData!$L:$L,AllData!$M:$M,Summary!Y$7,AllData!$B:$B,Summary!$C8)*$G$6</f>
        <v>250000</v>
      </c>
      <c r="Z8" s="14">
        <f>SUMIFS(AllData!$L:$L,AllData!$M:$M,Summary!Z$7,AllData!$B:$B,Summary!$C8)*$G$6</f>
        <v>300000</v>
      </c>
      <c r="AA8" s="14">
        <f>SUMIFS(AllData!$L:$L,AllData!$M:$M,Summary!AA$7,AllData!$B:$B,Summary!$C8)*$G$6</f>
        <v>0</v>
      </c>
      <c r="AB8" s="14">
        <f>SUMIFS(AllData!$L:$L,AllData!$M:$M,Summary!AB$7,AllData!$B:$B,Summary!$C8)*$G$6</f>
        <v>0</v>
      </c>
      <c r="AC8" s="14">
        <f>SUMIFS(AllData!$L:$L,AllData!$M:$M,Summary!AC$7,AllData!$B:$B,Summary!$C8)*$G$6</f>
        <v>0</v>
      </c>
      <c r="AD8" s="14">
        <f>SUMIFS(AllData!$L:$L,AllData!$M:$M,Summary!AD$7,AllData!$B:$B,Summary!$C8)*$G$6</f>
        <v>0</v>
      </c>
      <c r="AE8" s="14">
        <f>SUMIFS(AllData!$L:$L,AllData!$M:$M,Summary!AE$7,AllData!$B:$B,Summary!$C8)*$G$6</f>
        <v>0</v>
      </c>
      <c r="AF8" s="14">
        <f>SUMIFS(AllData!$L:$L,AllData!$M:$M,Summary!AF$7,AllData!$B:$B,Summary!$C8)*$G$6</f>
        <v>0</v>
      </c>
      <c r="AG8" s="14">
        <f>SUMIFS(AllData!$L:$L,AllData!$M:$M,Summary!AG$7,AllData!$B:$B,Summary!$C8)*$G$6</f>
        <v>125000</v>
      </c>
      <c r="AH8" s="14">
        <f>SUMIFS(AllData!$L:$L,AllData!$M:$M,Summary!AH$7,AllData!$B:$B,Summary!$C8)*$G$6</f>
        <v>25000</v>
      </c>
      <c r="AI8" s="14">
        <f>SUMIFS(AllData!$L:$L,AllData!$M:$M,Summary!AI$7,AllData!$B:$B,Summary!$C8)*$G$6</f>
        <v>100000</v>
      </c>
      <c r="AJ8" s="14">
        <f>SUMIFS(AllData!$L:$L,AllData!$M:$M,Summary!AJ$7,AllData!$B:$B,Summary!$C8)*$G$6</f>
        <v>0</v>
      </c>
      <c r="AK8" s="14">
        <f>SUMIFS(AllData!$L:$L,AllData!$M:$M,Summary!AK$7,AllData!$B:$B,Summary!$C8)*$G$6</f>
        <v>0</v>
      </c>
      <c r="AL8" s="14">
        <f>SUMIFS(AllData!$L:$L,AllData!$M:$M,Summary!AL$7,AllData!$B:$B,Summary!$C8)*$G$6</f>
        <v>0</v>
      </c>
      <c r="AM8" s="14">
        <f>SUMIFS(AllData!$L:$L,AllData!$M:$M,Summary!AM$7,AllData!$B:$B,Summary!$C8)*$G$6</f>
        <v>0</v>
      </c>
      <c r="AN8" s="14">
        <f>SUMIFS(AllData!$L:$L,AllData!$M:$M,Summary!AN$7,AllData!$B:$B,Summary!$C8)*$G$6</f>
        <v>0</v>
      </c>
      <c r="AO8" s="14">
        <f>SUMIFS(AllData!$L:$L,AllData!$M:$M,Summary!AO$7,AllData!$B:$B,Summary!$C8)*$G$6</f>
        <v>0</v>
      </c>
      <c r="AP8" s="14">
        <f>SUMIFS(AllData!$L:$L,AllData!$M:$M,Summary!AP$7,AllData!$B:$B,Summary!$C8)*$G$6</f>
        <v>0</v>
      </c>
      <c r="AQ8" s="53"/>
      <c r="AR8" s="53"/>
    </row>
    <row r="9" spans="1:44" ht="15.75" x14ac:dyDescent="0.25">
      <c r="A9" s="55">
        <v>2</v>
      </c>
      <c r="B9" s="2" t="s">
        <v>0</v>
      </c>
      <c r="C9" s="8" t="s">
        <v>431</v>
      </c>
      <c r="D9" s="8" t="s">
        <v>423</v>
      </c>
      <c r="E9" s="56">
        <f t="shared" ref="E9" si="0">SUM(F9:BA9)</f>
        <v>200000</v>
      </c>
      <c r="F9" s="14">
        <f>SUMIFS(AllData!$L:$L,AllData!$M:$M,Summary!F$7,AllData!$B:$B,Summary!$C9)*$G$6</f>
        <v>0</v>
      </c>
      <c r="G9" s="14">
        <f>SUMIFS(AllData!$L:$L,AllData!$M:$M,Summary!G$7,AllData!$B:$B,Summary!$C9)*$G$6</f>
        <v>0</v>
      </c>
      <c r="H9" s="14">
        <f>SUMIFS(AllData!$L:$L,AllData!$M:$M,Summary!H$7,AllData!$B:$B,Summary!$C9)*$G$6</f>
        <v>0</v>
      </c>
      <c r="I9" s="14">
        <f>SUMIFS(AllData!$L:$L,AllData!$M:$M,Summary!I$7,AllData!$B:$B,Summary!$C9)*$G$6</f>
        <v>0</v>
      </c>
      <c r="J9" s="14">
        <f>SUMIFS(AllData!$L:$L,AllData!$M:$M,Summary!J$7,AllData!$B:$B,Summary!$C9)*$G$6</f>
        <v>0</v>
      </c>
      <c r="K9" s="14">
        <f>SUMIFS(AllData!$L:$L,AllData!$M:$M,Summary!K$7,AllData!$B:$B,Summary!$C9)*$G$6</f>
        <v>0</v>
      </c>
      <c r="L9" s="14">
        <f>SUMIFS(AllData!$L:$L,AllData!$M:$M,Summary!L$7,AllData!$B:$B,Summary!$C9)*$G$6</f>
        <v>0</v>
      </c>
      <c r="M9" s="14">
        <f>SUMIFS(AllData!$L:$L,AllData!$M:$M,Summary!M$7,AllData!$B:$B,Summary!$C9)*$G$6</f>
        <v>0</v>
      </c>
      <c r="N9" s="14">
        <f>SUMIFS(AllData!$L:$L,AllData!$M:$M,Summary!N$7,AllData!$B:$B,Summary!$C9)*$G$6</f>
        <v>0</v>
      </c>
      <c r="O9" s="14">
        <f>SUMIFS(AllData!$L:$L,AllData!$M:$M,Summary!O$7,AllData!$B:$B,Summary!$C9)*$G$6</f>
        <v>0</v>
      </c>
      <c r="P9" s="14">
        <f>SUMIFS(AllData!$L:$L,AllData!$M:$M,Summary!P$7,AllData!$B:$B,Summary!$C9)*$G$6</f>
        <v>0</v>
      </c>
      <c r="Q9" s="14">
        <f>SUMIFS(AllData!$L:$L,AllData!$M:$M,Summary!Q$7,AllData!$B:$B,Summary!$C9)*$G$6</f>
        <v>0</v>
      </c>
      <c r="R9" s="14">
        <f>SUMIFS(AllData!$L:$L,AllData!$M:$M,Summary!R$7,AllData!$B:$B,Summary!$C9)*$G$6</f>
        <v>0</v>
      </c>
      <c r="S9" s="14">
        <f>SUMIFS(AllData!$L:$L,AllData!$M:$M,Summary!S$7,AllData!$B:$B,Summary!$C9)*$G$6</f>
        <v>0</v>
      </c>
      <c r="T9" s="14">
        <f>SUMIFS(AllData!$L:$L,AllData!$M:$M,Summary!T$7,AllData!$B:$B,Summary!$C9)*$G$6</f>
        <v>0</v>
      </c>
      <c r="U9" s="14">
        <f>SUMIFS(AllData!$L:$L,AllData!$M:$M,Summary!U$7,AllData!$B:$B,Summary!$C9)*$G$6</f>
        <v>0</v>
      </c>
      <c r="V9" s="14">
        <f>SUMIFS(AllData!$L:$L,AllData!$M:$M,Summary!V$7,AllData!$B:$B,Summary!$C9)*$G$6</f>
        <v>0</v>
      </c>
      <c r="W9" s="14">
        <f>SUMIFS(AllData!$L:$L,AllData!$M:$M,Summary!W$7,AllData!$B:$B,Summary!$C9)*$G$6</f>
        <v>0</v>
      </c>
      <c r="X9" s="14">
        <f>SUMIFS(AllData!$L:$L,AllData!$M:$M,Summary!X$7,AllData!$B:$B,Summary!$C9)*$G$6</f>
        <v>0</v>
      </c>
      <c r="Y9" s="14">
        <f>SUMIFS(AllData!$L:$L,AllData!$M:$M,Summary!Y$7,AllData!$B:$B,Summary!$C9)*$G$6</f>
        <v>0</v>
      </c>
      <c r="Z9" s="14">
        <f>SUMIFS(AllData!$L:$L,AllData!$M:$M,Summary!Z$7,AllData!$B:$B,Summary!$C9)*$G$6</f>
        <v>0</v>
      </c>
      <c r="AA9" s="14">
        <f>SUMIFS(AllData!$L:$L,AllData!$M:$M,Summary!AA$7,AllData!$B:$B,Summary!$C9)*$G$6</f>
        <v>0</v>
      </c>
      <c r="AB9" s="14">
        <f>SUMIFS(AllData!$L:$L,AllData!$M:$M,Summary!AB$7,AllData!$B:$B,Summary!$C9)*$G$6</f>
        <v>0</v>
      </c>
      <c r="AC9" s="14">
        <f>SUMIFS(AllData!$L:$L,AllData!$M:$M,Summary!AC$7,AllData!$B:$B,Summary!$C9)*$G$6</f>
        <v>0</v>
      </c>
      <c r="AD9" s="14">
        <f>SUMIFS(AllData!$L:$L,AllData!$M:$M,Summary!AD$7,AllData!$B:$B,Summary!$C9)*$G$6</f>
        <v>0</v>
      </c>
      <c r="AE9" s="14">
        <f>SUMIFS(AllData!$L:$L,AllData!$M:$M,Summary!AE$7,AllData!$B:$B,Summary!$C9)*$G$6</f>
        <v>0</v>
      </c>
      <c r="AF9" s="14">
        <f>SUMIFS(AllData!$L:$L,AllData!$M:$M,Summary!AF$7,AllData!$B:$B,Summary!$C9)*$G$6</f>
        <v>0</v>
      </c>
      <c r="AG9" s="14">
        <f>SUMIFS(AllData!$L:$L,AllData!$M:$M,Summary!AG$7,AllData!$B:$B,Summary!$C9)*$G$6</f>
        <v>0</v>
      </c>
      <c r="AH9" s="14">
        <f>SUMIFS(AllData!$L:$L,AllData!$M:$M,Summary!AH$7,AllData!$B:$B,Summary!$C9)*$G$6</f>
        <v>0</v>
      </c>
      <c r="AI9" s="14">
        <f>SUMIFS(AllData!$L:$L,AllData!$M:$M,Summary!AI$7,AllData!$B:$B,Summary!$C9)*$G$6</f>
        <v>0</v>
      </c>
      <c r="AJ9" s="14">
        <f>SUMIFS(AllData!$L:$L,AllData!$M:$M,Summary!AJ$7,AllData!$B:$B,Summary!$C9)*$G$6</f>
        <v>0</v>
      </c>
      <c r="AK9" s="14">
        <f>SUMIFS(AllData!$L:$L,AllData!$M:$M,Summary!AK$7,AllData!$B:$B,Summary!$C9)*$G$6</f>
        <v>0</v>
      </c>
      <c r="AL9" s="14">
        <f>SUMIFS(AllData!$L:$L,AllData!$M:$M,Summary!AL$7,AllData!$B:$B,Summary!$C9)*$G$6</f>
        <v>0</v>
      </c>
      <c r="AM9" s="14">
        <f>SUMIFS(AllData!$L:$L,AllData!$M:$M,Summary!AM$7,AllData!$B:$B,Summary!$C9)*$G$6</f>
        <v>125000</v>
      </c>
      <c r="AN9" s="14">
        <f>SUMIFS(AllData!$L:$L,AllData!$M:$M,Summary!AN$7,AllData!$B:$B,Summary!$C9)*$G$6</f>
        <v>75000</v>
      </c>
      <c r="AO9" s="14">
        <f>SUMIFS(AllData!$L:$L,AllData!$M:$M,Summary!AO$7,AllData!$B:$B,Summary!$C9)*$G$6</f>
        <v>0</v>
      </c>
      <c r="AP9" s="14">
        <f>SUMIFS(AllData!$L:$L,AllData!$M:$M,Summary!AP$7,AllData!$B:$B,Summary!$C9)*$G$6</f>
        <v>0</v>
      </c>
      <c r="AQ9" s="53"/>
      <c r="AR9" s="53"/>
    </row>
    <row r="10" spans="1:44" ht="15.75" x14ac:dyDescent="0.25">
      <c r="A10" s="55">
        <v>2</v>
      </c>
      <c r="B10" s="2" t="s">
        <v>0</v>
      </c>
      <c r="C10" s="8" t="s">
        <v>12</v>
      </c>
      <c r="D10" s="8" t="s">
        <v>423</v>
      </c>
      <c r="E10" s="56">
        <f t="shared" ref="E10:E25" si="1">SUM(F10:BA10)</f>
        <v>4375000</v>
      </c>
      <c r="F10" s="14">
        <f>SUMIFS(AllData!$L:$L,AllData!$M:$M,Summary!F$7,AllData!$B:$B,Summary!$C10)*$G$6</f>
        <v>0</v>
      </c>
      <c r="G10" s="14">
        <f>SUMIFS(AllData!$L:$L,AllData!$M:$M,Summary!G$7,AllData!$B:$B,Summary!$C10)*$G$6</f>
        <v>0</v>
      </c>
      <c r="H10" s="14">
        <f>SUMIFS(AllData!$L:$L,AllData!$M:$M,Summary!H$7,AllData!$B:$B,Summary!$C10)*$G$6</f>
        <v>50000</v>
      </c>
      <c r="I10" s="14">
        <f>SUMIFS(AllData!$L:$L,AllData!$M:$M,Summary!I$7,AllData!$B:$B,Summary!$C10)*$G$6</f>
        <v>175000</v>
      </c>
      <c r="J10" s="14">
        <f>SUMIFS(AllData!$L:$L,AllData!$M:$M,Summary!J$7,AllData!$B:$B,Summary!$C10)*$G$6</f>
        <v>275000</v>
      </c>
      <c r="K10" s="14">
        <f>SUMIFS(AllData!$L:$L,AllData!$M:$M,Summary!K$7,AllData!$B:$B,Summary!$C10)*$G$6</f>
        <v>225000</v>
      </c>
      <c r="L10" s="14">
        <f>SUMIFS(AllData!$L:$L,AllData!$M:$M,Summary!L$7,AllData!$B:$B,Summary!$C10)*$G$6</f>
        <v>100000</v>
      </c>
      <c r="M10" s="14">
        <f>SUMIFS(AllData!$L:$L,AllData!$M:$M,Summary!M$7,AllData!$B:$B,Summary!$C10)*$G$6</f>
        <v>150000</v>
      </c>
      <c r="N10" s="14">
        <f>SUMIFS(AllData!$L:$L,AllData!$M:$M,Summary!N$7,AllData!$B:$B,Summary!$C10)*$G$6</f>
        <v>250000</v>
      </c>
      <c r="O10" s="14">
        <f>SUMIFS(AllData!$L:$L,AllData!$M:$M,Summary!O$7,AllData!$B:$B,Summary!$C10)*$G$6</f>
        <v>250000</v>
      </c>
      <c r="P10" s="14">
        <f>SUMIFS(AllData!$L:$L,AllData!$M:$M,Summary!P$7,AllData!$B:$B,Summary!$C10)*$G$6</f>
        <v>200000</v>
      </c>
      <c r="Q10" s="14">
        <f>SUMIFS(AllData!$L:$L,AllData!$M:$M,Summary!Q$7,AllData!$B:$B,Summary!$C10)*$G$6</f>
        <v>200000</v>
      </c>
      <c r="R10" s="14">
        <f>SUMIFS(AllData!$L:$L,AllData!$M:$M,Summary!R$7,AllData!$B:$B,Summary!$C10)*$G$6</f>
        <v>175000</v>
      </c>
      <c r="S10" s="14">
        <f>SUMIFS(AllData!$L:$L,AllData!$M:$M,Summary!S$7,AllData!$B:$B,Summary!$C10)*$G$6</f>
        <v>150000</v>
      </c>
      <c r="T10" s="14">
        <f>SUMIFS(AllData!$L:$L,AllData!$M:$M,Summary!T$7,AllData!$B:$B,Summary!$C10)*$G$6</f>
        <v>175000</v>
      </c>
      <c r="U10" s="14">
        <f>SUMIFS(AllData!$L:$L,AllData!$M:$M,Summary!U$7,AllData!$B:$B,Summary!$C10)*$G$6</f>
        <v>125000</v>
      </c>
      <c r="V10" s="14">
        <f>SUMIFS(AllData!$L:$L,AllData!$M:$M,Summary!V$7,AllData!$B:$B,Summary!$C10)*$G$6</f>
        <v>100000</v>
      </c>
      <c r="W10" s="14">
        <f>SUMIFS(AllData!$L:$L,AllData!$M:$M,Summary!W$7,AllData!$B:$B,Summary!$C10)*$G$6</f>
        <v>375000</v>
      </c>
      <c r="X10" s="14">
        <f>SUMIFS(AllData!$L:$L,AllData!$M:$M,Summary!X$7,AllData!$B:$B,Summary!$C10)*$G$6</f>
        <v>150000</v>
      </c>
      <c r="Y10" s="14">
        <f>SUMIFS(AllData!$L:$L,AllData!$M:$M,Summary!Y$7,AllData!$B:$B,Summary!$C10)*$G$6</f>
        <v>225000</v>
      </c>
      <c r="Z10" s="14">
        <f>SUMIFS(AllData!$L:$L,AllData!$M:$M,Summary!Z$7,AllData!$B:$B,Summary!$C10)*$G$6</f>
        <v>225000</v>
      </c>
      <c r="AA10" s="14">
        <f>SUMIFS(AllData!$L:$L,AllData!$M:$M,Summary!AA$7,AllData!$B:$B,Summary!$C10)*$G$6</f>
        <v>0</v>
      </c>
      <c r="AB10" s="14">
        <f>SUMIFS(AllData!$L:$L,AllData!$M:$M,Summary!AB$7,AllData!$B:$B,Summary!$C10)*$G$6</f>
        <v>0</v>
      </c>
      <c r="AC10" s="14">
        <f>SUMIFS(AllData!$L:$L,AllData!$M:$M,Summary!AC$7,AllData!$B:$B,Summary!$C10)*$G$6</f>
        <v>0</v>
      </c>
      <c r="AD10" s="14">
        <f>SUMIFS(AllData!$L:$L,AllData!$M:$M,Summary!AD$7,AllData!$B:$B,Summary!$C10)*$G$6</f>
        <v>0</v>
      </c>
      <c r="AE10" s="14">
        <f>SUMIFS(AllData!$L:$L,AllData!$M:$M,Summary!AE$7,AllData!$B:$B,Summary!$C10)*$G$6</f>
        <v>0</v>
      </c>
      <c r="AF10" s="14">
        <f>SUMIFS(AllData!$L:$L,AllData!$M:$M,Summary!AF$7,AllData!$B:$B,Summary!$C10)*$G$6</f>
        <v>0</v>
      </c>
      <c r="AG10" s="14">
        <f>SUMIFS(AllData!$L:$L,AllData!$M:$M,Summary!AG$7,AllData!$B:$B,Summary!$C10)*$G$6</f>
        <v>125000</v>
      </c>
      <c r="AH10" s="14">
        <f>SUMIFS(AllData!$L:$L,AllData!$M:$M,Summary!AH$7,AllData!$B:$B,Summary!$C10)*$G$6</f>
        <v>25000</v>
      </c>
      <c r="AI10" s="14">
        <f>SUMIFS(AllData!$L:$L,AllData!$M:$M,Summary!AI$7,AllData!$B:$B,Summary!$C10)*$G$6</f>
        <v>250000</v>
      </c>
      <c r="AJ10" s="14">
        <f>SUMIFS(AllData!$L:$L,AllData!$M:$M,Summary!AJ$7,AllData!$B:$B,Summary!$C10)*$G$6</f>
        <v>75000</v>
      </c>
      <c r="AK10" s="14">
        <f>SUMIFS(AllData!$L:$L,AllData!$M:$M,Summary!AK$7,AllData!$B:$B,Summary!$C10)*$G$6</f>
        <v>75000</v>
      </c>
      <c r="AL10" s="14">
        <f>SUMIFS(AllData!$L:$L,AllData!$M:$M,Summary!AL$7,AllData!$B:$B,Summary!$C10)*$G$6</f>
        <v>50000</v>
      </c>
      <c r="AM10" s="14">
        <f>SUMIFS(AllData!$L:$L,AllData!$M:$M,Summary!AM$7,AllData!$B:$B,Summary!$C10)*$G$6</f>
        <v>125000</v>
      </c>
      <c r="AN10" s="14">
        <f>SUMIFS(AllData!$L:$L,AllData!$M:$M,Summary!AN$7,AllData!$B:$B,Summary!$C10)*$G$6</f>
        <v>75000</v>
      </c>
      <c r="AO10" s="14">
        <f>SUMIFS(AllData!$L:$L,AllData!$M:$M,Summary!AO$7,AllData!$B:$B,Summary!$C10)*$G$6</f>
        <v>0</v>
      </c>
      <c r="AP10" s="14">
        <f>SUMIFS(AllData!$L:$L,AllData!$M:$M,Summary!AP$7,AllData!$B:$B,Summary!$C10)*$G$6</f>
        <v>0</v>
      </c>
      <c r="AQ10" s="53"/>
      <c r="AR10" s="53"/>
    </row>
    <row r="11" spans="1:44" ht="15.75" x14ac:dyDescent="0.25">
      <c r="A11" s="55">
        <v>3</v>
      </c>
      <c r="B11" s="2" t="s">
        <v>0</v>
      </c>
      <c r="C11" s="8" t="s">
        <v>69</v>
      </c>
      <c r="D11" s="8" t="s">
        <v>423</v>
      </c>
      <c r="E11" s="56">
        <f t="shared" si="1"/>
        <v>4000000</v>
      </c>
      <c r="F11" s="14">
        <f>SUMIFS(AllData!$L:$L,AllData!$M:$M,Summary!F$7,AllData!$B:$B,Summary!$C11)*$G$6</f>
        <v>0</v>
      </c>
      <c r="G11" s="14">
        <f>SUMIFS(AllData!$L:$L,AllData!$M:$M,Summary!G$7,AllData!$B:$B,Summary!$C11)*$G$6</f>
        <v>0</v>
      </c>
      <c r="H11" s="14">
        <f>SUMIFS(AllData!$L:$L,AllData!$M:$M,Summary!H$7,AllData!$B:$B,Summary!$C11)*$G$6</f>
        <v>0</v>
      </c>
      <c r="I11" s="14">
        <f>SUMIFS(AllData!$L:$L,AllData!$M:$M,Summary!I$7,AllData!$B:$B,Summary!$C11)*$G$6</f>
        <v>0</v>
      </c>
      <c r="J11" s="14">
        <f>SUMIFS(AllData!$L:$L,AllData!$M:$M,Summary!J$7,AllData!$B:$B,Summary!$C11)*$G$6</f>
        <v>0</v>
      </c>
      <c r="K11" s="14">
        <f>SUMIFS(AllData!$L:$L,AllData!$M:$M,Summary!K$7,AllData!$B:$B,Summary!$C11)*$G$6</f>
        <v>0</v>
      </c>
      <c r="L11" s="14">
        <f>SUMIFS(AllData!$L:$L,AllData!$M:$M,Summary!L$7,AllData!$B:$B,Summary!$C11)*$G$6</f>
        <v>0</v>
      </c>
      <c r="M11" s="14">
        <f>SUMIFS(AllData!$L:$L,AllData!$M:$M,Summary!M$7,AllData!$B:$B,Summary!$C11)*$G$6</f>
        <v>200000</v>
      </c>
      <c r="N11" s="14">
        <f>SUMIFS(AllData!$L:$L,AllData!$M:$M,Summary!N$7,AllData!$B:$B,Summary!$C11)*$G$6</f>
        <v>300000</v>
      </c>
      <c r="O11" s="14">
        <f>SUMIFS(AllData!$L:$L,AllData!$M:$M,Summary!O$7,AllData!$B:$B,Summary!$C11)*$G$6</f>
        <v>300000</v>
      </c>
      <c r="P11" s="14">
        <f>SUMIFS(AllData!$L:$L,AllData!$M:$M,Summary!P$7,AllData!$B:$B,Summary!$C11)*$G$6</f>
        <v>250000</v>
      </c>
      <c r="Q11" s="14">
        <f>SUMIFS(AllData!$L:$L,AllData!$M:$M,Summary!Q$7,AllData!$B:$B,Summary!$C11)*$G$6</f>
        <v>225000</v>
      </c>
      <c r="R11" s="14">
        <f>SUMIFS(AllData!$L:$L,AllData!$M:$M,Summary!R$7,AllData!$B:$B,Summary!$C11)*$G$6</f>
        <v>200000</v>
      </c>
      <c r="S11" s="14">
        <f>SUMIFS(AllData!$L:$L,AllData!$M:$M,Summary!S$7,AllData!$B:$B,Summary!$C11)*$G$6</f>
        <v>275000</v>
      </c>
      <c r="T11" s="14">
        <f>SUMIFS(AllData!$L:$L,AllData!$M:$M,Summary!T$7,AllData!$B:$B,Summary!$C11)*$G$6</f>
        <v>175000</v>
      </c>
      <c r="U11" s="14">
        <f>SUMIFS(AllData!$L:$L,AllData!$M:$M,Summary!U$7,AllData!$B:$B,Summary!$C11)*$G$6</f>
        <v>25000</v>
      </c>
      <c r="V11" s="14">
        <f>SUMIFS(AllData!$L:$L,AllData!$M:$M,Summary!V$7,AllData!$B:$B,Summary!$C11)*$G$6</f>
        <v>125000</v>
      </c>
      <c r="W11" s="14">
        <f>SUMIFS(AllData!$L:$L,AllData!$M:$M,Summary!W$7,AllData!$B:$B,Summary!$C11)*$G$6</f>
        <v>400000</v>
      </c>
      <c r="X11" s="14">
        <f>SUMIFS(AllData!$L:$L,AllData!$M:$M,Summary!X$7,AllData!$B:$B,Summary!$C11)*$G$6</f>
        <v>175000</v>
      </c>
      <c r="Y11" s="14">
        <f>SUMIFS(AllData!$L:$L,AllData!$M:$M,Summary!Y$7,AllData!$B:$B,Summary!$C11)*$G$6</f>
        <v>250000</v>
      </c>
      <c r="Z11" s="14">
        <f>SUMIFS(AllData!$L:$L,AllData!$M:$M,Summary!Z$7,AllData!$B:$B,Summary!$C11)*$G$6</f>
        <v>250000</v>
      </c>
      <c r="AA11" s="14">
        <f>SUMIFS(AllData!$L:$L,AllData!$M:$M,Summary!AA$7,AllData!$B:$B,Summary!$C11)*$G$6</f>
        <v>0</v>
      </c>
      <c r="AB11" s="14">
        <f>SUMIFS(AllData!$L:$L,AllData!$M:$M,Summary!AB$7,AllData!$B:$B,Summary!$C11)*$G$6</f>
        <v>0</v>
      </c>
      <c r="AC11" s="14">
        <f>SUMIFS(AllData!$L:$L,AllData!$M:$M,Summary!AC$7,AllData!$B:$B,Summary!$C11)*$G$6</f>
        <v>0</v>
      </c>
      <c r="AD11" s="14">
        <f>SUMIFS(AllData!$L:$L,AllData!$M:$M,Summary!AD$7,AllData!$B:$B,Summary!$C11)*$G$6</f>
        <v>0</v>
      </c>
      <c r="AE11" s="14">
        <f>SUMIFS(AllData!$L:$L,AllData!$M:$M,Summary!AE$7,AllData!$B:$B,Summary!$C11)*$G$6</f>
        <v>0</v>
      </c>
      <c r="AF11" s="14">
        <f>SUMIFS(AllData!$L:$L,AllData!$M:$M,Summary!AF$7,AllData!$B:$B,Summary!$C11)*$G$6</f>
        <v>0</v>
      </c>
      <c r="AG11" s="14">
        <f>SUMIFS(AllData!$L:$L,AllData!$M:$M,Summary!AG$7,AllData!$B:$B,Summary!$C11)*$G$6</f>
        <v>125000</v>
      </c>
      <c r="AH11" s="14">
        <f>SUMIFS(AllData!$L:$L,AllData!$M:$M,Summary!AH$7,AllData!$B:$B,Summary!$C11)*$G$6</f>
        <v>25000</v>
      </c>
      <c r="AI11" s="14">
        <f>SUMIFS(AllData!$L:$L,AllData!$M:$M,Summary!AI$7,AllData!$B:$B,Summary!$C11)*$G$6</f>
        <v>275000</v>
      </c>
      <c r="AJ11" s="14">
        <f>SUMIFS(AllData!$L:$L,AllData!$M:$M,Summary!AJ$7,AllData!$B:$B,Summary!$C11)*$G$6</f>
        <v>100000</v>
      </c>
      <c r="AK11" s="14">
        <f>SUMIFS(AllData!$L:$L,AllData!$M:$M,Summary!AK$7,AllData!$B:$B,Summary!$C11)*$G$6</f>
        <v>75000</v>
      </c>
      <c r="AL11" s="14">
        <f>SUMIFS(AllData!$L:$L,AllData!$M:$M,Summary!AL$7,AllData!$B:$B,Summary!$C11)*$G$6</f>
        <v>50000</v>
      </c>
      <c r="AM11" s="14">
        <f>SUMIFS(AllData!$L:$L,AllData!$M:$M,Summary!AM$7,AllData!$B:$B,Summary!$C11)*$G$6</f>
        <v>125000</v>
      </c>
      <c r="AN11" s="14">
        <f>SUMIFS(AllData!$L:$L,AllData!$M:$M,Summary!AN$7,AllData!$B:$B,Summary!$C11)*$G$6</f>
        <v>75000</v>
      </c>
      <c r="AO11" s="14">
        <f>SUMIFS(AllData!$L:$L,AllData!$M:$M,Summary!AO$7,AllData!$B:$B,Summary!$C11)*$G$6</f>
        <v>0</v>
      </c>
      <c r="AP11" s="14">
        <f>SUMIFS(AllData!$L:$L,AllData!$M:$M,Summary!AP$7,AllData!$B:$B,Summary!$C11)*$G$6</f>
        <v>0</v>
      </c>
      <c r="AQ11" s="53"/>
      <c r="AR11" s="53"/>
    </row>
    <row r="12" spans="1:44" ht="15.75" x14ac:dyDescent="0.25">
      <c r="A12" s="55">
        <v>4</v>
      </c>
      <c r="B12" s="2" t="s">
        <v>0</v>
      </c>
      <c r="C12" s="8" t="s">
        <v>68</v>
      </c>
      <c r="D12" s="8" t="s">
        <v>423</v>
      </c>
      <c r="E12" s="56">
        <f t="shared" si="1"/>
        <v>3575000</v>
      </c>
      <c r="F12" s="14">
        <f>SUMIFS(AllData!$L:$L,AllData!$M:$M,Summary!F$7,AllData!$B:$B,Summary!$C12)*$G$6</f>
        <v>0</v>
      </c>
      <c r="G12" s="14">
        <f>SUMIFS(AllData!$L:$L,AllData!$M:$M,Summary!G$7,AllData!$B:$B,Summary!$C12)*$G$6</f>
        <v>0</v>
      </c>
      <c r="H12" s="14">
        <f>SUMIFS(AllData!$L:$L,AllData!$M:$M,Summary!H$7,AllData!$B:$B,Summary!$C12)*$G$6</f>
        <v>0</v>
      </c>
      <c r="I12" s="14">
        <f>SUMIFS(AllData!$L:$L,AllData!$M:$M,Summary!I$7,AllData!$B:$B,Summary!$C12)*$G$6</f>
        <v>0</v>
      </c>
      <c r="J12" s="14">
        <f>SUMIFS(AllData!$L:$L,AllData!$M:$M,Summary!J$7,AllData!$B:$B,Summary!$C12)*$G$6</f>
        <v>0</v>
      </c>
      <c r="K12" s="14">
        <f>SUMIFS(AllData!$L:$L,AllData!$M:$M,Summary!K$7,AllData!$B:$B,Summary!$C12)*$G$6</f>
        <v>0</v>
      </c>
      <c r="L12" s="14">
        <f>SUMIFS(AllData!$L:$L,AllData!$M:$M,Summary!L$7,AllData!$B:$B,Summary!$C12)*$G$6</f>
        <v>50000</v>
      </c>
      <c r="M12" s="14">
        <f>SUMIFS(AllData!$L:$L,AllData!$M:$M,Summary!M$7,AllData!$B:$B,Summary!$C12)*$G$6</f>
        <v>200000</v>
      </c>
      <c r="N12" s="14">
        <f>SUMIFS(AllData!$L:$L,AllData!$M:$M,Summary!N$7,AllData!$B:$B,Summary!$C12)*$G$6</f>
        <v>250000</v>
      </c>
      <c r="O12" s="14">
        <f>SUMIFS(AllData!$L:$L,AllData!$M:$M,Summary!O$7,AllData!$B:$B,Summary!$C12)*$G$6</f>
        <v>250000</v>
      </c>
      <c r="P12" s="14">
        <f>SUMIFS(AllData!$L:$L,AllData!$M:$M,Summary!P$7,AllData!$B:$B,Summary!$C12)*$G$6</f>
        <v>250000</v>
      </c>
      <c r="Q12" s="14">
        <f>SUMIFS(AllData!$L:$L,AllData!$M:$M,Summary!Q$7,AllData!$B:$B,Summary!$C12)*$G$6</f>
        <v>225000</v>
      </c>
      <c r="R12" s="14">
        <f>SUMIFS(AllData!$L:$L,AllData!$M:$M,Summary!R$7,AllData!$B:$B,Summary!$C12)*$G$6</f>
        <v>225000</v>
      </c>
      <c r="S12" s="14">
        <f>SUMIFS(AllData!$L:$L,AllData!$M:$M,Summary!S$7,AllData!$B:$B,Summary!$C12)*$G$6</f>
        <v>250000</v>
      </c>
      <c r="T12" s="14">
        <f>SUMIFS(AllData!$L:$L,AllData!$M:$M,Summary!T$7,AllData!$B:$B,Summary!$C12)*$G$6</f>
        <v>125000</v>
      </c>
      <c r="U12" s="14">
        <f>SUMIFS(AllData!$L:$L,AllData!$M:$M,Summary!U$7,AllData!$B:$B,Summary!$C12)*$G$6</f>
        <v>25000</v>
      </c>
      <c r="V12" s="14">
        <f>SUMIFS(AllData!$L:$L,AllData!$M:$M,Summary!V$7,AllData!$B:$B,Summary!$C12)*$G$6</f>
        <v>125000</v>
      </c>
      <c r="W12" s="14">
        <f>SUMIFS(AllData!$L:$L,AllData!$M:$M,Summary!W$7,AllData!$B:$B,Summary!$C12)*$G$6</f>
        <v>350000</v>
      </c>
      <c r="X12" s="14">
        <f>SUMIFS(AllData!$L:$L,AllData!$M:$M,Summary!X$7,AllData!$B:$B,Summary!$C12)*$G$6</f>
        <v>175000</v>
      </c>
      <c r="Y12" s="14">
        <f>SUMIFS(AllData!$L:$L,AllData!$M:$M,Summary!Y$7,AllData!$B:$B,Summary!$C12)*$G$6</f>
        <v>225000</v>
      </c>
      <c r="Z12" s="14">
        <f>SUMIFS(AllData!$L:$L,AllData!$M:$M,Summary!Z$7,AllData!$B:$B,Summary!$C12)*$G$6</f>
        <v>225000</v>
      </c>
      <c r="AA12" s="14">
        <f>SUMIFS(AllData!$L:$L,AllData!$M:$M,Summary!AA$7,AllData!$B:$B,Summary!$C12)*$G$6</f>
        <v>0</v>
      </c>
      <c r="AB12" s="14">
        <f>SUMIFS(AllData!$L:$L,AllData!$M:$M,Summary!AB$7,AllData!$B:$B,Summary!$C12)*$G$6</f>
        <v>0</v>
      </c>
      <c r="AC12" s="14">
        <f>SUMIFS(AllData!$L:$L,AllData!$M:$M,Summary!AC$7,AllData!$B:$B,Summary!$C12)*$G$6</f>
        <v>0</v>
      </c>
      <c r="AD12" s="14">
        <f>SUMIFS(AllData!$L:$L,AllData!$M:$M,Summary!AD$7,AllData!$B:$B,Summary!$C12)*$G$6</f>
        <v>0</v>
      </c>
      <c r="AE12" s="14">
        <f>SUMIFS(AllData!$L:$L,AllData!$M:$M,Summary!AE$7,AllData!$B:$B,Summary!$C12)*$G$6</f>
        <v>0</v>
      </c>
      <c r="AF12" s="14">
        <f>SUMIFS(AllData!$L:$L,AllData!$M:$M,Summary!AF$7,AllData!$B:$B,Summary!$C12)*$G$6</f>
        <v>0</v>
      </c>
      <c r="AG12" s="14">
        <f>SUMIFS(AllData!$L:$L,AllData!$M:$M,Summary!AG$7,AllData!$B:$B,Summary!$C12)*$G$6</f>
        <v>125000</v>
      </c>
      <c r="AH12" s="14">
        <f>SUMIFS(AllData!$L:$L,AllData!$M:$M,Summary!AH$7,AllData!$B:$B,Summary!$C12)*$G$6</f>
        <v>25000</v>
      </c>
      <c r="AI12" s="14">
        <f>SUMIFS(AllData!$L:$L,AllData!$M:$M,Summary!AI$7,AllData!$B:$B,Summary!$C12)*$G$6</f>
        <v>50000</v>
      </c>
      <c r="AJ12" s="14">
        <f>SUMIFS(AllData!$L:$L,AllData!$M:$M,Summary!AJ$7,AllData!$B:$B,Summary!$C12)*$G$6</f>
        <v>100000</v>
      </c>
      <c r="AK12" s="14">
        <f>SUMIFS(AllData!$L:$L,AllData!$M:$M,Summary!AK$7,AllData!$B:$B,Summary!$C12)*$G$6</f>
        <v>75000</v>
      </c>
      <c r="AL12" s="14">
        <f>SUMIFS(AllData!$L:$L,AllData!$M:$M,Summary!AL$7,AllData!$B:$B,Summary!$C12)*$G$6</f>
        <v>50000</v>
      </c>
      <c r="AM12" s="14">
        <f>SUMIFS(AllData!$L:$L,AllData!$M:$M,Summary!AM$7,AllData!$B:$B,Summary!$C12)*$G$6</f>
        <v>125000</v>
      </c>
      <c r="AN12" s="14">
        <f>SUMIFS(AllData!$L:$L,AllData!$M:$M,Summary!AN$7,AllData!$B:$B,Summary!$C12)*$G$6</f>
        <v>75000</v>
      </c>
      <c r="AO12" s="14">
        <f>SUMIFS(AllData!$L:$L,AllData!$M:$M,Summary!AO$7,AllData!$B:$B,Summary!$C12)*$G$6</f>
        <v>0</v>
      </c>
      <c r="AP12" s="14">
        <f>SUMIFS(AllData!$L:$L,AllData!$M:$M,Summary!AP$7,AllData!$B:$B,Summary!$C12)*$G$6</f>
        <v>0</v>
      </c>
      <c r="AQ12" s="53"/>
      <c r="AR12" s="53"/>
    </row>
    <row r="13" spans="1:44" ht="15.75" x14ac:dyDescent="0.25">
      <c r="A13" s="55">
        <v>5</v>
      </c>
      <c r="B13" s="2" t="s">
        <v>0</v>
      </c>
      <c r="C13" s="8" t="s">
        <v>361</v>
      </c>
      <c r="D13" s="8" t="s">
        <v>423</v>
      </c>
      <c r="E13" s="56">
        <f t="shared" si="1"/>
        <v>1225000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>
        <f>SUMIFS(AllData!$L:$L,AllData!$M:$M,Summary!P$7,AllData!$B:$B,Summary!$C13)*$G$6</f>
        <v>0</v>
      </c>
      <c r="Q13" s="14">
        <f>SUMIFS(AllData!$L:$L,AllData!$M:$M,Summary!Q$7,AllData!$B:$B,Summary!$C13)*$G$6</f>
        <v>0</v>
      </c>
      <c r="R13" s="14">
        <f>SUMIFS(AllData!$L:$L,AllData!$M:$M,Summary!R$7,AllData!$B:$B,Summary!$C13)*$G$6</f>
        <v>0</v>
      </c>
      <c r="S13" s="14">
        <f>SUMIFS(AllData!$L:$L,AllData!$M:$M,Summary!S$7,AllData!$B:$B,Summary!$C13)*$G$6</f>
        <v>0</v>
      </c>
      <c r="T13" s="14">
        <f>SUMIFS(AllData!$L:$L,AllData!$M:$M,Summary!T$7,AllData!$B:$B,Summary!$C13)*$G$6</f>
        <v>0</v>
      </c>
      <c r="U13" s="14">
        <f>SUMIFS(AllData!$L:$L,AllData!$M:$M,Summary!U$7,AllData!$B:$B,Summary!$C13)*$G$6</f>
        <v>0</v>
      </c>
      <c r="V13" s="14">
        <f>SUMIFS(AllData!$L:$L,AllData!$M:$M,Summary!V$7,AllData!$B:$B,Summary!$C13)*$G$6</f>
        <v>0</v>
      </c>
      <c r="W13" s="14">
        <f>SUMIFS(AllData!$L:$L,AllData!$M:$M,Summary!W$7,AllData!$B:$B,Summary!$C13)*$G$6</f>
        <v>0</v>
      </c>
      <c r="X13" s="14">
        <f>SUMIFS(AllData!$L:$L,AllData!$M:$M,Summary!X$7,AllData!$B:$B,Summary!$C13)*$G$6</f>
        <v>0</v>
      </c>
      <c r="Y13" s="14">
        <f>SUMIFS(AllData!$L:$L,AllData!$M:$M,Summary!Y$7,AllData!$B:$B,Summary!$C13)*$G$6</f>
        <v>200000</v>
      </c>
      <c r="Z13" s="14">
        <f>SUMIFS(AllData!$L:$L,AllData!$M:$M,Summary!Z$7,AllData!$B:$B,Summary!$C13)*$G$6</f>
        <v>275000</v>
      </c>
      <c r="AA13" s="14">
        <f>SUMIFS(AllData!$L:$L,AllData!$M:$M,Summary!AA$7,AllData!$B:$B,Summary!$C13)*$G$6</f>
        <v>0</v>
      </c>
      <c r="AB13" s="14">
        <f>SUMIFS(AllData!$L:$L,AllData!$M:$M,Summary!AB$7,AllData!$B:$B,Summary!$C13)*$G$6</f>
        <v>0</v>
      </c>
      <c r="AC13" s="14">
        <f>SUMIFS(AllData!$L:$L,AllData!$M:$M,Summary!AC$7,AllData!$B:$B,Summary!$C13)*$G$6</f>
        <v>0</v>
      </c>
      <c r="AD13" s="14">
        <f>SUMIFS(AllData!$L:$L,AllData!$M:$M,Summary!AD$7,AllData!$B:$B,Summary!$C13)*$G$6</f>
        <v>0</v>
      </c>
      <c r="AE13" s="14">
        <f>SUMIFS(AllData!$L:$L,AllData!$M:$M,Summary!AE$7,AllData!$B:$B,Summary!$C13)*$G$6</f>
        <v>0</v>
      </c>
      <c r="AF13" s="14">
        <f>SUMIFS(AllData!$L:$L,AllData!$M:$M,Summary!AF$7,AllData!$B:$B,Summary!$C13)*$G$6</f>
        <v>0</v>
      </c>
      <c r="AG13" s="14">
        <f>SUMIFS(AllData!$L:$L,AllData!$M:$M,Summary!AG$7,AllData!$B:$B,Summary!$C13)*$G$6</f>
        <v>125000</v>
      </c>
      <c r="AH13" s="14">
        <f>SUMIFS(AllData!$L:$L,AllData!$M:$M,Summary!AH$7,AllData!$B:$B,Summary!$C13)*$G$6</f>
        <v>25000</v>
      </c>
      <c r="AI13" s="14">
        <f>SUMIFS(AllData!$L:$L,AllData!$M:$M,Summary!AI$7,AllData!$B:$B,Summary!$C13)*$G$6</f>
        <v>175000</v>
      </c>
      <c r="AJ13" s="14">
        <f>SUMIFS(AllData!$L:$L,AllData!$M:$M,Summary!AJ$7,AllData!$B:$B,Summary!$C13)*$G$6</f>
        <v>100000</v>
      </c>
      <c r="AK13" s="14">
        <f>SUMIFS(AllData!$L:$L,AllData!$M:$M,Summary!AK$7,AllData!$B:$B,Summary!$C13)*$G$6</f>
        <v>75000</v>
      </c>
      <c r="AL13" s="14">
        <f>SUMIFS(AllData!$L:$L,AllData!$M:$M,Summary!AL$7,AllData!$B:$B,Summary!$C13)*$G$6</f>
        <v>50000</v>
      </c>
      <c r="AM13" s="14">
        <f>SUMIFS(AllData!$L:$L,AllData!$M:$M,Summary!AM$7,AllData!$B:$B,Summary!$C13)*$G$6</f>
        <v>125000</v>
      </c>
      <c r="AN13" s="14">
        <f>SUMIFS(AllData!$L:$L,AllData!$M:$M,Summary!AN$7,AllData!$B:$B,Summary!$C13)*$G$6</f>
        <v>75000</v>
      </c>
      <c r="AO13" s="14">
        <f>SUMIFS(AllData!$L:$L,AllData!$M:$M,Summary!AO$7,AllData!$B:$B,Summary!$C13)*$G$6</f>
        <v>0</v>
      </c>
      <c r="AP13" s="14">
        <f>SUMIFS(AllData!$L:$L,AllData!$M:$M,Summary!AP$7,AllData!$B:$B,Summary!$C13)*$G$6</f>
        <v>0</v>
      </c>
      <c r="AQ13" s="53"/>
      <c r="AR13" s="53"/>
    </row>
    <row r="14" spans="1:44" ht="15.75" x14ac:dyDescent="0.25">
      <c r="A14" s="55">
        <v>7</v>
      </c>
      <c r="B14" s="2" t="s">
        <v>0</v>
      </c>
      <c r="C14" s="8" t="s">
        <v>393</v>
      </c>
      <c r="D14" s="8" t="s">
        <v>423</v>
      </c>
      <c r="E14" s="56">
        <f t="shared" ref="E14:E19" si="2">SUM(F14:BA14)</f>
        <v>600000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>
        <f>SUMIFS(AllData!$L:$L,AllData!$M:$M,Summary!P$7,AllData!$B:$B,Summary!$C14)*$G$6</f>
        <v>0</v>
      </c>
      <c r="Q14" s="14">
        <f>SUMIFS(AllData!$L:$L,AllData!$M:$M,Summary!Q$7,AllData!$B:$B,Summary!$C14)*$G$6</f>
        <v>0</v>
      </c>
      <c r="R14" s="14">
        <f>SUMIFS(AllData!$L:$L,AllData!$M:$M,Summary!R$7,AllData!$B:$B,Summary!$C14)*$G$6</f>
        <v>0</v>
      </c>
      <c r="S14" s="14">
        <f>SUMIFS(AllData!$L:$L,AllData!$M:$M,Summary!S$7,AllData!$B:$B,Summary!$C14)*$G$6</f>
        <v>0</v>
      </c>
      <c r="T14" s="14">
        <f>SUMIFS(AllData!$L:$L,AllData!$M:$M,Summary!T$7,AllData!$B:$B,Summary!$C14)*$G$6</f>
        <v>0</v>
      </c>
      <c r="U14" s="14">
        <f>SUMIFS(AllData!$L:$L,AllData!$M:$M,Summary!U$7,AllData!$B:$B,Summary!$C14)*$G$6</f>
        <v>0</v>
      </c>
      <c r="V14" s="14">
        <f>SUMIFS(AllData!$L:$L,AllData!$M:$M,Summary!V$7,AllData!$B:$B,Summary!$C14)*$G$6</f>
        <v>0</v>
      </c>
      <c r="W14" s="14">
        <f>SUMIFS(AllData!$L:$L,AllData!$M:$M,Summary!W$7,AllData!$B:$B,Summary!$C14)*$G$6</f>
        <v>0</v>
      </c>
      <c r="X14" s="14">
        <f>SUMIFS(AllData!$L:$L,AllData!$M:$M,Summary!X$7,AllData!$B:$B,Summary!$C14)*$G$6</f>
        <v>0</v>
      </c>
      <c r="Y14" s="14">
        <f>SUMIFS(AllData!$L:$L,AllData!$M:$M,Summary!Y$7,AllData!$B:$B,Summary!$C14)*$G$6</f>
        <v>0</v>
      </c>
      <c r="Z14" s="14">
        <f>SUMIFS(AllData!$L:$L,AllData!$M:$M,Summary!Z$7,AllData!$B:$B,Summary!$C14)*$G$6</f>
        <v>0</v>
      </c>
      <c r="AA14" s="14">
        <f>SUMIFS(AllData!$L:$L,AllData!$M:$M,Summary!AA$7,AllData!$B:$B,Summary!$C14)*$G$6</f>
        <v>0</v>
      </c>
      <c r="AB14" s="14">
        <f>SUMIFS(AllData!$L:$L,AllData!$M:$M,Summary!AB$7,AllData!$B:$B,Summary!$C14)*$G$6</f>
        <v>0</v>
      </c>
      <c r="AC14" s="14">
        <f>SUMIFS(AllData!$L:$L,AllData!$M:$M,Summary!AC$7,AllData!$B:$B,Summary!$C14)*$G$6</f>
        <v>0</v>
      </c>
      <c r="AD14" s="14">
        <f>SUMIFS(AllData!$L:$L,AllData!$M:$M,Summary!AD$7,AllData!$B:$B,Summary!$C14)*$G$6</f>
        <v>0</v>
      </c>
      <c r="AE14" s="14">
        <f>SUMIFS(AllData!$L:$L,AllData!$M:$M,Summary!AE$7,AllData!$B:$B,Summary!$C14)*$G$6</f>
        <v>0</v>
      </c>
      <c r="AF14" s="14">
        <f>SUMIFS(AllData!$L:$L,AllData!$M:$M,Summary!AF$7,AllData!$B:$B,Summary!$C14)*$G$6</f>
        <v>0</v>
      </c>
      <c r="AG14" s="14">
        <f>SUMIFS(AllData!$L:$L,AllData!$M:$M,Summary!AG$7,AllData!$B:$B,Summary!$C14)*$G$6</f>
        <v>125000</v>
      </c>
      <c r="AH14" s="14">
        <f>SUMIFS(AllData!$L:$L,AllData!$M:$M,Summary!AH$7,AllData!$B:$B,Summary!$C14)*$G$6</f>
        <v>0</v>
      </c>
      <c r="AI14" s="14">
        <f>SUMIFS(AllData!$L:$L,AllData!$M:$M,Summary!AI$7,AllData!$B:$B,Summary!$C14)*$G$6</f>
        <v>50000</v>
      </c>
      <c r="AJ14" s="14">
        <f>SUMIFS(AllData!$L:$L,AllData!$M:$M,Summary!AJ$7,AllData!$B:$B,Summary!$C14)*$G$6</f>
        <v>100000</v>
      </c>
      <c r="AK14" s="14">
        <f>SUMIFS(AllData!$L:$L,AllData!$M:$M,Summary!AK$7,AllData!$B:$B,Summary!$C14)*$G$6</f>
        <v>75000</v>
      </c>
      <c r="AL14" s="14">
        <f>SUMIFS(AllData!$L:$L,AllData!$M:$M,Summary!AL$7,AllData!$B:$B,Summary!$C14)*$G$6</f>
        <v>50000</v>
      </c>
      <c r="AM14" s="14">
        <f>SUMIFS(AllData!$L:$L,AllData!$M:$M,Summary!AM$7,AllData!$B:$B,Summary!$C14)*$G$6</f>
        <v>125000</v>
      </c>
      <c r="AN14" s="14">
        <f>SUMIFS(AllData!$L:$L,AllData!$M:$M,Summary!AN$7,AllData!$B:$B,Summary!$C14)*$G$6</f>
        <v>75000</v>
      </c>
      <c r="AO14" s="14">
        <f>SUMIFS(AllData!$L:$L,AllData!$M:$M,Summary!AO$7,AllData!$B:$B,Summary!$C14)*$G$6</f>
        <v>0</v>
      </c>
      <c r="AP14" s="14">
        <f>SUMIFS(AllData!$L:$L,AllData!$M:$M,Summary!AP$7,AllData!$B:$B,Summary!$C14)*$G$6</f>
        <v>0</v>
      </c>
      <c r="AQ14" s="53"/>
      <c r="AR14" s="53"/>
    </row>
    <row r="15" spans="1:44" ht="15.75" x14ac:dyDescent="0.25">
      <c r="A15" s="55">
        <v>8</v>
      </c>
      <c r="B15" s="2" t="s">
        <v>0</v>
      </c>
      <c r="C15" s="8" t="s">
        <v>416</v>
      </c>
      <c r="D15" s="8" t="s">
        <v>423</v>
      </c>
      <c r="E15" s="56">
        <f t="shared" ref="E15:E16" si="3">SUM(F15:BA15)</f>
        <v>450000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>
        <f>SUMIFS(AllData!$L:$L,AllData!$M:$M,Summary!P$7,AllData!$B:$B,Summary!$C15)*$G$6</f>
        <v>0</v>
      </c>
      <c r="Q15" s="14">
        <f>SUMIFS(AllData!$L:$L,AllData!$M:$M,Summary!Q$7,AllData!$B:$B,Summary!$C15)*$G$6</f>
        <v>0</v>
      </c>
      <c r="R15" s="14">
        <f>SUMIFS(AllData!$L:$L,AllData!$M:$M,Summary!R$7,AllData!$B:$B,Summary!$C15)*$G$6</f>
        <v>0</v>
      </c>
      <c r="S15" s="14">
        <f>SUMIFS(AllData!$L:$L,AllData!$M:$M,Summary!S$7,AllData!$B:$B,Summary!$C15)*$G$6</f>
        <v>0</v>
      </c>
      <c r="T15" s="14">
        <f>SUMIFS(AllData!$L:$L,AllData!$M:$M,Summary!T$7,AllData!$B:$B,Summary!$C15)*$G$6</f>
        <v>0</v>
      </c>
      <c r="U15" s="14">
        <f>SUMIFS(AllData!$L:$L,AllData!$M:$M,Summary!U$7,AllData!$B:$B,Summary!$C15)*$G$6</f>
        <v>0</v>
      </c>
      <c r="V15" s="14">
        <f>SUMIFS(AllData!$L:$L,AllData!$M:$M,Summary!V$7,AllData!$B:$B,Summary!$C15)*$G$6</f>
        <v>0</v>
      </c>
      <c r="W15" s="14">
        <f>SUMIFS(AllData!$L:$L,AllData!$M:$M,Summary!W$7,AllData!$B:$B,Summary!$C15)*$G$6</f>
        <v>0</v>
      </c>
      <c r="X15" s="14">
        <f>SUMIFS(AllData!$L:$L,AllData!$M:$M,Summary!X$7,AllData!$B:$B,Summary!$C15)*$G$6</f>
        <v>0</v>
      </c>
      <c r="Y15" s="14">
        <f>SUMIFS(AllData!$L:$L,AllData!$M:$M,Summary!Y$7,AllData!$B:$B,Summary!$C15)*$G$6</f>
        <v>0</v>
      </c>
      <c r="Z15" s="14">
        <f>SUMIFS(AllData!$L:$L,AllData!$M:$M,Summary!Z$7,AllData!$B:$B,Summary!$C15)*$G$6</f>
        <v>0</v>
      </c>
      <c r="AA15" s="14">
        <f>SUMIFS(AllData!$L:$L,AllData!$M:$M,Summary!AA$7,AllData!$B:$B,Summary!$C15)*$G$6</f>
        <v>0</v>
      </c>
      <c r="AB15" s="14">
        <f>SUMIFS(AllData!$L:$L,AllData!$M:$M,Summary!AB$7,AllData!$B:$B,Summary!$C15)*$G$6</f>
        <v>0</v>
      </c>
      <c r="AC15" s="14">
        <f>SUMIFS(AllData!$L:$L,AllData!$M:$M,Summary!AC$7,AllData!$B:$B,Summary!$C15)*$G$6</f>
        <v>0</v>
      </c>
      <c r="AD15" s="14">
        <f>SUMIFS(AllData!$L:$L,AllData!$M:$M,Summary!AD$7,AllData!$B:$B,Summary!$C15)*$G$6</f>
        <v>0</v>
      </c>
      <c r="AE15" s="14">
        <f>SUMIFS(AllData!$L:$L,AllData!$M:$M,Summary!AE$7,AllData!$B:$B,Summary!$C15)*$G$6</f>
        <v>0</v>
      </c>
      <c r="AF15" s="14">
        <f>SUMIFS(AllData!$L:$L,AllData!$M:$M,Summary!AF$7,AllData!$B:$B,Summary!$C15)*$G$6</f>
        <v>0</v>
      </c>
      <c r="AG15" s="14">
        <f>SUMIFS(AllData!$L:$L,AllData!$M:$M,Summary!AG$7,AllData!$B:$B,Summary!$C15)*$G$6</f>
        <v>0</v>
      </c>
      <c r="AH15" s="14">
        <f>SUMIFS(AllData!$L:$L,AllData!$M:$M,Summary!AH$7,AllData!$B:$B,Summary!$C15)*$G$6</f>
        <v>0</v>
      </c>
      <c r="AI15" s="14">
        <f>SUMIFS(AllData!$L:$L,AllData!$M:$M,Summary!AI$7,AllData!$B:$B,Summary!$C15)*$G$6</f>
        <v>25000</v>
      </c>
      <c r="AJ15" s="14">
        <f>SUMIFS(AllData!$L:$L,AllData!$M:$M,Summary!AJ$7,AllData!$B:$B,Summary!$C15)*$G$6</f>
        <v>100000</v>
      </c>
      <c r="AK15" s="14">
        <f>SUMIFS(AllData!$L:$L,AllData!$M:$M,Summary!AK$7,AllData!$B:$B,Summary!$C15)*$G$6</f>
        <v>75000</v>
      </c>
      <c r="AL15" s="14">
        <f>SUMIFS(AllData!$L:$L,AllData!$M:$M,Summary!AL$7,AllData!$B:$B,Summary!$C15)*$G$6</f>
        <v>50000</v>
      </c>
      <c r="AM15" s="14">
        <f>SUMIFS(AllData!$L:$L,AllData!$M:$M,Summary!AM$7,AllData!$B:$B,Summary!$C15)*$G$6</f>
        <v>125000</v>
      </c>
      <c r="AN15" s="14">
        <f>SUMIFS(AllData!$L:$L,AllData!$M:$M,Summary!AN$7,AllData!$B:$B,Summary!$C15)*$G$6</f>
        <v>75000</v>
      </c>
      <c r="AO15" s="14">
        <f>SUMIFS(AllData!$L:$L,AllData!$M:$M,Summary!AO$7,AllData!$B:$B,Summary!$C15)*$G$6</f>
        <v>0</v>
      </c>
      <c r="AP15" s="14">
        <f>SUMIFS(AllData!$L:$L,AllData!$M:$M,Summary!AP$7,AllData!$B:$B,Summary!$C15)*$G$6</f>
        <v>0</v>
      </c>
      <c r="AQ15" s="53"/>
      <c r="AR15" s="53"/>
    </row>
    <row r="16" spans="1:44" ht="15.75" x14ac:dyDescent="0.25">
      <c r="A16" s="55">
        <v>9</v>
      </c>
      <c r="B16" s="2" t="s">
        <v>0</v>
      </c>
      <c r="C16" s="8" t="s">
        <v>417</v>
      </c>
      <c r="D16" s="8" t="s">
        <v>423</v>
      </c>
      <c r="E16" s="56">
        <f t="shared" si="3"/>
        <v>450000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>
        <f>SUMIFS(AllData!$L:$L,AllData!$M:$M,Summary!P$7,AllData!$B:$B,Summary!$C16)*$G$6</f>
        <v>0</v>
      </c>
      <c r="Q16" s="14">
        <f>SUMIFS(AllData!$L:$L,AllData!$M:$M,Summary!Q$7,AllData!$B:$B,Summary!$C16)*$G$6</f>
        <v>0</v>
      </c>
      <c r="R16" s="14">
        <f>SUMIFS(AllData!$L:$L,AllData!$M:$M,Summary!R$7,AllData!$B:$B,Summary!$C16)*$G$6</f>
        <v>0</v>
      </c>
      <c r="S16" s="14">
        <f>SUMIFS(AllData!$L:$L,AllData!$M:$M,Summary!S$7,AllData!$B:$B,Summary!$C16)*$G$6</f>
        <v>0</v>
      </c>
      <c r="T16" s="14">
        <f>SUMIFS(AllData!$L:$L,AllData!$M:$M,Summary!T$7,AllData!$B:$B,Summary!$C16)*$G$6</f>
        <v>0</v>
      </c>
      <c r="U16" s="14">
        <f>SUMIFS(AllData!$L:$L,AllData!$M:$M,Summary!U$7,AllData!$B:$B,Summary!$C16)*$G$6</f>
        <v>0</v>
      </c>
      <c r="V16" s="14">
        <f>SUMIFS(AllData!$L:$L,AllData!$M:$M,Summary!V$7,AllData!$B:$B,Summary!$C16)*$G$6</f>
        <v>0</v>
      </c>
      <c r="W16" s="14">
        <f>SUMIFS(AllData!$L:$L,AllData!$M:$M,Summary!W$7,AllData!$B:$B,Summary!$C16)*$G$6</f>
        <v>0</v>
      </c>
      <c r="X16" s="14">
        <f>SUMIFS(AllData!$L:$L,AllData!$M:$M,Summary!X$7,AllData!$B:$B,Summary!$C16)*$G$6</f>
        <v>0</v>
      </c>
      <c r="Y16" s="14">
        <f>SUMIFS(AllData!$L:$L,AllData!$M:$M,Summary!Y$7,AllData!$B:$B,Summary!$C16)*$G$6</f>
        <v>0</v>
      </c>
      <c r="Z16" s="14">
        <f>SUMIFS(AllData!$L:$L,AllData!$M:$M,Summary!Z$7,AllData!$B:$B,Summary!$C16)*$G$6</f>
        <v>0</v>
      </c>
      <c r="AA16" s="14">
        <f>SUMIFS(AllData!$L:$L,AllData!$M:$M,Summary!AA$7,AllData!$B:$B,Summary!$C16)*$G$6</f>
        <v>0</v>
      </c>
      <c r="AB16" s="14">
        <f>SUMIFS(AllData!$L:$L,AllData!$M:$M,Summary!AB$7,AllData!$B:$B,Summary!$C16)*$G$6</f>
        <v>0</v>
      </c>
      <c r="AC16" s="14">
        <f>SUMIFS(AllData!$L:$L,AllData!$M:$M,Summary!AC$7,AllData!$B:$B,Summary!$C16)*$G$6</f>
        <v>0</v>
      </c>
      <c r="AD16" s="14">
        <f>SUMIFS(AllData!$L:$L,AllData!$M:$M,Summary!AD$7,AllData!$B:$B,Summary!$C16)*$G$6</f>
        <v>0</v>
      </c>
      <c r="AE16" s="14">
        <f>SUMIFS(AllData!$L:$L,AllData!$M:$M,Summary!AE$7,AllData!$B:$B,Summary!$C16)*$G$6</f>
        <v>0</v>
      </c>
      <c r="AF16" s="14">
        <f>SUMIFS(AllData!$L:$L,AllData!$M:$M,Summary!AF$7,AllData!$B:$B,Summary!$C16)*$G$6</f>
        <v>0</v>
      </c>
      <c r="AG16" s="14">
        <f>SUMIFS(AllData!$L:$L,AllData!$M:$M,Summary!AG$7,AllData!$B:$B,Summary!$C16)*$G$6</f>
        <v>0</v>
      </c>
      <c r="AH16" s="14">
        <f>SUMIFS(AllData!$L:$L,AllData!$M:$M,Summary!AH$7,AllData!$B:$B,Summary!$C16)*$G$6</f>
        <v>0</v>
      </c>
      <c r="AI16" s="14">
        <f>SUMIFS(AllData!$L:$L,AllData!$M:$M,Summary!AI$7,AllData!$B:$B,Summary!$C16)*$G$6</f>
        <v>25000</v>
      </c>
      <c r="AJ16" s="14">
        <f>SUMIFS(AllData!$L:$L,AllData!$M:$M,Summary!AJ$7,AllData!$B:$B,Summary!$C16)*$G$6</f>
        <v>100000</v>
      </c>
      <c r="AK16" s="14">
        <f>SUMIFS(AllData!$L:$L,AllData!$M:$M,Summary!AK$7,AllData!$B:$B,Summary!$C16)*$G$6</f>
        <v>75000</v>
      </c>
      <c r="AL16" s="14">
        <f>SUMIFS(AllData!$L:$L,AllData!$M:$M,Summary!AL$7,AllData!$B:$B,Summary!$C16)*$G$6</f>
        <v>50000</v>
      </c>
      <c r="AM16" s="14">
        <f>SUMIFS(AllData!$L:$L,AllData!$M:$M,Summary!AM$7,AllData!$B:$B,Summary!$C16)*$G$6</f>
        <v>125000</v>
      </c>
      <c r="AN16" s="14">
        <f>SUMIFS(AllData!$L:$L,AllData!$M:$M,Summary!AN$7,AllData!$B:$B,Summary!$C16)*$G$6</f>
        <v>75000</v>
      </c>
      <c r="AO16" s="14">
        <f>SUMIFS(AllData!$L:$L,AllData!$M:$M,Summary!AO$7,AllData!$B:$B,Summary!$C16)*$G$6</f>
        <v>0</v>
      </c>
      <c r="AP16" s="14">
        <f>SUMIFS(AllData!$L:$L,AllData!$M:$M,Summary!AP$7,AllData!$B:$B,Summary!$C16)*$G$6</f>
        <v>0</v>
      </c>
      <c r="AQ16" s="53"/>
      <c r="AR16" s="53"/>
    </row>
    <row r="17" spans="1:44" ht="15.75" x14ac:dyDescent="0.25">
      <c r="A17" s="55">
        <v>9</v>
      </c>
      <c r="B17" s="2" t="s">
        <v>0</v>
      </c>
      <c r="C17" s="8" t="s">
        <v>430</v>
      </c>
      <c r="D17" s="8" t="s">
        <v>423</v>
      </c>
      <c r="E17" s="56">
        <f t="shared" ref="E17" si="4">SUM(F17:BA17)</f>
        <v>175000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>
        <f>SUMIFS(AllData!$L:$L,AllData!$M:$M,Summary!P$7,AllData!$B:$B,Summary!$C17)*$G$6</f>
        <v>0</v>
      </c>
      <c r="Q17" s="14">
        <f>SUMIFS(AllData!$L:$L,AllData!$M:$M,Summary!Q$7,AllData!$B:$B,Summary!$C17)*$G$6</f>
        <v>0</v>
      </c>
      <c r="R17" s="14">
        <f>SUMIFS(AllData!$L:$L,AllData!$M:$M,Summary!R$7,AllData!$B:$B,Summary!$C17)*$G$6</f>
        <v>0</v>
      </c>
      <c r="S17" s="14">
        <f>SUMIFS(AllData!$L:$L,AllData!$M:$M,Summary!S$7,AllData!$B:$B,Summary!$C17)*$G$6</f>
        <v>0</v>
      </c>
      <c r="T17" s="14">
        <f>SUMIFS(AllData!$L:$L,AllData!$M:$M,Summary!T$7,AllData!$B:$B,Summary!$C17)*$G$6</f>
        <v>0</v>
      </c>
      <c r="U17" s="14">
        <f>SUMIFS(AllData!$L:$L,AllData!$M:$M,Summary!U$7,AllData!$B:$B,Summary!$C17)*$G$6</f>
        <v>0</v>
      </c>
      <c r="V17" s="14">
        <f>SUMIFS(AllData!$L:$L,AllData!$M:$M,Summary!V$7,AllData!$B:$B,Summary!$C17)*$G$6</f>
        <v>0</v>
      </c>
      <c r="W17" s="14">
        <f>SUMIFS(AllData!$L:$L,AllData!$M:$M,Summary!W$7,AllData!$B:$B,Summary!$C17)*$G$6</f>
        <v>0</v>
      </c>
      <c r="X17" s="14">
        <f>SUMIFS(AllData!$L:$L,AllData!$M:$M,Summary!X$7,AllData!$B:$B,Summary!$C17)*$G$6</f>
        <v>0</v>
      </c>
      <c r="Y17" s="14">
        <f>SUMIFS(AllData!$L:$L,AllData!$M:$M,Summary!Y$7,AllData!$B:$B,Summary!$C17)*$G$6</f>
        <v>0</v>
      </c>
      <c r="Z17" s="14">
        <f>SUMIFS(AllData!$L:$L,AllData!$M:$M,Summary!Z$7,AllData!$B:$B,Summary!$C17)*$G$6</f>
        <v>0</v>
      </c>
      <c r="AA17" s="14">
        <f>SUMIFS(AllData!$L:$L,AllData!$M:$M,Summary!AA$7,AllData!$B:$B,Summary!$C17)*$G$6</f>
        <v>0</v>
      </c>
      <c r="AB17" s="14">
        <f>SUMIFS(AllData!$L:$L,AllData!$M:$M,Summary!AB$7,AllData!$B:$B,Summary!$C17)*$G$6</f>
        <v>0</v>
      </c>
      <c r="AC17" s="14">
        <f>SUMIFS(AllData!$L:$L,AllData!$M:$M,Summary!AC$7,AllData!$B:$B,Summary!$C17)*$G$6</f>
        <v>0</v>
      </c>
      <c r="AD17" s="14">
        <f>SUMIFS(AllData!$L:$L,AllData!$M:$M,Summary!AD$7,AllData!$B:$B,Summary!$C17)*$G$6</f>
        <v>0</v>
      </c>
      <c r="AE17" s="14">
        <f>SUMIFS(AllData!$L:$L,AllData!$M:$M,Summary!AE$7,AllData!$B:$B,Summary!$C17)*$G$6</f>
        <v>0</v>
      </c>
      <c r="AF17" s="14">
        <f>SUMIFS(AllData!$L:$L,AllData!$M:$M,Summary!AF$7,AllData!$B:$B,Summary!$C17)*$G$6</f>
        <v>0</v>
      </c>
      <c r="AG17" s="14">
        <f>SUMIFS(AllData!$L:$L,AllData!$M:$M,Summary!AG$7,AllData!$B:$B,Summary!$C17)*$G$6</f>
        <v>0</v>
      </c>
      <c r="AH17" s="14">
        <f>SUMIFS(AllData!$L:$L,AllData!$M:$M,Summary!AH$7,AllData!$B:$B,Summary!$C17)*$G$6</f>
        <v>0</v>
      </c>
      <c r="AI17" s="14">
        <f>SUMIFS(AllData!$L:$L,AllData!$M:$M,Summary!AI$7,AllData!$B:$B,Summary!$C17)*$G$6</f>
        <v>0</v>
      </c>
      <c r="AJ17" s="14">
        <f>SUMIFS(AllData!$L:$L,AllData!$M:$M,Summary!AJ$7,AllData!$B:$B,Summary!$C17)*$G$6</f>
        <v>0</v>
      </c>
      <c r="AK17" s="14">
        <f>SUMIFS(AllData!$L:$L,AllData!$M:$M,Summary!AK$7,AllData!$B:$B,Summary!$C17)*$G$6</f>
        <v>0</v>
      </c>
      <c r="AL17" s="14">
        <f>SUMIFS(AllData!$L:$L,AllData!$M:$M,Summary!AL$7,AllData!$B:$B,Summary!$C17)*$G$6</f>
        <v>25000</v>
      </c>
      <c r="AM17" s="14">
        <f>SUMIFS(AllData!$L:$L,AllData!$M:$M,Summary!AM$7,AllData!$B:$B,Summary!$C17)*$G$6</f>
        <v>75000</v>
      </c>
      <c r="AN17" s="14">
        <f>SUMIFS(AllData!$L:$L,AllData!$M:$M,Summary!AN$7,AllData!$B:$B,Summary!$C17)*$G$6</f>
        <v>75000</v>
      </c>
      <c r="AO17" s="14">
        <f>SUMIFS(AllData!$L:$L,AllData!$M:$M,Summary!AO$7,AllData!$B:$B,Summary!$C17)*$G$6</f>
        <v>0</v>
      </c>
      <c r="AP17" s="14">
        <f>SUMIFS(AllData!$L:$L,AllData!$M:$M,Summary!AP$7,AllData!$B:$B,Summary!$C17)*$G$6</f>
        <v>0</v>
      </c>
      <c r="AQ17" s="53"/>
      <c r="AR17" s="53"/>
    </row>
    <row r="18" spans="1:44" ht="15.75" x14ac:dyDescent="0.25">
      <c r="A18" s="55">
        <v>6</v>
      </c>
      <c r="B18" s="54" t="s">
        <v>0</v>
      </c>
      <c r="C18" s="54" t="s">
        <v>367</v>
      </c>
      <c r="D18" s="54" t="s">
        <v>424</v>
      </c>
      <c r="E18" s="56">
        <f>SUM(F18:BA18)</f>
        <v>925000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>
        <f>SUMIFS(AllData!$L:$L,AllData!$M:$M,Summary!P$7,AllData!$B:$B,Summary!$C18)*$G$6</f>
        <v>0</v>
      </c>
      <c r="Q18" s="14">
        <f>SUMIFS(AllData!$L:$L,AllData!$M:$M,Summary!Q$7,AllData!$B:$B,Summary!$C18)*$G$6</f>
        <v>0</v>
      </c>
      <c r="R18" s="14">
        <f>SUMIFS(AllData!$L:$L,AllData!$M:$M,Summary!R$7,AllData!$B:$B,Summary!$C18)*$G$6</f>
        <v>0</v>
      </c>
      <c r="S18" s="14">
        <f>SUMIFS(AllData!$L:$L,AllData!$M:$M,Summary!S$7,AllData!$B:$B,Summary!$C18)*$G$6</f>
        <v>0</v>
      </c>
      <c r="T18" s="14">
        <f>SUMIFS(AllData!$L:$L,AllData!$M:$M,Summary!T$7,AllData!$B:$B,Summary!$C18)*$G$6</f>
        <v>0</v>
      </c>
      <c r="U18" s="14">
        <f>SUMIFS(AllData!$L:$L,AllData!$M:$M,Summary!U$7,AllData!$B:$B,Summary!$C18)*$G$6</f>
        <v>0</v>
      </c>
      <c r="V18" s="14">
        <f>SUMIFS(AllData!$L:$L,AllData!$M:$M,Summary!V$7,AllData!$B:$B,Summary!$C18)*$G$6</f>
        <v>0</v>
      </c>
      <c r="W18" s="14">
        <f>SUMIFS(AllData!$L:$L,AllData!$M:$M,Summary!W$7,AllData!$B:$B,Summary!$C18)*$G$6</f>
        <v>0</v>
      </c>
      <c r="X18" s="14">
        <f>SUMIFS(AllData!$L:$L,AllData!$M:$M,Summary!X$7,AllData!$B:$B,Summary!$C18)*$G$6</f>
        <v>0</v>
      </c>
      <c r="Y18" s="14">
        <f>SUMIFS(AllData!$L:$L,AllData!$M:$M,Summary!Y$7,AllData!$B:$B,Summary!$C18)*$G$6</f>
        <v>125000</v>
      </c>
      <c r="Z18" s="14">
        <f>SUMIFS(AllData!$L:$L,AllData!$M:$M,Summary!Z$7,AllData!$B:$B,Summary!$C18)*$G$6</f>
        <v>300000</v>
      </c>
      <c r="AA18" s="14">
        <f>SUMIFS(AllData!$L:$L,AllData!$M:$M,Summary!AA$7,AllData!$B:$B,Summary!$C18)*$G$6</f>
        <v>0</v>
      </c>
      <c r="AB18" s="14">
        <f>SUMIFS(AllData!$L:$L,AllData!$M:$M,Summary!AB$7,AllData!$B:$B,Summary!$C18)*$G$6</f>
        <v>0</v>
      </c>
      <c r="AC18" s="14">
        <f>SUMIFS(AllData!$L:$L,AllData!$M:$M,Summary!AC$7,AllData!$B:$B,Summary!$C18)*$G$6</f>
        <v>0</v>
      </c>
      <c r="AD18" s="14">
        <f>SUMIFS(AllData!$L:$L,AllData!$M:$M,Summary!AD$7,AllData!$B:$B,Summary!$C18)*$G$6</f>
        <v>0</v>
      </c>
      <c r="AE18" s="14">
        <f>SUMIFS(AllData!$L:$L,AllData!$M:$M,Summary!AE$7,AllData!$B:$B,Summary!$C18)*$G$6</f>
        <v>0</v>
      </c>
      <c r="AF18" s="14">
        <f>SUMIFS(AllData!$L:$L,AllData!$M:$M,Summary!AF$7,AllData!$B:$B,Summary!$C18)*$G$6</f>
        <v>0</v>
      </c>
      <c r="AG18" s="14">
        <f>SUMIFS(AllData!$L:$L,AllData!$M:$M,Summary!AG$7,AllData!$B:$B,Summary!$C18)*$G$6</f>
        <v>75000</v>
      </c>
      <c r="AH18" s="14">
        <f>SUMIFS(AllData!$L:$L,AllData!$M:$M,Summary!AH$7,AllData!$B:$B,Summary!$C18)*$G$6</f>
        <v>25000</v>
      </c>
      <c r="AI18" s="14">
        <f>SUMIFS(AllData!$L:$L,AllData!$M:$M,Summary!AI$7,AllData!$B:$B,Summary!$C18)*$G$6</f>
        <v>50000</v>
      </c>
      <c r="AJ18" s="14">
        <f>SUMIFS(AllData!$L:$L,AllData!$M:$M,Summary!AJ$7,AllData!$B:$B,Summary!$C18)*$G$6</f>
        <v>100000</v>
      </c>
      <c r="AK18" s="14">
        <f>SUMIFS(AllData!$L:$L,AllData!$M:$M,Summary!AK$7,AllData!$B:$B,Summary!$C18)*$G$6</f>
        <v>75000</v>
      </c>
      <c r="AL18" s="14">
        <f>SUMIFS(AllData!$L:$L,AllData!$M:$M,Summary!AL$7,AllData!$B:$B,Summary!$C18)*$G$6</f>
        <v>50000</v>
      </c>
      <c r="AM18" s="14">
        <f>SUMIFS(AllData!$L:$L,AllData!$M:$M,Summary!AM$7,AllData!$B:$B,Summary!$C18)*$G$6</f>
        <v>125000</v>
      </c>
      <c r="AN18" s="14">
        <f>SUMIFS(AllData!$L:$L,AllData!$M:$M,Summary!AN$7,AllData!$B:$B,Summary!$C18)*$G$6</f>
        <v>0</v>
      </c>
      <c r="AO18" s="14">
        <f>SUMIFS(AllData!$L:$L,AllData!$M:$M,Summary!AO$7,AllData!$B:$B,Summary!$C18)*$G$6</f>
        <v>0</v>
      </c>
      <c r="AP18" s="14">
        <f>SUMIFS(AllData!$L:$L,AllData!$M:$M,Summary!AP$7,AllData!$B:$B,Summary!$C18)*$G$6</f>
        <v>0</v>
      </c>
      <c r="AQ18" s="53"/>
      <c r="AR18" s="53"/>
    </row>
    <row r="19" spans="1:44" ht="15.75" x14ac:dyDescent="0.25">
      <c r="A19" s="55">
        <v>10</v>
      </c>
      <c r="B19" s="54" t="s">
        <v>0</v>
      </c>
      <c r="C19" s="54" t="s">
        <v>392</v>
      </c>
      <c r="D19" s="54" t="s">
        <v>424</v>
      </c>
      <c r="E19" s="56">
        <f t="shared" si="2"/>
        <v>100000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>
        <f>SUMIFS(AllData!$L:$L,AllData!$M:$M,Summary!P$7,AllData!$B:$B,Summary!$C19)*$G$6</f>
        <v>0</v>
      </c>
      <c r="Q19" s="14">
        <f>SUMIFS(AllData!$L:$L,AllData!$M:$M,Summary!Q$7,AllData!$B:$B,Summary!$C19)*$G$6</f>
        <v>0</v>
      </c>
      <c r="R19" s="14">
        <f>SUMIFS(AllData!$L:$L,AllData!$M:$M,Summary!R$7,AllData!$B:$B,Summary!$C19)*$G$6</f>
        <v>0</v>
      </c>
      <c r="S19" s="14">
        <f>SUMIFS(AllData!$L:$L,AllData!$M:$M,Summary!S$7,AllData!$B:$B,Summary!$C19)*$G$6</f>
        <v>0</v>
      </c>
      <c r="T19" s="14">
        <f>SUMIFS(AllData!$L:$L,AllData!$M:$M,Summary!T$7,AllData!$B:$B,Summary!$C19)*$G$6</f>
        <v>0</v>
      </c>
      <c r="U19" s="14">
        <f>SUMIFS(AllData!$L:$L,AllData!$M:$M,Summary!U$7,AllData!$B:$B,Summary!$C19)*$G$6</f>
        <v>0</v>
      </c>
      <c r="V19" s="14">
        <f>SUMIFS(AllData!$L:$L,AllData!$M:$M,Summary!V$7,AllData!$B:$B,Summary!$C19)*$G$6</f>
        <v>0</v>
      </c>
      <c r="W19" s="14">
        <f>SUMIFS(AllData!$L:$L,AllData!$M:$M,Summary!W$7,AllData!$B:$B,Summary!$C19)*$G$6</f>
        <v>0</v>
      </c>
      <c r="X19" s="14">
        <f>SUMIFS(AllData!$L:$L,AllData!$M:$M,Summary!X$7,AllData!$B:$B,Summary!$C19)*$G$6</f>
        <v>0</v>
      </c>
      <c r="Y19" s="14">
        <f>SUMIFS(AllData!$L:$L,AllData!$M:$M,Summary!Y$7,AllData!$B:$B,Summary!$C19)*$G$6</f>
        <v>0</v>
      </c>
      <c r="Z19" s="14">
        <f>SUMIFS(AllData!$L:$L,AllData!$M:$M,Summary!Z$7,AllData!$B:$B,Summary!$C19)*$G$6</f>
        <v>0</v>
      </c>
      <c r="AA19" s="14">
        <f>SUMIFS(AllData!$L:$L,AllData!$M:$M,Summary!AA$7,AllData!$B:$B,Summary!$C19)*$G$6</f>
        <v>0</v>
      </c>
      <c r="AB19" s="14">
        <f>SUMIFS(AllData!$L:$L,AllData!$M:$M,Summary!AB$7,AllData!$B:$B,Summary!$C19)*$G$6</f>
        <v>0</v>
      </c>
      <c r="AC19" s="14">
        <f>SUMIFS(AllData!$L:$L,AllData!$M:$M,Summary!AC$7,AllData!$B:$B,Summary!$C19)*$G$6</f>
        <v>0</v>
      </c>
      <c r="AD19" s="14">
        <f>SUMIFS(AllData!$L:$L,AllData!$M:$M,Summary!AD$7,AllData!$B:$B,Summary!$C19)*$G$6</f>
        <v>0</v>
      </c>
      <c r="AE19" s="14">
        <f>SUMIFS(AllData!$L:$L,AllData!$M:$M,Summary!AE$7,AllData!$B:$B,Summary!$C19)*$G$6</f>
        <v>0</v>
      </c>
      <c r="AF19" s="14">
        <f>SUMIFS(AllData!$L:$L,AllData!$M:$M,Summary!AF$7,AllData!$B:$B,Summary!$C19)*$G$6</f>
        <v>0</v>
      </c>
      <c r="AG19" s="14">
        <f>SUMIFS(AllData!$L:$L,AllData!$M:$M,Summary!AG$7,AllData!$B:$B,Summary!$C19)*$G$6</f>
        <v>100000</v>
      </c>
      <c r="AH19" s="14">
        <f>SUMIFS(AllData!$L:$L,AllData!$M:$M,Summary!AH$7,AllData!$B:$B,Summary!$C19)*$G$6</f>
        <v>0</v>
      </c>
      <c r="AI19" s="14">
        <f>SUMIFS(AllData!$L:$L,AllData!$M:$M,Summary!AI$7,AllData!$B:$B,Summary!$C19)*$G$6</f>
        <v>0</v>
      </c>
      <c r="AJ19" s="14">
        <f>SUMIFS(AllData!$L:$L,AllData!$M:$M,Summary!AJ$7,AllData!$B:$B,Summary!$C19)*$G$6</f>
        <v>0</v>
      </c>
      <c r="AK19" s="14">
        <f>SUMIFS(AllData!$L:$L,AllData!$M:$M,Summary!AK$7,AllData!$B:$B,Summary!$C19)*$G$6</f>
        <v>0</v>
      </c>
      <c r="AL19" s="14">
        <f>SUMIFS(AllData!$L:$L,AllData!$M:$M,Summary!AL$7,AllData!$B:$B,Summary!$C19)*$G$6</f>
        <v>0</v>
      </c>
      <c r="AM19" s="14">
        <f>SUMIFS(AllData!$L:$L,AllData!$M:$M,Summary!AM$7,AllData!$B:$B,Summary!$C19)*$G$6</f>
        <v>0</v>
      </c>
      <c r="AN19" s="14">
        <f>SUMIFS(AllData!$L:$L,AllData!$M:$M,Summary!AN$7,AllData!$B:$B,Summary!$C19)*$G$6</f>
        <v>0</v>
      </c>
      <c r="AO19" s="14">
        <f>SUMIFS(AllData!$L:$L,AllData!$M:$M,Summary!AO$7,AllData!$B:$B,Summary!$C19)*$G$6</f>
        <v>0</v>
      </c>
      <c r="AP19" s="14">
        <f>SUMIFS(AllData!$L:$L,AllData!$M:$M,Summary!AP$7,AllData!$B:$B,Summary!$C19)*$G$6</f>
        <v>0</v>
      </c>
      <c r="AQ19" s="53"/>
      <c r="AR19" s="53"/>
    </row>
    <row r="20" spans="1:44" ht="15.75" x14ac:dyDescent="0.25">
      <c r="A20" s="55">
        <v>11</v>
      </c>
      <c r="B20" s="54" t="s">
        <v>0</v>
      </c>
      <c r="C20" s="54" t="s">
        <v>397</v>
      </c>
      <c r="D20" s="54" t="s">
        <v>424</v>
      </c>
      <c r="E20" s="56">
        <f t="shared" ref="E20" si="5">SUM(F20:BA20)</f>
        <v>50000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>
        <f>SUMIFS(AllData!$L:$L,AllData!$M:$M,Summary!P$7,AllData!$B:$B,Summary!$C20)*$G$6</f>
        <v>0</v>
      </c>
      <c r="Q20" s="14">
        <f>SUMIFS(AllData!$L:$L,AllData!$M:$M,Summary!Q$7,AllData!$B:$B,Summary!$C20)*$G$6</f>
        <v>0</v>
      </c>
      <c r="R20" s="14">
        <f>SUMIFS(AllData!$L:$L,AllData!$M:$M,Summary!R$7,AllData!$B:$B,Summary!$C20)*$G$6</f>
        <v>0</v>
      </c>
      <c r="S20" s="14">
        <f>SUMIFS(AllData!$L:$L,AllData!$M:$M,Summary!S$7,AllData!$B:$B,Summary!$C20)*$G$6</f>
        <v>0</v>
      </c>
      <c r="T20" s="14">
        <f>SUMIFS(AllData!$L:$L,AllData!$M:$M,Summary!T$7,AllData!$B:$B,Summary!$C20)*$G$6</f>
        <v>0</v>
      </c>
      <c r="U20" s="14">
        <f>SUMIFS(AllData!$L:$L,AllData!$M:$M,Summary!U$7,AllData!$B:$B,Summary!$C20)*$G$6</f>
        <v>0</v>
      </c>
      <c r="V20" s="14">
        <f>SUMIFS(AllData!$L:$L,AllData!$M:$M,Summary!V$7,AllData!$B:$B,Summary!$C20)*$G$6</f>
        <v>0</v>
      </c>
      <c r="W20" s="14">
        <f>SUMIFS(AllData!$L:$L,AllData!$M:$M,Summary!W$7,AllData!$B:$B,Summary!$C20)*$G$6</f>
        <v>0</v>
      </c>
      <c r="X20" s="14">
        <f>SUMIFS(AllData!$L:$L,AllData!$M:$M,Summary!X$7,AllData!$B:$B,Summary!$C20)*$G$6</f>
        <v>0</v>
      </c>
      <c r="Y20" s="14">
        <f>SUMIFS(AllData!$L:$L,AllData!$M:$M,Summary!Y$7,AllData!$B:$B,Summary!$C20)*$G$6</f>
        <v>0</v>
      </c>
      <c r="Z20" s="14">
        <f>SUMIFS(AllData!$L:$L,AllData!$M:$M,Summary!Z$7,AllData!$B:$B,Summary!$C20)*$G$6</f>
        <v>0</v>
      </c>
      <c r="AA20" s="14">
        <f>SUMIFS(AllData!$L:$L,AllData!$M:$M,Summary!AA$7,AllData!$B:$B,Summary!$C20)*$G$6</f>
        <v>0</v>
      </c>
      <c r="AB20" s="14">
        <f>SUMIFS(AllData!$L:$L,AllData!$M:$M,Summary!AB$7,AllData!$B:$B,Summary!$C20)*$G$6</f>
        <v>0</v>
      </c>
      <c r="AC20" s="14">
        <f>SUMIFS(AllData!$L:$L,AllData!$M:$M,Summary!AC$7,AllData!$B:$B,Summary!$C20)*$G$6</f>
        <v>0</v>
      </c>
      <c r="AD20" s="14">
        <f>SUMIFS(AllData!$L:$L,AllData!$M:$M,Summary!AD$7,AllData!$B:$B,Summary!$C20)*$G$6</f>
        <v>0</v>
      </c>
      <c r="AE20" s="14">
        <f>SUMIFS(AllData!$L:$L,AllData!$M:$M,Summary!AE$7,AllData!$B:$B,Summary!$C20)*$G$6</f>
        <v>0</v>
      </c>
      <c r="AF20" s="14">
        <f>SUMIFS(AllData!$L:$L,AllData!$M:$M,Summary!AF$7,AllData!$B:$B,Summary!$C20)*$G$6</f>
        <v>0</v>
      </c>
      <c r="AG20" s="14">
        <f>SUMIFS(AllData!$L:$L,AllData!$M:$M,Summary!AG$7,AllData!$B:$B,Summary!$C20)*$G$6</f>
        <v>50000</v>
      </c>
      <c r="AH20" s="14">
        <f>SUMIFS(AllData!$L:$L,AllData!$M:$M,Summary!AH$7,AllData!$B:$B,Summary!$C20)*$G$6</f>
        <v>0</v>
      </c>
      <c r="AI20" s="14">
        <f>SUMIFS(AllData!$L:$L,AllData!$M:$M,Summary!AI$7,AllData!$B:$B,Summary!$C20)*$G$6</f>
        <v>0</v>
      </c>
      <c r="AJ20" s="14">
        <f>SUMIFS(AllData!$L:$L,AllData!$M:$M,Summary!AJ$7,AllData!$B:$B,Summary!$C20)*$G$6</f>
        <v>0</v>
      </c>
      <c r="AK20" s="14">
        <f>SUMIFS(AllData!$L:$L,AllData!$M:$M,Summary!AK$7,AllData!$B:$B,Summary!$C20)*$G$6</f>
        <v>0</v>
      </c>
      <c r="AL20" s="14">
        <f>SUMIFS(AllData!$L:$L,AllData!$M:$M,Summary!AL$7,AllData!$B:$B,Summary!$C20)*$G$6</f>
        <v>0</v>
      </c>
      <c r="AM20" s="14">
        <f>SUMIFS(AllData!$L:$L,AllData!$M:$M,Summary!AM$7,AllData!$B:$B,Summary!$C20)*$G$6</f>
        <v>0</v>
      </c>
      <c r="AN20" s="14">
        <f>SUMIFS(AllData!$L:$L,AllData!$M:$M,Summary!AN$7,AllData!$B:$B,Summary!$C20)*$G$6</f>
        <v>0</v>
      </c>
      <c r="AO20" s="14">
        <f>SUMIFS(AllData!$L:$L,AllData!$M:$M,Summary!AO$7,AllData!$B:$B,Summary!$C20)*$G$6</f>
        <v>0</v>
      </c>
      <c r="AP20" s="14">
        <f>SUMIFS(AllData!$L:$L,AllData!$M:$M,Summary!AP$7,AllData!$B:$B,Summary!$C20)*$G$6</f>
        <v>0</v>
      </c>
      <c r="AQ20" s="53"/>
      <c r="AR20" s="53"/>
    </row>
    <row r="21" spans="1:44" ht="15.75" x14ac:dyDescent="0.25">
      <c r="A21" s="55">
        <v>12</v>
      </c>
      <c r="B21" s="54" t="s">
        <v>0</v>
      </c>
      <c r="C21" s="54" t="s">
        <v>362</v>
      </c>
      <c r="D21" s="54" t="s">
        <v>424</v>
      </c>
      <c r="E21" s="56">
        <f t="shared" si="1"/>
        <v>425000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>
        <f>SUMIFS(AllData!$L:$L,AllData!$M:$M,Summary!P$7,AllData!$B:$B,Summary!$C21)*$G$6</f>
        <v>0</v>
      </c>
      <c r="Q21" s="14">
        <f>SUMIFS(AllData!$L:$L,AllData!$M:$M,Summary!Q$7,AllData!$B:$B,Summary!$C21)*$G$6</f>
        <v>0</v>
      </c>
      <c r="R21" s="14">
        <f>SUMIFS(AllData!$L:$L,AllData!$M:$M,Summary!R$7,AllData!$B:$B,Summary!$C21)*$G$6</f>
        <v>0</v>
      </c>
      <c r="S21" s="14">
        <f>SUMIFS(AllData!$L:$L,AllData!$M:$M,Summary!S$7,AllData!$B:$B,Summary!$C21)*$G$6</f>
        <v>0</v>
      </c>
      <c r="T21" s="14">
        <f>SUMIFS(AllData!$L:$L,AllData!$M:$M,Summary!T$7,AllData!$B:$B,Summary!$C21)*$G$6</f>
        <v>0</v>
      </c>
      <c r="U21" s="14">
        <f>SUMIFS(AllData!$L:$L,AllData!$M:$M,Summary!U$7,AllData!$B:$B,Summary!$C21)*$G$6</f>
        <v>0</v>
      </c>
      <c r="V21" s="14">
        <f>SUMIFS(AllData!$L:$L,AllData!$M:$M,Summary!V$7,AllData!$B:$B,Summary!$C21)*$G$6</f>
        <v>0</v>
      </c>
      <c r="W21" s="14">
        <f>SUMIFS(AllData!$L:$L,AllData!$M:$M,Summary!W$7,AllData!$B:$B,Summary!$C21)*$G$6</f>
        <v>0</v>
      </c>
      <c r="X21" s="14">
        <f>SUMIFS(AllData!$L:$L,AllData!$M:$M,Summary!X$7,AllData!$B:$B,Summary!$C21)*$G$6</f>
        <v>0</v>
      </c>
      <c r="Y21" s="14">
        <f>SUMIFS(AllData!$L:$L,AllData!$M:$M,Summary!Y$7,AllData!$B:$B,Summary!$C21)*$G$6</f>
        <v>175000</v>
      </c>
      <c r="Z21" s="14">
        <f>SUMIFS(AllData!$L:$L,AllData!$M:$M,Summary!Z$7,AllData!$B:$B,Summary!$C21)*$G$6</f>
        <v>250000</v>
      </c>
      <c r="AA21" s="14">
        <f>SUMIFS(AllData!$L:$L,AllData!$M:$M,Summary!AA$7,AllData!$B:$B,Summary!$C21)*$G$6</f>
        <v>0</v>
      </c>
      <c r="AB21" s="14">
        <f>SUMIFS(AllData!$L:$L,AllData!$M:$M,Summary!AB$7,AllData!$B:$B,Summary!$C21)*$G$6</f>
        <v>0</v>
      </c>
      <c r="AC21" s="14">
        <f>SUMIFS(AllData!$L:$L,AllData!$M:$M,Summary!AC$7,AllData!$B:$B,Summary!$C21)*$G$6</f>
        <v>0</v>
      </c>
      <c r="AD21" s="14">
        <f>SUMIFS(AllData!$L:$L,AllData!$M:$M,Summary!AD$7,AllData!$B:$B,Summary!$C21)*$G$6</f>
        <v>0</v>
      </c>
      <c r="AE21" s="14">
        <f>SUMIFS(AllData!$L:$L,AllData!$M:$M,Summary!AE$7,AllData!$B:$B,Summary!$C21)*$G$6</f>
        <v>0</v>
      </c>
      <c r="AF21" s="14">
        <f>SUMIFS(AllData!$L:$L,AllData!$M:$M,Summary!AF$7,AllData!$B:$B,Summary!$C21)*$G$6</f>
        <v>0</v>
      </c>
      <c r="AG21" s="14">
        <f>SUMIFS(AllData!$L:$L,AllData!$M:$M,Summary!AG$7,AllData!$B:$B,Summary!$C21)*$G$6</f>
        <v>0</v>
      </c>
      <c r="AH21" s="14">
        <f>SUMIFS(AllData!$L:$L,AllData!$M:$M,Summary!AH$7,AllData!$B:$B,Summary!$C21)*$G$6</f>
        <v>0</v>
      </c>
      <c r="AI21" s="14">
        <f>SUMIFS(AllData!$L:$L,AllData!$M:$M,Summary!AI$7,AllData!$B:$B,Summary!$C21)*$G$6</f>
        <v>0</v>
      </c>
      <c r="AJ21" s="14">
        <f>SUMIFS(AllData!$L:$L,AllData!$M:$M,Summary!AJ$7,AllData!$B:$B,Summary!$C21)*$G$6</f>
        <v>0</v>
      </c>
      <c r="AK21" s="14">
        <f>SUMIFS(AllData!$L:$L,AllData!$M:$M,Summary!AK$7,AllData!$B:$B,Summary!$C21)*$G$6</f>
        <v>0</v>
      </c>
      <c r="AL21" s="14">
        <f>SUMIFS(AllData!$L:$L,AllData!$M:$M,Summary!AL$7,AllData!$B:$B,Summary!$C21)*$G$6</f>
        <v>0</v>
      </c>
      <c r="AM21" s="14">
        <f>SUMIFS(AllData!$L:$L,AllData!$M:$M,Summary!AM$7,AllData!$B:$B,Summary!$C21)*$G$6</f>
        <v>0</v>
      </c>
      <c r="AN21" s="14">
        <f>SUMIFS(AllData!$L:$L,AllData!$M:$M,Summary!AN$7,AllData!$B:$B,Summary!$C21)*$G$6</f>
        <v>0</v>
      </c>
      <c r="AO21" s="14">
        <f>SUMIFS(AllData!$L:$L,AllData!$M:$M,Summary!AO$7,AllData!$B:$B,Summary!$C21)*$G$6</f>
        <v>0</v>
      </c>
      <c r="AP21" s="14">
        <f>SUMIFS(AllData!$L:$L,AllData!$M:$M,Summary!AP$7,AllData!$B:$B,Summary!$C21)*$G$6</f>
        <v>0</v>
      </c>
      <c r="AQ21" s="53"/>
      <c r="AR21" s="53"/>
    </row>
    <row r="22" spans="1:44" ht="15.75" x14ac:dyDescent="0.25">
      <c r="A22" s="55">
        <v>13</v>
      </c>
      <c r="B22" s="54" t="s">
        <v>0</v>
      </c>
      <c r="C22" s="54" t="s">
        <v>376</v>
      </c>
      <c r="D22" s="54" t="s">
        <v>424</v>
      </c>
      <c r="E22" s="56">
        <f t="shared" si="1"/>
        <v>250000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>
        <f>SUMIFS(AllData!$L:$L,AllData!$M:$M,Summary!P$7,AllData!$B:$B,Summary!$C22)*$G$6</f>
        <v>0</v>
      </c>
      <c r="Q22" s="14">
        <f>SUMIFS(AllData!$L:$L,AllData!$M:$M,Summary!Q$7,AllData!$B:$B,Summary!$C22)*$G$6</f>
        <v>0</v>
      </c>
      <c r="R22" s="14">
        <f>SUMIFS(AllData!$L:$L,AllData!$M:$M,Summary!R$7,AllData!$B:$B,Summary!$C22)*$G$6</f>
        <v>0</v>
      </c>
      <c r="S22" s="14">
        <f>SUMIFS(AllData!$L:$L,AllData!$M:$M,Summary!S$7,AllData!$B:$B,Summary!$C22)*$G$6</f>
        <v>0</v>
      </c>
      <c r="T22" s="14">
        <f>SUMIFS(AllData!$L:$L,AllData!$M:$M,Summary!T$7,AllData!$B:$B,Summary!$C22)*$G$6</f>
        <v>0</v>
      </c>
      <c r="U22" s="14">
        <f>SUMIFS(AllData!$L:$L,AllData!$M:$M,Summary!U$7,AllData!$B:$B,Summary!$C22)*$G$6</f>
        <v>0</v>
      </c>
      <c r="V22" s="14">
        <f>SUMIFS(AllData!$L:$L,AllData!$M:$M,Summary!V$7,AllData!$B:$B,Summary!$C22)*$G$6</f>
        <v>0</v>
      </c>
      <c r="W22" s="14">
        <f>SUMIFS(AllData!$L:$L,AllData!$M:$M,Summary!W$7,AllData!$B:$B,Summary!$C22)*$G$6</f>
        <v>0</v>
      </c>
      <c r="X22" s="14">
        <f>SUMIFS(AllData!$L:$L,AllData!$M:$M,Summary!X$7,AllData!$B:$B,Summary!$C22)*$G$6</f>
        <v>0</v>
      </c>
      <c r="Y22" s="14">
        <f>SUMIFS(AllData!$L:$L,AllData!$M:$M,Summary!Y$7,AllData!$B:$B,Summary!$C22)*$G$6</f>
        <v>0</v>
      </c>
      <c r="Z22" s="14">
        <f>SUMIFS(AllData!$L:$L,AllData!$M:$M,Summary!Z$7,AllData!$B:$B,Summary!$C22)*$G$6</f>
        <v>250000</v>
      </c>
      <c r="AA22" s="14">
        <f>SUMIFS(AllData!$L:$L,AllData!$M:$M,Summary!AA$7,AllData!$B:$B,Summary!$C22)*$G$6</f>
        <v>0</v>
      </c>
      <c r="AB22" s="14">
        <f>SUMIFS(AllData!$L:$L,AllData!$M:$M,Summary!AB$7,AllData!$B:$B,Summary!$C22)*$G$6</f>
        <v>0</v>
      </c>
      <c r="AC22" s="14">
        <f>SUMIFS(AllData!$L:$L,AllData!$M:$M,Summary!AC$7,AllData!$B:$B,Summary!$C22)*$G$6</f>
        <v>0</v>
      </c>
      <c r="AD22" s="14">
        <f>SUMIFS(AllData!$L:$L,AllData!$M:$M,Summary!AD$7,AllData!$B:$B,Summary!$C22)*$G$6</f>
        <v>0</v>
      </c>
      <c r="AE22" s="14">
        <f>SUMIFS(AllData!$L:$L,AllData!$M:$M,Summary!AE$7,AllData!$B:$B,Summary!$C22)*$G$6</f>
        <v>0</v>
      </c>
      <c r="AF22" s="14">
        <f>SUMIFS(AllData!$L:$L,AllData!$M:$M,Summary!AF$7,AllData!$B:$B,Summary!$C22)*$G$6</f>
        <v>0</v>
      </c>
      <c r="AG22" s="14">
        <f>SUMIFS(AllData!$L:$L,AllData!$M:$M,Summary!AG$7,AllData!$B:$B,Summary!$C22)*$G$6</f>
        <v>0</v>
      </c>
      <c r="AH22" s="14">
        <f>SUMIFS(AllData!$L:$L,AllData!$M:$M,Summary!AH$7,AllData!$B:$B,Summary!$C22)*$G$6</f>
        <v>0</v>
      </c>
      <c r="AI22" s="14">
        <f>SUMIFS(AllData!$L:$L,AllData!$M:$M,Summary!AI$7,AllData!$B:$B,Summary!$C22)*$G$6</f>
        <v>0</v>
      </c>
      <c r="AJ22" s="14">
        <f>SUMIFS(AllData!$L:$L,AllData!$M:$M,Summary!AJ$7,AllData!$B:$B,Summary!$C22)*$G$6</f>
        <v>0</v>
      </c>
      <c r="AK22" s="14">
        <f>SUMIFS(AllData!$L:$L,AllData!$M:$M,Summary!AK$7,AllData!$B:$B,Summary!$C22)*$G$6</f>
        <v>0</v>
      </c>
      <c r="AL22" s="14">
        <f>SUMIFS(AllData!$L:$L,AllData!$M:$M,Summary!AL$7,AllData!$B:$B,Summary!$C22)*$G$6</f>
        <v>0</v>
      </c>
      <c r="AM22" s="14">
        <f>SUMIFS(AllData!$L:$L,AllData!$M:$M,Summary!AM$7,AllData!$B:$B,Summary!$C22)*$G$6</f>
        <v>0</v>
      </c>
      <c r="AN22" s="14">
        <f>SUMIFS(AllData!$L:$L,AllData!$M:$M,Summary!AN$7,AllData!$B:$B,Summary!$C22)*$G$6</f>
        <v>0</v>
      </c>
      <c r="AO22" s="14">
        <f>SUMIFS(AllData!$L:$L,AllData!$M:$M,Summary!AO$7,AllData!$B:$B,Summary!$C22)*$G$6</f>
        <v>0</v>
      </c>
      <c r="AP22" s="14">
        <f>SUMIFS(AllData!$L:$L,AllData!$M:$M,Summary!AP$7,AllData!$B:$B,Summary!$C22)*$G$6</f>
        <v>0</v>
      </c>
      <c r="AQ22" s="53"/>
      <c r="AR22" s="53"/>
    </row>
    <row r="23" spans="1:44" ht="15.75" x14ac:dyDescent="0.25">
      <c r="A23" s="55">
        <v>14</v>
      </c>
      <c r="B23" s="54" t="s">
        <v>0</v>
      </c>
      <c r="C23" s="54" t="s">
        <v>34</v>
      </c>
      <c r="D23" s="54" t="s">
        <v>424</v>
      </c>
      <c r="E23" s="56">
        <f t="shared" ref="E23" si="6">SUM(F23:BA23)</f>
        <v>3175000</v>
      </c>
      <c r="F23" s="14">
        <f>SUMIFS(AllData!$L:$L,AllData!$M:$M,Summary!F$7,AllData!$B:$B,Summary!$C23)*$G$6</f>
        <v>0</v>
      </c>
      <c r="G23" s="14">
        <f>SUMIFS(AllData!$L:$L,AllData!$M:$M,Summary!G$7,AllData!$B:$B,Summary!$C23)*$G$6</f>
        <v>0</v>
      </c>
      <c r="H23" s="14">
        <f>SUMIFS(AllData!$L:$L,AllData!$M:$M,Summary!H$7,AllData!$B:$B,Summary!$C23)*$G$6</f>
        <v>0</v>
      </c>
      <c r="I23" s="14">
        <f>SUMIFS(AllData!$L:$L,AllData!$M:$M,Summary!I$7,AllData!$B:$B,Summary!$C23)*$G$6</f>
        <v>150000</v>
      </c>
      <c r="J23" s="14">
        <f>SUMIFS(AllData!$L:$L,AllData!$M:$M,Summary!J$7,AllData!$B:$B,Summary!$C23)*$G$6</f>
        <v>225000</v>
      </c>
      <c r="K23" s="14">
        <f>SUMIFS(AllData!$L:$L,AllData!$M:$M,Summary!K$7,AllData!$B:$B,Summary!$C23)*$G$6</f>
        <v>225000</v>
      </c>
      <c r="L23" s="14">
        <f>SUMIFS(AllData!$L:$L,AllData!$M:$M,Summary!L$7,AllData!$B:$B,Summary!$C23)*$G$6</f>
        <v>25000</v>
      </c>
      <c r="M23" s="14">
        <f>SUMIFS(AllData!$L:$L,AllData!$M:$M,Summary!M$7,AllData!$B:$B,Summary!$C23)*$G$6</f>
        <v>175000</v>
      </c>
      <c r="N23" s="14">
        <f>SUMIFS(AllData!$L:$L,AllData!$M:$M,Summary!N$7,AllData!$B:$B,Summary!$C23)*$G$6</f>
        <v>225000</v>
      </c>
      <c r="O23" s="14">
        <f>SUMIFS(AllData!$L:$L,AllData!$M:$M,Summary!O$7,AllData!$B:$B,Summary!$C23)*$G$6</f>
        <v>225000</v>
      </c>
      <c r="P23" s="14">
        <f>SUMIFS(AllData!$L:$L,AllData!$M:$M,Summary!P$7,AllData!$B:$B,Summary!$C23)*$G$6</f>
        <v>200000</v>
      </c>
      <c r="Q23" s="14">
        <f>SUMIFS(AllData!$L:$L,AllData!$M:$M,Summary!Q$7,AllData!$B:$B,Summary!$C23)*$G$6</f>
        <v>150000</v>
      </c>
      <c r="R23" s="14">
        <f>SUMIFS(AllData!$L:$L,AllData!$M:$M,Summary!R$7,AllData!$B:$B,Summary!$C23)*$G$6</f>
        <v>200000</v>
      </c>
      <c r="S23" s="14">
        <f>SUMIFS(AllData!$L:$L,AllData!$M:$M,Summary!S$7,AllData!$B:$B,Summary!$C23)*$G$6</f>
        <v>175000</v>
      </c>
      <c r="T23" s="14">
        <f>SUMIFS(AllData!$L:$L,AllData!$M:$M,Summary!T$7,AllData!$B:$B,Summary!$C23)*$G$6</f>
        <v>75000</v>
      </c>
      <c r="U23" s="14">
        <f>SUMIFS(AllData!$L:$L,AllData!$M:$M,Summary!U$7,AllData!$B:$B,Summary!$C23)*$G$6</f>
        <v>125000</v>
      </c>
      <c r="V23" s="14">
        <f>SUMIFS(AllData!$L:$L,AllData!$M:$M,Summary!V$7,AllData!$B:$B,Summary!$C23)*$G$6</f>
        <v>75000</v>
      </c>
      <c r="W23" s="14">
        <f>SUMIFS(AllData!$L:$L,AllData!$M:$M,Summary!W$7,AllData!$B:$B,Summary!$C23)*$G$6</f>
        <v>325000</v>
      </c>
      <c r="X23" s="14">
        <f>SUMIFS(AllData!$L:$L,AllData!$M:$M,Summary!X$7,AllData!$B:$B,Summary!$C23)*$G$6</f>
        <v>175000</v>
      </c>
      <c r="Y23" s="14">
        <f>SUMIFS(AllData!$L:$L,AllData!$M:$M,Summary!Y$7,AllData!$B:$B,Summary!$C23)*$G$6</f>
        <v>175000</v>
      </c>
      <c r="Z23" s="14">
        <f>SUMIFS(AllData!$L:$L,AllData!$M:$M,Summary!Z$7,AllData!$B:$B,Summary!$C23)*$G$6</f>
        <v>250000</v>
      </c>
      <c r="AA23" s="14">
        <f>SUMIFS(AllData!$L:$L,AllData!$M:$M,Summary!AA$7,AllData!$B:$B,Summary!$C23)*$G$6</f>
        <v>0</v>
      </c>
      <c r="AB23" s="14">
        <f>SUMIFS(AllData!$L:$L,AllData!$M:$M,Summary!AB$7,AllData!$B:$B,Summary!$C23)*$G$6</f>
        <v>0</v>
      </c>
      <c r="AC23" s="14">
        <f>SUMIFS(AllData!$L:$L,AllData!$M:$M,Summary!AC$7,AllData!$B:$B,Summary!$C23)*$G$6</f>
        <v>0</v>
      </c>
      <c r="AD23" s="14">
        <f>SUMIFS(AllData!$L:$L,AllData!$M:$M,Summary!AD$7,AllData!$B:$B,Summary!$C23)*$G$6</f>
        <v>0</v>
      </c>
      <c r="AE23" s="14">
        <f>SUMIFS(AllData!$L:$L,AllData!$M:$M,Summary!AE$7,AllData!$B:$B,Summary!$C23)*$G$6</f>
        <v>0</v>
      </c>
      <c r="AF23" s="14">
        <f>SUMIFS(AllData!$L:$L,AllData!$M:$M,Summary!AF$7,AllData!$B:$B,Summary!$C23)*$G$6</f>
        <v>0</v>
      </c>
      <c r="AG23" s="14">
        <f>SUMIFS(AllData!$L:$L,AllData!$M:$M,Summary!AG$7,AllData!$B:$B,Summary!$C23)*$G$6</f>
        <v>0</v>
      </c>
      <c r="AH23" s="14">
        <f>SUMIFS(AllData!$L:$L,AllData!$M:$M,Summary!AH$7,AllData!$B:$B,Summary!$C23)*$G$6</f>
        <v>0</v>
      </c>
      <c r="AI23" s="14">
        <f>SUMIFS(AllData!$L:$L,AllData!$M:$M,Summary!AI$7,AllData!$B:$B,Summary!$C23)*$G$6</f>
        <v>0</v>
      </c>
      <c r="AJ23" s="14">
        <f>SUMIFS(AllData!$L:$L,AllData!$M:$M,Summary!AJ$7,AllData!$B:$B,Summary!$C23)*$G$6</f>
        <v>0</v>
      </c>
      <c r="AK23" s="14">
        <f>SUMIFS(AllData!$L:$L,AllData!$M:$M,Summary!AK$7,AllData!$B:$B,Summary!$C23)*$G$6</f>
        <v>0</v>
      </c>
      <c r="AL23" s="14">
        <f>SUMIFS(AllData!$L:$L,AllData!$M:$M,Summary!AL$7,AllData!$B:$B,Summary!$C23)*$G$6</f>
        <v>0</v>
      </c>
      <c r="AM23" s="14">
        <f>SUMIFS(AllData!$L:$L,AllData!$M:$M,Summary!AM$7,AllData!$B:$B,Summary!$C23)*$G$6</f>
        <v>0</v>
      </c>
      <c r="AN23" s="14">
        <f>SUMIFS(AllData!$L:$L,AllData!$M:$M,Summary!AN$7,AllData!$B:$B,Summary!$C23)*$G$6</f>
        <v>0</v>
      </c>
      <c r="AO23" s="14">
        <f>SUMIFS(AllData!$L:$L,AllData!$M:$M,Summary!AO$7,AllData!$B:$B,Summary!$C23)*$G$6</f>
        <v>0</v>
      </c>
      <c r="AP23" s="14">
        <f>SUMIFS(AllData!$L:$L,AllData!$M:$M,Summary!AP$7,AllData!$B:$B,Summary!$C23)*$G$6</f>
        <v>0</v>
      </c>
      <c r="AQ23" s="53"/>
      <c r="AR23" s="53"/>
    </row>
    <row r="24" spans="1:44" ht="15.75" x14ac:dyDescent="0.25">
      <c r="A24" s="55">
        <v>15</v>
      </c>
      <c r="B24" s="54" t="s">
        <v>0</v>
      </c>
      <c r="C24" s="54" t="s">
        <v>411</v>
      </c>
      <c r="D24" s="54" t="s">
        <v>424</v>
      </c>
      <c r="E24" s="56">
        <f t="shared" si="1"/>
        <v>50000</v>
      </c>
      <c r="F24" s="14">
        <f>SUMIFS(AllData!$L:$L,AllData!$M:$M,Summary!F$7,AllData!$B:$B,Summary!$C24)*$G$6</f>
        <v>0</v>
      </c>
      <c r="G24" s="14">
        <f>SUMIFS(AllData!$L:$L,AllData!$M:$M,Summary!G$7,AllData!$B:$B,Summary!$C24)*$G$6</f>
        <v>0</v>
      </c>
      <c r="H24" s="14">
        <f>SUMIFS(AllData!$L:$L,AllData!$M:$M,Summary!H$7,AllData!$B:$B,Summary!$C24)*$G$6</f>
        <v>0</v>
      </c>
      <c r="I24" s="14">
        <f>SUMIFS(AllData!$L:$L,AllData!$M:$M,Summary!I$7,AllData!$B:$B,Summary!$C24)*$G$6</f>
        <v>0</v>
      </c>
      <c r="J24" s="14">
        <f>SUMIFS(AllData!$L:$L,AllData!$M:$M,Summary!J$7,AllData!$B:$B,Summary!$C24)*$G$6</f>
        <v>0</v>
      </c>
      <c r="K24" s="14">
        <f>SUMIFS(AllData!$L:$L,AllData!$M:$M,Summary!K$7,AllData!$B:$B,Summary!$C24)*$G$6</f>
        <v>0</v>
      </c>
      <c r="L24" s="14">
        <f>SUMIFS(AllData!$L:$L,AllData!$M:$M,Summary!L$7,AllData!$B:$B,Summary!$C24)*$G$6</f>
        <v>0</v>
      </c>
      <c r="M24" s="14">
        <f>SUMIFS(AllData!$L:$L,AllData!$M:$M,Summary!M$7,AllData!$B:$B,Summary!$C24)*$G$6</f>
        <v>0</v>
      </c>
      <c r="N24" s="14">
        <f>SUMIFS(AllData!$L:$L,AllData!$M:$M,Summary!N$7,AllData!$B:$B,Summary!$C24)*$G$6</f>
        <v>0</v>
      </c>
      <c r="O24" s="14">
        <f>SUMIFS(AllData!$L:$L,AllData!$M:$M,Summary!O$7,AllData!$B:$B,Summary!$C24)*$G$6</f>
        <v>0</v>
      </c>
      <c r="P24" s="14">
        <f>SUMIFS(AllData!$L:$L,AllData!$M:$M,Summary!P$7,AllData!$B:$B,Summary!$C24)*$G$6</f>
        <v>0</v>
      </c>
      <c r="Q24" s="14">
        <f>SUMIFS(AllData!$L:$L,AllData!$M:$M,Summary!Q$7,AllData!$B:$B,Summary!$C24)*$G$6</f>
        <v>0</v>
      </c>
      <c r="R24" s="14">
        <f>SUMIFS(AllData!$L:$L,AllData!$M:$M,Summary!R$7,AllData!$B:$B,Summary!$C24)*$G$6</f>
        <v>0</v>
      </c>
      <c r="S24" s="14">
        <f>SUMIFS(AllData!$L:$L,AllData!$M:$M,Summary!S$7,AllData!$B:$B,Summary!$C24)*$G$6</f>
        <v>0</v>
      </c>
      <c r="T24" s="14">
        <f>SUMIFS(AllData!$L:$L,AllData!$M:$M,Summary!T$7,AllData!$B:$B,Summary!$C24)*$G$6</f>
        <v>0</v>
      </c>
      <c r="U24" s="14">
        <f>SUMIFS(AllData!$L:$L,AllData!$M:$M,Summary!U$7,AllData!$B:$B,Summary!$C24)*$G$6</f>
        <v>0</v>
      </c>
      <c r="V24" s="14">
        <f>SUMIFS(AllData!$L:$L,AllData!$M:$M,Summary!V$7,AllData!$B:$B,Summary!$C24)*$G$6</f>
        <v>0</v>
      </c>
      <c r="W24" s="14">
        <f>SUMIFS(AllData!$L:$L,AllData!$M:$M,Summary!W$7,AllData!$B:$B,Summary!$C24)*$G$6</f>
        <v>0</v>
      </c>
      <c r="X24" s="14">
        <f>SUMIFS(AllData!$L:$L,AllData!$M:$M,Summary!X$7,AllData!$B:$B,Summary!$C24)*$G$6</f>
        <v>0</v>
      </c>
      <c r="Y24" s="14">
        <f>SUMIFS(AllData!$L:$L,AllData!$M:$M,Summary!Y$7,AllData!$B:$B,Summary!$C24)*$G$6</f>
        <v>0</v>
      </c>
      <c r="Z24" s="14">
        <f>SUMIFS(AllData!$L:$L,AllData!$M:$M,Summary!Z$7,AllData!$B:$B,Summary!$C24)*$G$6</f>
        <v>0</v>
      </c>
      <c r="AA24" s="14">
        <f>SUMIFS(AllData!$L:$L,AllData!$M:$M,Summary!AA$7,AllData!$B:$B,Summary!$C24)*$G$6</f>
        <v>0</v>
      </c>
      <c r="AB24" s="14">
        <f>SUMIFS(AllData!$L:$L,AllData!$M:$M,Summary!AB$7,AllData!$B:$B,Summary!$C24)*$G$6</f>
        <v>0</v>
      </c>
      <c r="AC24" s="14">
        <f>SUMIFS(AllData!$L:$L,AllData!$M:$M,Summary!AC$7,AllData!$B:$B,Summary!$C24)*$G$6</f>
        <v>0</v>
      </c>
      <c r="AD24" s="14">
        <f>SUMIFS(AllData!$L:$L,AllData!$M:$M,Summary!AD$7,AllData!$B:$B,Summary!$C24)*$G$6</f>
        <v>0</v>
      </c>
      <c r="AE24" s="14">
        <f>SUMIFS(AllData!$L:$L,AllData!$M:$M,Summary!AE$7,AllData!$B:$B,Summary!$C24)*$G$6</f>
        <v>0</v>
      </c>
      <c r="AF24" s="14">
        <f>SUMIFS(AllData!$L:$L,AllData!$M:$M,Summary!AF$7,AllData!$B:$B,Summary!$C24)*$G$6</f>
        <v>0</v>
      </c>
      <c r="AG24" s="14">
        <f>SUMIFS(AllData!$L:$L,AllData!$M:$M,Summary!AG$7,AllData!$B:$B,Summary!$C24)*$G$6</f>
        <v>0</v>
      </c>
      <c r="AH24" s="14">
        <f>SUMIFS(AllData!$L:$L,AllData!$M:$M,Summary!AH$7,AllData!$B:$B,Summary!$C24)*$G$6</f>
        <v>25000</v>
      </c>
      <c r="AI24" s="14">
        <f>SUMIFS(AllData!$L:$L,AllData!$M:$M,Summary!AI$7,AllData!$B:$B,Summary!$C24)*$G$6</f>
        <v>25000</v>
      </c>
      <c r="AJ24" s="14">
        <f>SUMIFS(AllData!$L:$L,AllData!$M:$M,Summary!AJ$7,AllData!$B:$B,Summary!$C24)*$G$6</f>
        <v>0</v>
      </c>
      <c r="AK24" s="14">
        <f>SUMIFS(AllData!$L:$L,AllData!$M:$M,Summary!AK$7,AllData!$B:$B,Summary!$C24)*$G$6</f>
        <v>0</v>
      </c>
      <c r="AL24" s="14">
        <f>SUMIFS(AllData!$L:$L,AllData!$M:$M,Summary!AL$7,AllData!$B:$B,Summary!$C24)*$G$6</f>
        <v>0</v>
      </c>
      <c r="AM24" s="14">
        <f>SUMIFS(AllData!$L:$L,AllData!$M:$M,Summary!AM$7,AllData!$B:$B,Summary!$C24)*$G$6</f>
        <v>0</v>
      </c>
      <c r="AN24" s="14">
        <f>SUMIFS(AllData!$L:$L,AllData!$M:$M,Summary!AN$7,AllData!$B:$B,Summary!$C24)*$G$6</f>
        <v>0</v>
      </c>
      <c r="AO24" s="14">
        <f>SUMIFS(AllData!$L:$L,AllData!$M:$M,Summary!AO$7,AllData!$B:$B,Summary!$C24)*$G$6</f>
        <v>0</v>
      </c>
      <c r="AP24" s="14">
        <f>SUMIFS(AllData!$L:$L,AllData!$M:$M,Summary!AP$7,AllData!$B:$B,Summary!$C24)*$G$6</f>
        <v>0</v>
      </c>
      <c r="AQ24" s="53"/>
      <c r="AR24" s="53"/>
    </row>
    <row r="25" spans="1:44" ht="15.75" x14ac:dyDescent="0.25">
      <c r="A25" s="8"/>
      <c r="B25" s="2" t="s">
        <v>104</v>
      </c>
      <c r="C25" s="8"/>
      <c r="D25" s="8"/>
      <c r="E25" s="56">
        <f t="shared" si="1"/>
        <v>24225000</v>
      </c>
      <c r="F25" s="14"/>
      <c r="G25" s="14"/>
      <c r="H25" s="14">
        <f t="shared" ref="H25:AP25" si="7">SUM(H8:H24)</f>
        <v>225000</v>
      </c>
      <c r="I25" s="14">
        <f t="shared" si="7"/>
        <v>500000</v>
      </c>
      <c r="J25" s="14">
        <f t="shared" si="7"/>
        <v>725000</v>
      </c>
      <c r="K25" s="14">
        <f t="shared" si="7"/>
        <v>725000</v>
      </c>
      <c r="L25" s="14">
        <f t="shared" si="7"/>
        <v>300000</v>
      </c>
      <c r="M25" s="14">
        <f t="shared" si="7"/>
        <v>925000</v>
      </c>
      <c r="N25" s="14">
        <f t="shared" si="7"/>
        <v>1325000</v>
      </c>
      <c r="O25" s="14">
        <f t="shared" si="7"/>
        <v>1325000</v>
      </c>
      <c r="P25" s="14">
        <f t="shared" si="7"/>
        <v>1150000</v>
      </c>
      <c r="Q25" s="14">
        <f t="shared" si="7"/>
        <v>1000000</v>
      </c>
      <c r="R25" s="14">
        <f t="shared" si="7"/>
        <v>975000</v>
      </c>
      <c r="S25" s="14">
        <f t="shared" si="7"/>
        <v>1050000</v>
      </c>
      <c r="T25" s="14">
        <f t="shared" si="7"/>
        <v>725000</v>
      </c>
      <c r="U25" s="14">
        <f t="shared" si="7"/>
        <v>400000</v>
      </c>
      <c r="V25" s="14">
        <f t="shared" si="7"/>
        <v>500000</v>
      </c>
      <c r="W25" s="14">
        <f t="shared" si="7"/>
        <v>1700000</v>
      </c>
      <c r="X25" s="14">
        <f t="shared" si="7"/>
        <v>875000</v>
      </c>
      <c r="Y25" s="14">
        <f t="shared" si="7"/>
        <v>1625000</v>
      </c>
      <c r="Z25" s="14">
        <f t="shared" si="7"/>
        <v>2325000</v>
      </c>
      <c r="AA25" s="14">
        <f t="shared" si="7"/>
        <v>0</v>
      </c>
      <c r="AB25" s="14">
        <f t="shared" si="7"/>
        <v>0</v>
      </c>
      <c r="AC25" s="14">
        <f t="shared" si="7"/>
        <v>0</v>
      </c>
      <c r="AD25" s="14">
        <f t="shared" si="7"/>
        <v>0</v>
      </c>
      <c r="AE25" s="14">
        <f t="shared" si="7"/>
        <v>0</v>
      </c>
      <c r="AF25" s="14">
        <f t="shared" si="7"/>
        <v>0</v>
      </c>
      <c r="AG25" s="14">
        <f t="shared" si="7"/>
        <v>975000</v>
      </c>
      <c r="AH25" s="14">
        <f t="shared" si="7"/>
        <v>175000</v>
      </c>
      <c r="AI25" s="14">
        <f t="shared" si="7"/>
        <v>1025000</v>
      </c>
      <c r="AJ25" s="14">
        <f t="shared" si="7"/>
        <v>775000</v>
      </c>
      <c r="AK25" s="14">
        <f t="shared" si="7"/>
        <v>600000</v>
      </c>
      <c r="AL25" s="14">
        <f t="shared" si="7"/>
        <v>425000</v>
      </c>
      <c r="AM25" s="14">
        <f t="shared" si="7"/>
        <v>1200000</v>
      </c>
      <c r="AN25" s="14">
        <f t="shared" si="7"/>
        <v>675000</v>
      </c>
      <c r="AO25" s="14">
        <f t="shared" si="7"/>
        <v>0</v>
      </c>
      <c r="AP25" s="14">
        <f t="shared" si="7"/>
        <v>0</v>
      </c>
      <c r="AQ25" s="53"/>
      <c r="AR25" s="53"/>
    </row>
  </sheetData>
  <mergeCells count="1">
    <mergeCell ref="A6:F6"/>
  </mergeCells>
  <conditionalFormatting sqref="F21:F22 F24 F8:AP8 F18:AP18 F10:AP13">
    <cfRule type="cellIs" dxfId="2163" priority="751" operator="equal">
      <formula>0</formula>
    </cfRule>
  </conditionalFormatting>
  <conditionalFormatting sqref="R21:R22 R24">
    <cfRule type="cellIs" dxfId="2162" priority="345" operator="equal">
      <formula>0</formula>
    </cfRule>
  </conditionalFormatting>
  <conditionalFormatting sqref="S21:S22 S24">
    <cfRule type="cellIs" dxfId="2161" priority="344" operator="equal">
      <formula>0</formula>
    </cfRule>
  </conditionalFormatting>
  <conditionalFormatting sqref="Q21:Q22 Q24">
    <cfRule type="cellIs" dxfId="2160" priority="346" operator="equal">
      <formula>0</formula>
    </cfRule>
  </conditionalFormatting>
  <conditionalFormatting sqref="G21:G22 G24">
    <cfRule type="cellIs" dxfId="2159" priority="359" operator="equal">
      <formula>0</formula>
    </cfRule>
  </conditionalFormatting>
  <conditionalFormatting sqref="H21:H22 H24">
    <cfRule type="cellIs" dxfId="2158" priority="358" operator="equal">
      <formula>0</formula>
    </cfRule>
  </conditionalFormatting>
  <conditionalFormatting sqref="I21:I22 I24">
    <cfRule type="cellIs" dxfId="2157" priority="357" operator="equal">
      <formula>0</formula>
    </cfRule>
  </conditionalFormatting>
  <conditionalFormatting sqref="J21:J22 J24">
    <cfRule type="cellIs" dxfId="2156" priority="356" operator="equal">
      <formula>0</formula>
    </cfRule>
  </conditionalFormatting>
  <conditionalFormatting sqref="K21:K22 K24">
    <cfRule type="cellIs" dxfId="2155" priority="355" operator="equal">
      <formula>0</formula>
    </cfRule>
  </conditionalFormatting>
  <conditionalFormatting sqref="L21:L22 L24">
    <cfRule type="cellIs" dxfId="2154" priority="354" operator="equal">
      <formula>0</formula>
    </cfRule>
  </conditionalFormatting>
  <conditionalFormatting sqref="M21:M22 M24">
    <cfRule type="cellIs" dxfId="2153" priority="353" operator="equal">
      <formula>0</formula>
    </cfRule>
  </conditionalFormatting>
  <conditionalFormatting sqref="N21:N22 N24">
    <cfRule type="cellIs" dxfId="2152" priority="352" operator="equal">
      <formula>0</formula>
    </cfRule>
  </conditionalFormatting>
  <conditionalFormatting sqref="O21:O22 O24">
    <cfRule type="cellIs" dxfId="2151" priority="350" operator="equal">
      <formula>0</formula>
    </cfRule>
  </conditionalFormatting>
  <conditionalFormatting sqref="P21:P22 P24">
    <cfRule type="cellIs" dxfId="2150" priority="349" operator="equal">
      <formula>0</formula>
    </cfRule>
  </conditionalFormatting>
  <conditionalFormatting sqref="T21:T22 T24">
    <cfRule type="cellIs" dxfId="2149" priority="343" operator="equal">
      <formula>0</formula>
    </cfRule>
  </conditionalFormatting>
  <conditionalFormatting sqref="F25">
    <cfRule type="cellIs" dxfId="2148" priority="341" operator="equal">
      <formula>0</formula>
    </cfRule>
  </conditionalFormatting>
  <conditionalFormatting sqref="R25">
    <cfRule type="cellIs" dxfId="2147" priority="329" operator="equal">
      <formula>0</formula>
    </cfRule>
  </conditionalFormatting>
  <conditionalFormatting sqref="S25">
    <cfRule type="cellIs" dxfId="2146" priority="328" operator="equal">
      <formula>0</formula>
    </cfRule>
  </conditionalFormatting>
  <conditionalFormatting sqref="Q25">
    <cfRule type="cellIs" dxfId="2145" priority="330" operator="equal">
      <formula>0</formula>
    </cfRule>
  </conditionalFormatting>
  <conditionalFormatting sqref="G25">
    <cfRule type="cellIs" dxfId="2144" priority="340" operator="equal">
      <formula>0</formula>
    </cfRule>
  </conditionalFormatting>
  <conditionalFormatting sqref="H25:T25">
    <cfRule type="cellIs" dxfId="2143" priority="339" operator="equal">
      <formula>0</formula>
    </cfRule>
  </conditionalFormatting>
  <conditionalFormatting sqref="I25">
    <cfRule type="cellIs" dxfId="2142" priority="338" operator="equal">
      <formula>0</formula>
    </cfRule>
  </conditionalFormatting>
  <conditionalFormatting sqref="J25">
    <cfRule type="cellIs" dxfId="2141" priority="337" operator="equal">
      <formula>0</formula>
    </cfRule>
  </conditionalFormatting>
  <conditionalFormatting sqref="K25">
    <cfRule type="cellIs" dxfId="2140" priority="336" operator="equal">
      <formula>0</formula>
    </cfRule>
  </conditionalFormatting>
  <conditionalFormatting sqref="L25">
    <cfRule type="cellIs" dxfId="2139" priority="335" operator="equal">
      <formula>0</formula>
    </cfRule>
  </conditionalFormatting>
  <conditionalFormatting sqref="M25">
    <cfRule type="cellIs" dxfId="2138" priority="334" operator="equal">
      <formula>0</formula>
    </cfRule>
  </conditionalFormatting>
  <conditionalFormatting sqref="N25">
    <cfRule type="cellIs" dxfId="2137" priority="333" operator="equal">
      <formula>0</formula>
    </cfRule>
  </conditionalFormatting>
  <conditionalFormatting sqref="O25">
    <cfRule type="cellIs" dxfId="2136" priority="332" operator="equal">
      <formula>0</formula>
    </cfRule>
  </conditionalFormatting>
  <conditionalFormatting sqref="P25">
    <cfRule type="cellIs" dxfId="2135" priority="331" operator="equal">
      <formula>0</formula>
    </cfRule>
  </conditionalFormatting>
  <conditionalFormatting sqref="T25">
    <cfRule type="cellIs" dxfId="2134" priority="327" operator="equal">
      <formula>0</formula>
    </cfRule>
  </conditionalFormatting>
  <conditionalFormatting sqref="U21:U22 U24">
    <cfRule type="cellIs" dxfId="2133" priority="326" operator="equal">
      <formula>0</formula>
    </cfRule>
  </conditionalFormatting>
  <conditionalFormatting sqref="U25">
    <cfRule type="cellIs" dxfId="2132" priority="325" operator="equal">
      <formula>0</formula>
    </cfRule>
  </conditionalFormatting>
  <conditionalFormatting sqref="U25">
    <cfRule type="cellIs" dxfId="2131" priority="324" operator="equal">
      <formula>0</formula>
    </cfRule>
  </conditionalFormatting>
  <conditionalFormatting sqref="V21:V22 V24">
    <cfRule type="cellIs" dxfId="2130" priority="323" operator="equal">
      <formula>0</formula>
    </cfRule>
  </conditionalFormatting>
  <conditionalFormatting sqref="V25">
    <cfRule type="cellIs" dxfId="2129" priority="322" operator="equal">
      <formula>0</formula>
    </cfRule>
  </conditionalFormatting>
  <conditionalFormatting sqref="V25">
    <cfRule type="cellIs" dxfId="2128" priority="321" operator="equal">
      <formula>0</formula>
    </cfRule>
  </conditionalFormatting>
  <conditionalFormatting sqref="W21:W22 W24">
    <cfRule type="cellIs" dxfId="2127" priority="320" operator="equal">
      <formula>0</formula>
    </cfRule>
  </conditionalFormatting>
  <conditionalFormatting sqref="W25">
    <cfRule type="cellIs" dxfId="2126" priority="319" operator="equal">
      <formula>0</formula>
    </cfRule>
  </conditionalFormatting>
  <conditionalFormatting sqref="W25">
    <cfRule type="cellIs" dxfId="2125" priority="318" operator="equal">
      <formula>0</formula>
    </cfRule>
  </conditionalFormatting>
  <conditionalFormatting sqref="X21:X22 X24">
    <cfRule type="cellIs" dxfId="2124" priority="317" operator="equal">
      <formula>0</formula>
    </cfRule>
  </conditionalFormatting>
  <conditionalFormatting sqref="X25">
    <cfRule type="cellIs" dxfId="2123" priority="316" operator="equal">
      <formula>0</formula>
    </cfRule>
  </conditionalFormatting>
  <conditionalFormatting sqref="X25">
    <cfRule type="cellIs" dxfId="2122" priority="315" operator="equal">
      <formula>0</formula>
    </cfRule>
  </conditionalFormatting>
  <conditionalFormatting sqref="Y21:Y22 Y24">
    <cfRule type="cellIs" dxfId="2121" priority="314" operator="equal">
      <formula>0</formula>
    </cfRule>
  </conditionalFormatting>
  <conditionalFormatting sqref="Y25">
    <cfRule type="cellIs" dxfId="2120" priority="313" operator="equal">
      <formula>0</formula>
    </cfRule>
  </conditionalFormatting>
  <conditionalFormatting sqref="Y25">
    <cfRule type="cellIs" dxfId="2119" priority="312" operator="equal">
      <formula>0</formula>
    </cfRule>
  </conditionalFormatting>
  <conditionalFormatting sqref="Z21:Z22 Z24">
    <cfRule type="cellIs" dxfId="2118" priority="311" operator="equal">
      <formula>0</formula>
    </cfRule>
  </conditionalFormatting>
  <conditionalFormatting sqref="Z25">
    <cfRule type="cellIs" dxfId="2117" priority="310" operator="equal">
      <formula>0</formula>
    </cfRule>
  </conditionalFormatting>
  <conditionalFormatting sqref="Z25">
    <cfRule type="cellIs" dxfId="2116" priority="309" operator="equal">
      <formula>0</formula>
    </cfRule>
  </conditionalFormatting>
  <conditionalFormatting sqref="AA21:AA22 AA24">
    <cfRule type="cellIs" dxfId="2115" priority="308" operator="equal">
      <formula>0</formula>
    </cfRule>
  </conditionalFormatting>
  <conditionalFormatting sqref="AA25">
    <cfRule type="cellIs" dxfId="2114" priority="307" operator="equal">
      <formula>0</formula>
    </cfRule>
  </conditionalFormatting>
  <conditionalFormatting sqref="AA25">
    <cfRule type="cellIs" dxfId="2113" priority="306" operator="equal">
      <formula>0</formula>
    </cfRule>
  </conditionalFormatting>
  <conditionalFormatting sqref="AB21:AB22 AB24">
    <cfRule type="cellIs" dxfId="2112" priority="305" operator="equal">
      <formula>0</formula>
    </cfRule>
  </conditionalFormatting>
  <conditionalFormatting sqref="AB25">
    <cfRule type="cellIs" dxfId="2111" priority="304" operator="equal">
      <formula>0</formula>
    </cfRule>
  </conditionalFormatting>
  <conditionalFormatting sqref="AB25">
    <cfRule type="cellIs" dxfId="2110" priority="303" operator="equal">
      <formula>0</formula>
    </cfRule>
  </conditionalFormatting>
  <conditionalFormatting sqref="AC21:AC22 AC24">
    <cfRule type="cellIs" dxfId="2109" priority="302" operator="equal">
      <formula>0</formula>
    </cfRule>
  </conditionalFormatting>
  <conditionalFormatting sqref="AC25">
    <cfRule type="cellIs" dxfId="2108" priority="301" operator="equal">
      <formula>0</formula>
    </cfRule>
  </conditionalFormatting>
  <conditionalFormatting sqref="AC25">
    <cfRule type="cellIs" dxfId="2107" priority="300" operator="equal">
      <formula>0</formula>
    </cfRule>
  </conditionalFormatting>
  <conditionalFormatting sqref="AD21:AD22 AD24">
    <cfRule type="cellIs" dxfId="2106" priority="299" operator="equal">
      <formula>0</formula>
    </cfRule>
  </conditionalFormatting>
  <conditionalFormatting sqref="AD25">
    <cfRule type="cellIs" dxfId="2105" priority="298" operator="equal">
      <formula>0</formula>
    </cfRule>
  </conditionalFormatting>
  <conditionalFormatting sqref="AD25">
    <cfRule type="cellIs" dxfId="2104" priority="297" operator="equal">
      <formula>0</formula>
    </cfRule>
  </conditionalFormatting>
  <conditionalFormatting sqref="AE21:AE22 AE24">
    <cfRule type="cellIs" dxfId="2103" priority="296" operator="equal">
      <formula>0</formula>
    </cfRule>
  </conditionalFormatting>
  <conditionalFormatting sqref="AE25">
    <cfRule type="cellIs" dxfId="2102" priority="295" operator="equal">
      <formula>0</formula>
    </cfRule>
  </conditionalFormatting>
  <conditionalFormatting sqref="AE25">
    <cfRule type="cellIs" dxfId="2101" priority="294" operator="equal">
      <formula>0</formula>
    </cfRule>
  </conditionalFormatting>
  <conditionalFormatting sqref="AF21:AF22 AF24">
    <cfRule type="cellIs" dxfId="2100" priority="293" operator="equal">
      <formula>0</formula>
    </cfRule>
  </conditionalFormatting>
  <conditionalFormatting sqref="AF25">
    <cfRule type="cellIs" dxfId="2099" priority="292" operator="equal">
      <formula>0</formula>
    </cfRule>
  </conditionalFormatting>
  <conditionalFormatting sqref="AF25">
    <cfRule type="cellIs" dxfId="2098" priority="291" operator="equal">
      <formula>0</formula>
    </cfRule>
  </conditionalFormatting>
  <conditionalFormatting sqref="AG21:AG22 AG24">
    <cfRule type="cellIs" dxfId="2097" priority="290" operator="equal">
      <formula>0</formula>
    </cfRule>
  </conditionalFormatting>
  <conditionalFormatting sqref="AG25">
    <cfRule type="cellIs" dxfId="2096" priority="289" operator="equal">
      <formula>0</formula>
    </cfRule>
  </conditionalFormatting>
  <conditionalFormatting sqref="AG25">
    <cfRule type="cellIs" dxfId="2095" priority="288" operator="equal">
      <formula>0</formula>
    </cfRule>
  </conditionalFormatting>
  <conditionalFormatting sqref="AH21:AH22 AH24">
    <cfRule type="cellIs" dxfId="2094" priority="287" operator="equal">
      <formula>0</formula>
    </cfRule>
  </conditionalFormatting>
  <conditionalFormatting sqref="AH25">
    <cfRule type="cellIs" dxfId="2093" priority="286" operator="equal">
      <formula>0</formula>
    </cfRule>
  </conditionalFormatting>
  <conditionalFormatting sqref="AH25">
    <cfRule type="cellIs" dxfId="2092" priority="285" operator="equal">
      <formula>0</formula>
    </cfRule>
  </conditionalFormatting>
  <conditionalFormatting sqref="AI21:AI22 AI24">
    <cfRule type="cellIs" dxfId="2091" priority="284" operator="equal">
      <formula>0</formula>
    </cfRule>
  </conditionalFormatting>
  <conditionalFormatting sqref="AI25">
    <cfRule type="cellIs" dxfId="2090" priority="283" operator="equal">
      <formula>0</formula>
    </cfRule>
  </conditionalFormatting>
  <conditionalFormatting sqref="AI25">
    <cfRule type="cellIs" dxfId="2089" priority="282" operator="equal">
      <formula>0</formula>
    </cfRule>
  </conditionalFormatting>
  <conditionalFormatting sqref="AJ21:AJ22 AJ24">
    <cfRule type="cellIs" dxfId="2088" priority="281" operator="equal">
      <formula>0</formula>
    </cfRule>
  </conditionalFormatting>
  <conditionalFormatting sqref="AJ25">
    <cfRule type="cellIs" dxfId="2087" priority="280" operator="equal">
      <formula>0</formula>
    </cfRule>
  </conditionalFormatting>
  <conditionalFormatting sqref="AJ25">
    <cfRule type="cellIs" dxfId="2086" priority="279" operator="equal">
      <formula>0</formula>
    </cfRule>
  </conditionalFormatting>
  <conditionalFormatting sqref="AK21:AK22 AK24">
    <cfRule type="cellIs" dxfId="2085" priority="278" operator="equal">
      <formula>0</formula>
    </cfRule>
  </conditionalFormatting>
  <conditionalFormatting sqref="AK25">
    <cfRule type="cellIs" dxfId="2084" priority="277" operator="equal">
      <formula>0</formula>
    </cfRule>
  </conditionalFormatting>
  <conditionalFormatting sqref="AK25">
    <cfRule type="cellIs" dxfId="2083" priority="276" operator="equal">
      <formula>0</formula>
    </cfRule>
  </conditionalFormatting>
  <conditionalFormatting sqref="AL21:AL22 AL24">
    <cfRule type="cellIs" dxfId="2082" priority="275" operator="equal">
      <formula>0</formula>
    </cfRule>
  </conditionalFormatting>
  <conditionalFormatting sqref="AL25">
    <cfRule type="cellIs" dxfId="2081" priority="274" operator="equal">
      <formula>0</formula>
    </cfRule>
  </conditionalFormatting>
  <conditionalFormatting sqref="AL25">
    <cfRule type="cellIs" dxfId="2080" priority="273" operator="equal">
      <formula>0</formula>
    </cfRule>
  </conditionalFormatting>
  <conditionalFormatting sqref="AM21:AM22 AM24">
    <cfRule type="cellIs" dxfId="2079" priority="272" operator="equal">
      <formula>0</formula>
    </cfRule>
  </conditionalFormatting>
  <conditionalFormatting sqref="AM25">
    <cfRule type="cellIs" dxfId="2078" priority="271" operator="equal">
      <formula>0</formula>
    </cfRule>
  </conditionalFormatting>
  <conditionalFormatting sqref="AM25">
    <cfRule type="cellIs" dxfId="2077" priority="270" operator="equal">
      <formula>0</formula>
    </cfRule>
  </conditionalFormatting>
  <conditionalFormatting sqref="AN21:AN22 AN24">
    <cfRule type="cellIs" dxfId="2076" priority="269" operator="equal">
      <formula>0</formula>
    </cfRule>
  </conditionalFormatting>
  <conditionalFormatting sqref="AN25">
    <cfRule type="cellIs" dxfId="2075" priority="268" operator="equal">
      <formula>0</formula>
    </cfRule>
  </conditionalFormatting>
  <conditionalFormatting sqref="AN25">
    <cfRule type="cellIs" dxfId="2074" priority="267" operator="equal">
      <formula>0</formula>
    </cfRule>
  </conditionalFormatting>
  <conditionalFormatting sqref="AO21:AO22 AO24">
    <cfRule type="cellIs" dxfId="2073" priority="266" operator="equal">
      <formula>0</formula>
    </cfRule>
  </conditionalFormatting>
  <conditionalFormatting sqref="AO25">
    <cfRule type="cellIs" dxfId="2072" priority="265" operator="equal">
      <formula>0</formula>
    </cfRule>
  </conditionalFormatting>
  <conditionalFormatting sqref="AO25">
    <cfRule type="cellIs" dxfId="2071" priority="264" operator="equal">
      <formula>0</formula>
    </cfRule>
  </conditionalFormatting>
  <conditionalFormatting sqref="AP21:AP22 AP24">
    <cfRule type="cellIs" dxfId="2070" priority="263" operator="equal">
      <formula>0</formula>
    </cfRule>
  </conditionalFormatting>
  <conditionalFormatting sqref="AP25">
    <cfRule type="cellIs" dxfId="2069" priority="262" operator="equal">
      <formula>0</formula>
    </cfRule>
  </conditionalFormatting>
  <conditionalFormatting sqref="AP25">
    <cfRule type="cellIs" dxfId="2068" priority="261" operator="equal">
      <formula>0</formula>
    </cfRule>
  </conditionalFormatting>
  <conditionalFormatting sqref="F14">
    <cfRule type="cellIs" dxfId="2067" priority="260" operator="equal">
      <formula>0</formula>
    </cfRule>
  </conditionalFormatting>
  <conditionalFormatting sqref="R14">
    <cfRule type="cellIs" dxfId="2066" priority="248" operator="equal">
      <formula>0</formula>
    </cfRule>
  </conditionalFormatting>
  <conditionalFormatting sqref="S14">
    <cfRule type="cellIs" dxfId="2065" priority="247" operator="equal">
      <formula>0</formula>
    </cfRule>
  </conditionalFormatting>
  <conditionalFormatting sqref="Q14">
    <cfRule type="cellIs" dxfId="2064" priority="249" operator="equal">
      <formula>0</formula>
    </cfRule>
  </conditionalFormatting>
  <conditionalFormatting sqref="G14">
    <cfRule type="cellIs" dxfId="2063" priority="259" operator="equal">
      <formula>0</formula>
    </cfRule>
  </conditionalFormatting>
  <conditionalFormatting sqref="H14">
    <cfRule type="cellIs" dxfId="2062" priority="258" operator="equal">
      <formula>0</formula>
    </cfRule>
  </conditionalFormatting>
  <conditionalFormatting sqref="I14">
    <cfRule type="cellIs" dxfId="2061" priority="257" operator="equal">
      <formula>0</formula>
    </cfRule>
  </conditionalFormatting>
  <conditionalFormatting sqref="J14">
    <cfRule type="cellIs" dxfId="2060" priority="256" operator="equal">
      <formula>0</formula>
    </cfRule>
  </conditionalFormatting>
  <conditionalFormatting sqref="K14">
    <cfRule type="cellIs" dxfId="2059" priority="255" operator="equal">
      <formula>0</formula>
    </cfRule>
  </conditionalFormatting>
  <conditionalFormatting sqref="L14">
    <cfRule type="cellIs" dxfId="2058" priority="254" operator="equal">
      <formula>0</formula>
    </cfRule>
  </conditionalFormatting>
  <conditionalFormatting sqref="M14">
    <cfRule type="cellIs" dxfId="2057" priority="253" operator="equal">
      <formula>0</formula>
    </cfRule>
  </conditionalFormatting>
  <conditionalFormatting sqref="N14">
    <cfRule type="cellIs" dxfId="2056" priority="252" operator="equal">
      <formula>0</formula>
    </cfRule>
  </conditionalFormatting>
  <conditionalFormatting sqref="O14">
    <cfRule type="cellIs" dxfId="2055" priority="251" operator="equal">
      <formula>0</formula>
    </cfRule>
  </conditionalFormatting>
  <conditionalFormatting sqref="P14">
    <cfRule type="cellIs" dxfId="2054" priority="250" operator="equal">
      <formula>0</formula>
    </cfRule>
  </conditionalFormatting>
  <conditionalFormatting sqref="T14">
    <cfRule type="cellIs" dxfId="2053" priority="246" operator="equal">
      <formula>0</formula>
    </cfRule>
  </conditionalFormatting>
  <conditionalFormatting sqref="U14">
    <cfRule type="cellIs" dxfId="2052" priority="245" operator="equal">
      <formula>0</formula>
    </cfRule>
  </conditionalFormatting>
  <conditionalFormatting sqref="V14">
    <cfRule type="cellIs" dxfId="2051" priority="244" operator="equal">
      <formula>0</formula>
    </cfRule>
  </conditionalFormatting>
  <conditionalFormatting sqref="W14">
    <cfRule type="cellIs" dxfId="2050" priority="243" operator="equal">
      <formula>0</formula>
    </cfRule>
  </conditionalFormatting>
  <conditionalFormatting sqref="X14">
    <cfRule type="cellIs" dxfId="2049" priority="242" operator="equal">
      <formula>0</formula>
    </cfRule>
  </conditionalFormatting>
  <conditionalFormatting sqref="Y14">
    <cfRule type="cellIs" dxfId="2048" priority="241" operator="equal">
      <formula>0</formula>
    </cfRule>
  </conditionalFormatting>
  <conditionalFormatting sqref="Z14">
    <cfRule type="cellIs" dxfId="2047" priority="240" operator="equal">
      <formula>0</formula>
    </cfRule>
  </conditionalFormatting>
  <conditionalFormatting sqref="AA14">
    <cfRule type="cellIs" dxfId="2046" priority="239" operator="equal">
      <formula>0</formula>
    </cfRule>
  </conditionalFormatting>
  <conditionalFormatting sqref="AB14">
    <cfRule type="cellIs" dxfId="2045" priority="238" operator="equal">
      <formula>0</formula>
    </cfRule>
  </conditionalFormatting>
  <conditionalFormatting sqref="AC14">
    <cfRule type="cellIs" dxfId="2044" priority="237" operator="equal">
      <formula>0</formula>
    </cfRule>
  </conditionalFormatting>
  <conditionalFormatting sqref="AD14">
    <cfRule type="cellIs" dxfId="2043" priority="236" operator="equal">
      <formula>0</formula>
    </cfRule>
  </conditionalFormatting>
  <conditionalFormatting sqref="AE14">
    <cfRule type="cellIs" dxfId="2042" priority="235" operator="equal">
      <formula>0</formula>
    </cfRule>
  </conditionalFormatting>
  <conditionalFormatting sqref="AF14">
    <cfRule type="cellIs" dxfId="2041" priority="234" operator="equal">
      <formula>0</formula>
    </cfRule>
  </conditionalFormatting>
  <conditionalFormatting sqref="AG14">
    <cfRule type="cellIs" dxfId="2040" priority="233" operator="equal">
      <formula>0</formula>
    </cfRule>
  </conditionalFormatting>
  <conditionalFormatting sqref="AH14">
    <cfRule type="cellIs" dxfId="2039" priority="232" operator="equal">
      <formula>0</formula>
    </cfRule>
  </conditionalFormatting>
  <conditionalFormatting sqref="AI14">
    <cfRule type="cellIs" dxfId="2038" priority="231" operator="equal">
      <formula>0</formula>
    </cfRule>
  </conditionalFormatting>
  <conditionalFormatting sqref="AJ14">
    <cfRule type="cellIs" dxfId="2037" priority="230" operator="equal">
      <formula>0</formula>
    </cfRule>
  </conditionalFormatting>
  <conditionalFormatting sqref="AK14">
    <cfRule type="cellIs" dxfId="2036" priority="229" operator="equal">
      <formula>0</formula>
    </cfRule>
  </conditionalFormatting>
  <conditionalFormatting sqref="AL14">
    <cfRule type="cellIs" dxfId="2035" priority="228" operator="equal">
      <formula>0</formula>
    </cfRule>
  </conditionalFormatting>
  <conditionalFormatting sqref="AM14">
    <cfRule type="cellIs" dxfId="2034" priority="227" operator="equal">
      <formula>0</formula>
    </cfRule>
  </conditionalFormatting>
  <conditionalFormatting sqref="AN14">
    <cfRule type="cellIs" dxfId="2033" priority="226" operator="equal">
      <formula>0</formula>
    </cfRule>
  </conditionalFormatting>
  <conditionalFormatting sqref="AO14">
    <cfRule type="cellIs" dxfId="2032" priority="225" operator="equal">
      <formula>0</formula>
    </cfRule>
  </conditionalFormatting>
  <conditionalFormatting sqref="AP14">
    <cfRule type="cellIs" dxfId="2031" priority="224" operator="equal">
      <formula>0</formula>
    </cfRule>
  </conditionalFormatting>
  <conditionalFormatting sqref="F23">
    <cfRule type="cellIs" dxfId="2030" priority="223" operator="equal">
      <formula>0</formula>
    </cfRule>
  </conditionalFormatting>
  <conditionalFormatting sqref="R23">
    <cfRule type="cellIs" dxfId="2029" priority="211" operator="equal">
      <formula>0</formula>
    </cfRule>
  </conditionalFormatting>
  <conditionalFormatting sqref="S23">
    <cfRule type="cellIs" dxfId="2028" priority="210" operator="equal">
      <formula>0</formula>
    </cfRule>
  </conditionalFormatting>
  <conditionalFormatting sqref="Q23">
    <cfRule type="cellIs" dxfId="2027" priority="212" operator="equal">
      <formula>0</formula>
    </cfRule>
  </conditionalFormatting>
  <conditionalFormatting sqref="G23">
    <cfRule type="cellIs" dxfId="2026" priority="222" operator="equal">
      <formula>0</formula>
    </cfRule>
  </conditionalFormatting>
  <conditionalFormatting sqref="H23">
    <cfRule type="cellIs" dxfId="2025" priority="221" operator="equal">
      <formula>0</formula>
    </cfRule>
  </conditionalFormatting>
  <conditionalFormatting sqref="I23">
    <cfRule type="cellIs" dxfId="2024" priority="220" operator="equal">
      <formula>0</formula>
    </cfRule>
  </conditionalFormatting>
  <conditionalFormatting sqref="J23">
    <cfRule type="cellIs" dxfId="2023" priority="219" operator="equal">
      <formula>0</formula>
    </cfRule>
  </conditionalFormatting>
  <conditionalFormatting sqref="K23">
    <cfRule type="cellIs" dxfId="2022" priority="218" operator="equal">
      <formula>0</formula>
    </cfRule>
  </conditionalFormatting>
  <conditionalFormatting sqref="L23">
    <cfRule type="cellIs" dxfId="2021" priority="217" operator="equal">
      <formula>0</formula>
    </cfRule>
  </conditionalFormatting>
  <conditionalFormatting sqref="M23">
    <cfRule type="cellIs" dxfId="2020" priority="216" operator="equal">
      <formula>0</formula>
    </cfRule>
  </conditionalFormatting>
  <conditionalFormatting sqref="N23">
    <cfRule type="cellIs" dxfId="2019" priority="215" operator="equal">
      <formula>0</formula>
    </cfRule>
  </conditionalFormatting>
  <conditionalFormatting sqref="O23">
    <cfRule type="cellIs" dxfId="2018" priority="214" operator="equal">
      <formula>0</formula>
    </cfRule>
  </conditionalFormatting>
  <conditionalFormatting sqref="P23">
    <cfRule type="cellIs" dxfId="2017" priority="213" operator="equal">
      <formula>0</formula>
    </cfRule>
  </conditionalFormatting>
  <conditionalFormatting sqref="T23">
    <cfRule type="cellIs" dxfId="2016" priority="209" operator="equal">
      <formula>0</formula>
    </cfRule>
  </conditionalFormatting>
  <conditionalFormatting sqref="U23">
    <cfRule type="cellIs" dxfId="2015" priority="208" operator="equal">
      <formula>0</formula>
    </cfRule>
  </conditionalFormatting>
  <conditionalFormatting sqref="V23">
    <cfRule type="cellIs" dxfId="2014" priority="207" operator="equal">
      <formula>0</formula>
    </cfRule>
  </conditionalFormatting>
  <conditionalFormatting sqref="W23">
    <cfRule type="cellIs" dxfId="2013" priority="206" operator="equal">
      <formula>0</formula>
    </cfRule>
  </conditionalFormatting>
  <conditionalFormatting sqref="X23">
    <cfRule type="cellIs" dxfId="2012" priority="205" operator="equal">
      <formula>0</formula>
    </cfRule>
  </conditionalFormatting>
  <conditionalFormatting sqref="Y23">
    <cfRule type="cellIs" dxfId="2011" priority="204" operator="equal">
      <formula>0</formula>
    </cfRule>
  </conditionalFormatting>
  <conditionalFormatting sqref="Z23">
    <cfRule type="cellIs" dxfId="2010" priority="203" operator="equal">
      <formula>0</formula>
    </cfRule>
  </conditionalFormatting>
  <conditionalFormatting sqref="AA23">
    <cfRule type="cellIs" dxfId="2009" priority="202" operator="equal">
      <formula>0</formula>
    </cfRule>
  </conditionalFormatting>
  <conditionalFormatting sqref="AB23">
    <cfRule type="cellIs" dxfId="2008" priority="201" operator="equal">
      <formula>0</formula>
    </cfRule>
  </conditionalFormatting>
  <conditionalFormatting sqref="AC23">
    <cfRule type="cellIs" dxfId="2007" priority="200" operator="equal">
      <formula>0</formula>
    </cfRule>
  </conditionalFormatting>
  <conditionalFormatting sqref="AD23">
    <cfRule type="cellIs" dxfId="2006" priority="199" operator="equal">
      <formula>0</formula>
    </cfRule>
  </conditionalFormatting>
  <conditionalFormatting sqref="AE23">
    <cfRule type="cellIs" dxfId="2005" priority="198" operator="equal">
      <formula>0</formula>
    </cfRule>
  </conditionalFormatting>
  <conditionalFormatting sqref="AF23">
    <cfRule type="cellIs" dxfId="2004" priority="197" operator="equal">
      <formula>0</formula>
    </cfRule>
  </conditionalFormatting>
  <conditionalFormatting sqref="AG23">
    <cfRule type="cellIs" dxfId="2003" priority="196" operator="equal">
      <formula>0</formula>
    </cfRule>
  </conditionalFormatting>
  <conditionalFormatting sqref="AH23">
    <cfRule type="cellIs" dxfId="2002" priority="195" operator="equal">
      <formula>0</formula>
    </cfRule>
  </conditionalFormatting>
  <conditionalFormatting sqref="AI23">
    <cfRule type="cellIs" dxfId="2001" priority="194" operator="equal">
      <formula>0</formula>
    </cfRule>
  </conditionalFormatting>
  <conditionalFormatting sqref="AJ23">
    <cfRule type="cellIs" dxfId="2000" priority="193" operator="equal">
      <formula>0</formula>
    </cfRule>
  </conditionalFormatting>
  <conditionalFormatting sqref="AK23">
    <cfRule type="cellIs" dxfId="1999" priority="192" operator="equal">
      <formula>0</formula>
    </cfRule>
  </conditionalFormatting>
  <conditionalFormatting sqref="AL23">
    <cfRule type="cellIs" dxfId="1998" priority="191" operator="equal">
      <formula>0</formula>
    </cfRule>
  </conditionalFormatting>
  <conditionalFormatting sqref="AM23">
    <cfRule type="cellIs" dxfId="1997" priority="190" operator="equal">
      <formula>0</formula>
    </cfRule>
  </conditionalFormatting>
  <conditionalFormatting sqref="AN23">
    <cfRule type="cellIs" dxfId="1996" priority="189" operator="equal">
      <formula>0</formula>
    </cfRule>
  </conditionalFormatting>
  <conditionalFormatting sqref="AO23">
    <cfRule type="cellIs" dxfId="1995" priority="188" operator="equal">
      <formula>0</formula>
    </cfRule>
  </conditionalFormatting>
  <conditionalFormatting sqref="AP23">
    <cfRule type="cellIs" dxfId="1994" priority="187" operator="equal">
      <formula>0</formula>
    </cfRule>
  </conditionalFormatting>
  <conditionalFormatting sqref="F19">
    <cfRule type="cellIs" dxfId="1993" priority="186" operator="equal">
      <formula>0</formula>
    </cfRule>
  </conditionalFormatting>
  <conditionalFormatting sqref="R19">
    <cfRule type="cellIs" dxfId="1992" priority="174" operator="equal">
      <formula>0</formula>
    </cfRule>
  </conditionalFormatting>
  <conditionalFormatting sqref="S19">
    <cfRule type="cellIs" dxfId="1991" priority="173" operator="equal">
      <formula>0</formula>
    </cfRule>
  </conditionalFormatting>
  <conditionalFormatting sqref="Q19">
    <cfRule type="cellIs" dxfId="1990" priority="175" operator="equal">
      <formula>0</formula>
    </cfRule>
  </conditionalFormatting>
  <conditionalFormatting sqref="G19">
    <cfRule type="cellIs" dxfId="1989" priority="185" operator="equal">
      <formula>0</formula>
    </cfRule>
  </conditionalFormatting>
  <conditionalFormatting sqref="H19">
    <cfRule type="cellIs" dxfId="1988" priority="184" operator="equal">
      <formula>0</formula>
    </cfRule>
  </conditionalFormatting>
  <conditionalFormatting sqref="I19">
    <cfRule type="cellIs" dxfId="1987" priority="183" operator="equal">
      <formula>0</formula>
    </cfRule>
  </conditionalFormatting>
  <conditionalFormatting sqref="J19">
    <cfRule type="cellIs" dxfId="1986" priority="182" operator="equal">
      <formula>0</formula>
    </cfRule>
  </conditionalFormatting>
  <conditionalFormatting sqref="K19">
    <cfRule type="cellIs" dxfId="1985" priority="181" operator="equal">
      <formula>0</formula>
    </cfRule>
  </conditionalFormatting>
  <conditionalFormatting sqref="L19">
    <cfRule type="cellIs" dxfId="1984" priority="180" operator="equal">
      <formula>0</formula>
    </cfRule>
  </conditionalFormatting>
  <conditionalFormatting sqref="M19">
    <cfRule type="cellIs" dxfId="1983" priority="179" operator="equal">
      <formula>0</formula>
    </cfRule>
  </conditionalFormatting>
  <conditionalFormatting sqref="N19">
    <cfRule type="cellIs" dxfId="1982" priority="178" operator="equal">
      <formula>0</formula>
    </cfRule>
  </conditionalFormatting>
  <conditionalFormatting sqref="O19">
    <cfRule type="cellIs" dxfId="1981" priority="177" operator="equal">
      <formula>0</formula>
    </cfRule>
  </conditionalFormatting>
  <conditionalFormatting sqref="P19">
    <cfRule type="cellIs" dxfId="1980" priority="176" operator="equal">
      <formula>0</formula>
    </cfRule>
  </conditionalFormatting>
  <conditionalFormatting sqref="T19">
    <cfRule type="cellIs" dxfId="1979" priority="172" operator="equal">
      <formula>0</formula>
    </cfRule>
  </conditionalFormatting>
  <conditionalFormatting sqref="U19">
    <cfRule type="cellIs" dxfId="1978" priority="171" operator="equal">
      <formula>0</formula>
    </cfRule>
  </conditionalFormatting>
  <conditionalFormatting sqref="V19">
    <cfRule type="cellIs" dxfId="1977" priority="170" operator="equal">
      <formula>0</formula>
    </cfRule>
  </conditionalFormatting>
  <conditionalFormatting sqref="W19">
    <cfRule type="cellIs" dxfId="1976" priority="169" operator="equal">
      <formula>0</formula>
    </cfRule>
  </conditionalFormatting>
  <conditionalFormatting sqref="X19">
    <cfRule type="cellIs" dxfId="1975" priority="168" operator="equal">
      <formula>0</formula>
    </cfRule>
  </conditionalFormatting>
  <conditionalFormatting sqref="Y19">
    <cfRule type="cellIs" dxfId="1974" priority="167" operator="equal">
      <formula>0</formula>
    </cfRule>
  </conditionalFormatting>
  <conditionalFormatting sqref="Z19">
    <cfRule type="cellIs" dxfId="1973" priority="166" operator="equal">
      <formula>0</formula>
    </cfRule>
  </conditionalFormatting>
  <conditionalFormatting sqref="AA19">
    <cfRule type="cellIs" dxfId="1972" priority="165" operator="equal">
      <formula>0</formula>
    </cfRule>
  </conditionalFormatting>
  <conditionalFormatting sqref="AB19">
    <cfRule type="cellIs" dxfId="1971" priority="164" operator="equal">
      <formula>0</formula>
    </cfRule>
  </conditionalFormatting>
  <conditionalFormatting sqref="AC19">
    <cfRule type="cellIs" dxfId="1970" priority="163" operator="equal">
      <formula>0</formula>
    </cfRule>
  </conditionalFormatting>
  <conditionalFormatting sqref="AD19">
    <cfRule type="cellIs" dxfId="1969" priority="162" operator="equal">
      <formula>0</formula>
    </cfRule>
  </conditionalFormatting>
  <conditionalFormatting sqref="AE19">
    <cfRule type="cellIs" dxfId="1968" priority="161" operator="equal">
      <formula>0</formula>
    </cfRule>
  </conditionalFormatting>
  <conditionalFormatting sqref="AF19">
    <cfRule type="cellIs" dxfId="1967" priority="160" operator="equal">
      <formula>0</formula>
    </cfRule>
  </conditionalFormatting>
  <conditionalFormatting sqref="AG19">
    <cfRule type="cellIs" dxfId="1966" priority="159" operator="equal">
      <formula>0</formula>
    </cfRule>
  </conditionalFormatting>
  <conditionalFormatting sqref="AH19">
    <cfRule type="cellIs" dxfId="1965" priority="158" operator="equal">
      <formula>0</formula>
    </cfRule>
  </conditionalFormatting>
  <conditionalFormatting sqref="AI19">
    <cfRule type="cellIs" dxfId="1964" priority="157" operator="equal">
      <formula>0</formula>
    </cfRule>
  </conditionalFormatting>
  <conditionalFormatting sqref="AJ19">
    <cfRule type="cellIs" dxfId="1963" priority="156" operator="equal">
      <formula>0</formula>
    </cfRule>
  </conditionalFormatting>
  <conditionalFormatting sqref="AK19">
    <cfRule type="cellIs" dxfId="1962" priority="155" operator="equal">
      <formula>0</formula>
    </cfRule>
  </conditionalFormatting>
  <conditionalFormatting sqref="AL19">
    <cfRule type="cellIs" dxfId="1961" priority="154" operator="equal">
      <formula>0</formula>
    </cfRule>
  </conditionalFormatting>
  <conditionalFormatting sqref="AM19">
    <cfRule type="cellIs" dxfId="1960" priority="153" operator="equal">
      <formula>0</formula>
    </cfRule>
  </conditionalFormatting>
  <conditionalFormatting sqref="AN19">
    <cfRule type="cellIs" dxfId="1959" priority="152" operator="equal">
      <formula>0</formula>
    </cfRule>
  </conditionalFormatting>
  <conditionalFormatting sqref="AO19">
    <cfRule type="cellIs" dxfId="1958" priority="151" operator="equal">
      <formula>0</formula>
    </cfRule>
  </conditionalFormatting>
  <conditionalFormatting sqref="AP19">
    <cfRule type="cellIs" dxfId="1957" priority="150" operator="equal">
      <formula>0</formula>
    </cfRule>
  </conditionalFormatting>
  <conditionalFormatting sqref="F20">
    <cfRule type="cellIs" dxfId="1956" priority="149" operator="equal">
      <formula>0</formula>
    </cfRule>
  </conditionalFormatting>
  <conditionalFormatting sqref="R20">
    <cfRule type="cellIs" dxfId="1955" priority="137" operator="equal">
      <formula>0</formula>
    </cfRule>
  </conditionalFormatting>
  <conditionalFormatting sqref="S20">
    <cfRule type="cellIs" dxfId="1954" priority="136" operator="equal">
      <formula>0</formula>
    </cfRule>
  </conditionalFormatting>
  <conditionalFormatting sqref="Q20">
    <cfRule type="cellIs" dxfId="1953" priority="138" operator="equal">
      <formula>0</formula>
    </cfRule>
  </conditionalFormatting>
  <conditionalFormatting sqref="G20">
    <cfRule type="cellIs" dxfId="1952" priority="148" operator="equal">
      <formula>0</formula>
    </cfRule>
  </conditionalFormatting>
  <conditionalFormatting sqref="H20">
    <cfRule type="cellIs" dxfId="1951" priority="147" operator="equal">
      <formula>0</formula>
    </cfRule>
  </conditionalFormatting>
  <conditionalFormatting sqref="I20">
    <cfRule type="cellIs" dxfId="1950" priority="146" operator="equal">
      <formula>0</formula>
    </cfRule>
  </conditionalFormatting>
  <conditionalFormatting sqref="J20">
    <cfRule type="cellIs" dxfId="1949" priority="145" operator="equal">
      <formula>0</formula>
    </cfRule>
  </conditionalFormatting>
  <conditionalFormatting sqref="K20">
    <cfRule type="cellIs" dxfId="1948" priority="144" operator="equal">
      <formula>0</formula>
    </cfRule>
  </conditionalFormatting>
  <conditionalFormatting sqref="L20">
    <cfRule type="cellIs" dxfId="1947" priority="143" operator="equal">
      <formula>0</formula>
    </cfRule>
  </conditionalFormatting>
  <conditionalFormatting sqref="M20">
    <cfRule type="cellIs" dxfId="1946" priority="142" operator="equal">
      <formula>0</formula>
    </cfRule>
  </conditionalFormatting>
  <conditionalFormatting sqref="N20">
    <cfRule type="cellIs" dxfId="1945" priority="141" operator="equal">
      <formula>0</formula>
    </cfRule>
  </conditionalFormatting>
  <conditionalFormatting sqref="O20">
    <cfRule type="cellIs" dxfId="1944" priority="140" operator="equal">
      <formula>0</formula>
    </cfRule>
  </conditionalFormatting>
  <conditionalFormatting sqref="P20">
    <cfRule type="cellIs" dxfId="1943" priority="139" operator="equal">
      <formula>0</formula>
    </cfRule>
  </conditionalFormatting>
  <conditionalFormatting sqref="T20">
    <cfRule type="cellIs" dxfId="1942" priority="135" operator="equal">
      <formula>0</formula>
    </cfRule>
  </conditionalFormatting>
  <conditionalFormatting sqref="U20">
    <cfRule type="cellIs" dxfId="1941" priority="134" operator="equal">
      <formula>0</formula>
    </cfRule>
  </conditionalFormatting>
  <conditionalFormatting sqref="V20">
    <cfRule type="cellIs" dxfId="1940" priority="133" operator="equal">
      <formula>0</formula>
    </cfRule>
  </conditionalFormatting>
  <conditionalFormatting sqref="W20">
    <cfRule type="cellIs" dxfId="1939" priority="132" operator="equal">
      <formula>0</formula>
    </cfRule>
  </conditionalFormatting>
  <conditionalFormatting sqref="X20">
    <cfRule type="cellIs" dxfId="1938" priority="131" operator="equal">
      <formula>0</formula>
    </cfRule>
  </conditionalFormatting>
  <conditionalFormatting sqref="Y20">
    <cfRule type="cellIs" dxfId="1937" priority="130" operator="equal">
      <formula>0</formula>
    </cfRule>
  </conditionalFormatting>
  <conditionalFormatting sqref="Z20">
    <cfRule type="cellIs" dxfId="1936" priority="129" operator="equal">
      <formula>0</formula>
    </cfRule>
  </conditionalFormatting>
  <conditionalFormatting sqref="AA20">
    <cfRule type="cellIs" dxfId="1935" priority="128" operator="equal">
      <formula>0</formula>
    </cfRule>
  </conditionalFormatting>
  <conditionalFormatting sqref="AB20">
    <cfRule type="cellIs" dxfId="1934" priority="127" operator="equal">
      <formula>0</formula>
    </cfRule>
  </conditionalFormatting>
  <conditionalFormatting sqref="AC20">
    <cfRule type="cellIs" dxfId="1933" priority="126" operator="equal">
      <formula>0</formula>
    </cfRule>
  </conditionalFormatting>
  <conditionalFormatting sqref="AD20">
    <cfRule type="cellIs" dxfId="1932" priority="125" operator="equal">
      <formula>0</formula>
    </cfRule>
  </conditionalFormatting>
  <conditionalFormatting sqref="AE20">
    <cfRule type="cellIs" dxfId="1931" priority="124" operator="equal">
      <formula>0</formula>
    </cfRule>
  </conditionalFormatting>
  <conditionalFormatting sqref="AF20">
    <cfRule type="cellIs" dxfId="1930" priority="123" operator="equal">
      <formula>0</formula>
    </cfRule>
  </conditionalFormatting>
  <conditionalFormatting sqref="AG20">
    <cfRule type="cellIs" dxfId="1929" priority="122" operator="equal">
      <formula>0</formula>
    </cfRule>
  </conditionalFormatting>
  <conditionalFormatting sqref="AH20">
    <cfRule type="cellIs" dxfId="1928" priority="121" operator="equal">
      <formula>0</formula>
    </cfRule>
  </conditionalFormatting>
  <conditionalFormatting sqref="AI20">
    <cfRule type="cellIs" dxfId="1927" priority="120" operator="equal">
      <formula>0</formula>
    </cfRule>
  </conditionalFormatting>
  <conditionalFormatting sqref="AJ20">
    <cfRule type="cellIs" dxfId="1926" priority="119" operator="equal">
      <formula>0</formula>
    </cfRule>
  </conditionalFormatting>
  <conditionalFormatting sqref="AK20">
    <cfRule type="cellIs" dxfId="1925" priority="118" operator="equal">
      <formula>0</formula>
    </cfRule>
  </conditionalFormatting>
  <conditionalFormatting sqref="AL20">
    <cfRule type="cellIs" dxfId="1924" priority="117" operator="equal">
      <formula>0</formula>
    </cfRule>
  </conditionalFormatting>
  <conditionalFormatting sqref="AM20">
    <cfRule type="cellIs" dxfId="1923" priority="116" operator="equal">
      <formula>0</formula>
    </cfRule>
  </conditionalFormatting>
  <conditionalFormatting sqref="AN20">
    <cfRule type="cellIs" dxfId="1922" priority="115" operator="equal">
      <formula>0</formula>
    </cfRule>
  </conditionalFormatting>
  <conditionalFormatting sqref="AO20">
    <cfRule type="cellIs" dxfId="1921" priority="114" operator="equal">
      <formula>0</formula>
    </cfRule>
  </conditionalFormatting>
  <conditionalFormatting sqref="AP20">
    <cfRule type="cellIs" dxfId="1920" priority="113" operator="equal">
      <formula>0</formula>
    </cfRule>
  </conditionalFormatting>
  <conditionalFormatting sqref="F15">
    <cfRule type="cellIs" dxfId="1919" priority="112" operator="equal">
      <formula>0</formula>
    </cfRule>
  </conditionalFormatting>
  <conditionalFormatting sqref="R15">
    <cfRule type="cellIs" dxfId="1918" priority="100" operator="equal">
      <formula>0</formula>
    </cfRule>
  </conditionalFormatting>
  <conditionalFormatting sqref="S15">
    <cfRule type="cellIs" dxfId="1917" priority="99" operator="equal">
      <formula>0</formula>
    </cfRule>
  </conditionalFormatting>
  <conditionalFormatting sqref="Q15">
    <cfRule type="cellIs" dxfId="1916" priority="101" operator="equal">
      <formula>0</formula>
    </cfRule>
  </conditionalFormatting>
  <conditionalFormatting sqref="G15">
    <cfRule type="cellIs" dxfId="1915" priority="111" operator="equal">
      <formula>0</formula>
    </cfRule>
  </conditionalFormatting>
  <conditionalFormatting sqref="H15">
    <cfRule type="cellIs" dxfId="1914" priority="110" operator="equal">
      <formula>0</formula>
    </cfRule>
  </conditionalFormatting>
  <conditionalFormatting sqref="I15">
    <cfRule type="cellIs" dxfId="1913" priority="109" operator="equal">
      <formula>0</formula>
    </cfRule>
  </conditionalFormatting>
  <conditionalFormatting sqref="J15">
    <cfRule type="cellIs" dxfId="1912" priority="108" operator="equal">
      <formula>0</formula>
    </cfRule>
  </conditionalFormatting>
  <conditionalFormatting sqref="K15">
    <cfRule type="cellIs" dxfId="1911" priority="107" operator="equal">
      <formula>0</formula>
    </cfRule>
  </conditionalFormatting>
  <conditionalFormatting sqref="L15">
    <cfRule type="cellIs" dxfId="1910" priority="106" operator="equal">
      <formula>0</formula>
    </cfRule>
  </conditionalFormatting>
  <conditionalFormatting sqref="M15">
    <cfRule type="cellIs" dxfId="1909" priority="105" operator="equal">
      <formula>0</formula>
    </cfRule>
  </conditionalFormatting>
  <conditionalFormatting sqref="N15">
    <cfRule type="cellIs" dxfId="1908" priority="104" operator="equal">
      <formula>0</formula>
    </cfRule>
  </conditionalFormatting>
  <conditionalFormatting sqref="O15">
    <cfRule type="cellIs" dxfId="1907" priority="103" operator="equal">
      <formula>0</formula>
    </cfRule>
  </conditionalFormatting>
  <conditionalFormatting sqref="P15">
    <cfRule type="cellIs" dxfId="1906" priority="102" operator="equal">
      <formula>0</formula>
    </cfRule>
  </conditionalFormatting>
  <conditionalFormatting sqref="T15">
    <cfRule type="cellIs" dxfId="1905" priority="98" operator="equal">
      <formula>0</formula>
    </cfRule>
  </conditionalFormatting>
  <conditionalFormatting sqref="U15">
    <cfRule type="cellIs" dxfId="1904" priority="97" operator="equal">
      <formula>0</formula>
    </cfRule>
  </conditionalFormatting>
  <conditionalFormatting sqref="V15">
    <cfRule type="cellIs" dxfId="1903" priority="96" operator="equal">
      <formula>0</formula>
    </cfRule>
  </conditionalFormatting>
  <conditionalFormatting sqref="W15">
    <cfRule type="cellIs" dxfId="1902" priority="95" operator="equal">
      <formula>0</formula>
    </cfRule>
  </conditionalFormatting>
  <conditionalFormatting sqref="X15">
    <cfRule type="cellIs" dxfId="1901" priority="94" operator="equal">
      <formula>0</formula>
    </cfRule>
  </conditionalFormatting>
  <conditionalFormatting sqref="Y15">
    <cfRule type="cellIs" dxfId="1900" priority="93" operator="equal">
      <formula>0</formula>
    </cfRule>
  </conditionalFormatting>
  <conditionalFormatting sqref="Z15">
    <cfRule type="cellIs" dxfId="1899" priority="92" operator="equal">
      <formula>0</formula>
    </cfRule>
  </conditionalFormatting>
  <conditionalFormatting sqref="AA15">
    <cfRule type="cellIs" dxfId="1898" priority="91" operator="equal">
      <formula>0</formula>
    </cfRule>
  </conditionalFormatting>
  <conditionalFormatting sqref="AB15">
    <cfRule type="cellIs" dxfId="1897" priority="90" operator="equal">
      <formula>0</formula>
    </cfRule>
  </conditionalFormatting>
  <conditionalFormatting sqref="AC15">
    <cfRule type="cellIs" dxfId="1896" priority="89" operator="equal">
      <formula>0</formula>
    </cfRule>
  </conditionalFormatting>
  <conditionalFormatting sqref="AD15">
    <cfRule type="cellIs" dxfId="1895" priority="88" operator="equal">
      <formula>0</formula>
    </cfRule>
  </conditionalFormatting>
  <conditionalFormatting sqref="AE15">
    <cfRule type="cellIs" dxfId="1894" priority="87" operator="equal">
      <formula>0</formula>
    </cfRule>
  </conditionalFormatting>
  <conditionalFormatting sqref="AF15">
    <cfRule type="cellIs" dxfId="1893" priority="86" operator="equal">
      <formula>0</formula>
    </cfRule>
  </conditionalFormatting>
  <conditionalFormatting sqref="AG15">
    <cfRule type="cellIs" dxfId="1892" priority="85" operator="equal">
      <formula>0</formula>
    </cfRule>
  </conditionalFormatting>
  <conditionalFormatting sqref="AH15">
    <cfRule type="cellIs" dxfId="1891" priority="84" operator="equal">
      <formula>0</formula>
    </cfRule>
  </conditionalFormatting>
  <conditionalFormatting sqref="AI15">
    <cfRule type="cellIs" dxfId="1890" priority="83" operator="equal">
      <formula>0</formula>
    </cfRule>
  </conditionalFormatting>
  <conditionalFormatting sqref="AJ15">
    <cfRule type="cellIs" dxfId="1889" priority="82" operator="equal">
      <formula>0</formula>
    </cfRule>
  </conditionalFormatting>
  <conditionalFormatting sqref="AK15">
    <cfRule type="cellIs" dxfId="1888" priority="81" operator="equal">
      <formula>0</formula>
    </cfRule>
  </conditionalFormatting>
  <conditionalFormatting sqref="AL15">
    <cfRule type="cellIs" dxfId="1887" priority="80" operator="equal">
      <formula>0</formula>
    </cfRule>
  </conditionalFormatting>
  <conditionalFormatting sqref="AM15">
    <cfRule type="cellIs" dxfId="1886" priority="79" operator="equal">
      <formula>0</formula>
    </cfRule>
  </conditionalFormatting>
  <conditionalFormatting sqref="AN15">
    <cfRule type="cellIs" dxfId="1885" priority="78" operator="equal">
      <formula>0</formula>
    </cfRule>
  </conditionalFormatting>
  <conditionalFormatting sqref="AO15">
    <cfRule type="cellIs" dxfId="1884" priority="77" operator="equal">
      <formula>0</formula>
    </cfRule>
  </conditionalFormatting>
  <conditionalFormatting sqref="AP15">
    <cfRule type="cellIs" dxfId="1883" priority="76" operator="equal">
      <formula>0</formula>
    </cfRule>
  </conditionalFormatting>
  <conditionalFormatting sqref="F16">
    <cfRule type="cellIs" dxfId="1882" priority="75" operator="equal">
      <formula>0</formula>
    </cfRule>
  </conditionalFormatting>
  <conditionalFormatting sqref="R16">
    <cfRule type="cellIs" dxfId="1881" priority="63" operator="equal">
      <formula>0</formula>
    </cfRule>
  </conditionalFormatting>
  <conditionalFormatting sqref="S16">
    <cfRule type="cellIs" dxfId="1880" priority="62" operator="equal">
      <formula>0</formula>
    </cfRule>
  </conditionalFormatting>
  <conditionalFormatting sqref="Q16">
    <cfRule type="cellIs" dxfId="1879" priority="64" operator="equal">
      <formula>0</formula>
    </cfRule>
  </conditionalFormatting>
  <conditionalFormatting sqref="G16">
    <cfRule type="cellIs" dxfId="1878" priority="74" operator="equal">
      <formula>0</formula>
    </cfRule>
  </conditionalFormatting>
  <conditionalFormatting sqref="H16">
    <cfRule type="cellIs" dxfId="1877" priority="73" operator="equal">
      <formula>0</formula>
    </cfRule>
  </conditionalFormatting>
  <conditionalFormatting sqref="I16">
    <cfRule type="cellIs" dxfId="1876" priority="72" operator="equal">
      <formula>0</formula>
    </cfRule>
  </conditionalFormatting>
  <conditionalFormatting sqref="J16">
    <cfRule type="cellIs" dxfId="1875" priority="71" operator="equal">
      <formula>0</formula>
    </cfRule>
  </conditionalFormatting>
  <conditionalFormatting sqref="K16">
    <cfRule type="cellIs" dxfId="1874" priority="70" operator="equal">
      <formula>0</formula>
    </cfRule>
  </conditionalFormatting>
  <conditionalFormatting sqref="L16">
    <cfRule type="cellIs" dxfId="1873" priority="69" operator="equal">
      <formula>0</formula>
    </cfRule>
  </conditionalFormatting>
  <conditionalFormatting sqref="M16">
    <cfRule type="cellIs" dxfId="1872" priority="68" operator="equal">
      <formula>0</formula>
    </cfRule>
  </conditionalFormatting>
  <conditionalFormatting sqref="N16">
    <cfRule type="cellIs" dxfId="1871" priority="67" operator="equal">
      <formula>0</formula>
    </cfRule>
  </conditionalFormatting>
  <conditionalFormatting sqref="O16">
    <cfRule type="cellIs" dxfId="1870" priority="66" operator="equal">
      <formula>0</formula>
    </cfRule>
  </conditionalFormatting>
  <conditionalFormatting sqref="P16">
    <cfRule type="cellIs" dxfId="1869" priority="65" operator="equal">
      <formula>0</formula>
    </cfRule>
  </conditionalFormatting>
  <conditionalFormatting sqref="T16">
    <cfRule type="cellIs" dxfId="1868" priority="61" operator="equal">
      <formula>0</formula>
    </cfRule>
  </conditionalFormatting>
  <conditionalFormatting sqref="U16">
    <cfRule type="cellIs" dxfId="1867" priority="60" operator="equal">
      <formula>0</formula>
    </cfRule>
  </conditionalFormatting>
  <conditionalFormatting sqref="V16">
    <cfRule type="cellIs" dxfId="1866" priority="59" operator="equal">
      <formula>0</formula>
    </cfRule>
  </conditionalFormatting>
  <conditionalFormatting sqref="W16">
    <cfRule type="cellIs" dxfId="1865" priority="58" operator="equal">
      <formula>0</formula>
    </cfRule>
  </conditionalFormatting>
  <conditionalFormatting sqref="X16">
    <cfRule type="cellIs" dxfId="1864" priority="57" operator="equal">
      <formula>0</formula>
    </cfRule>
  </conditionalFormatting>
  <conditionalFormatting sqref="Y16">
    <cfRule type="cellIs" dxfId="1863" priority="56" operator="equal">
      <formula>0</formula>
    </cfRule>
  </conditionalFormatting>
  <conditionalFormatting sqref="Z16">
    <cfRule type="cellIs" dxfId="1862" priority="55" operator="equal">
      <formula>0</formula>
    </cfRule>
  </conditionalFormatting>
  <conditionalFormatting sqref="AA16">
    <cfRule type="cellIs" dxfId="1861" priority="54" operator="equal">
      <formula>0</formula>
    </cfRule>
  </conditionalFormatting>
  <conditionalFormatting sqref="AB16">
    <cfRule type="cellIs" dxfId="1860" priority="53" operator="equal">
      <formula>0</formula>
    </cfRule>
  </conditionalFormatting>
  <conditionalFormatting sqref="AC16">
    <cfRule type="cellIs" dxfId="1859" priority="52" operator="equal">
      <formula>0</formula>
    </cfRule>
  </conditionalFormatting>
  <conditionalFormatting sqref="AD16">
    <cfRule type="cellIs" dxfId="1858" priority="51" operator="equal">
      <formula>0</formula>
    </cfRule>
  </conditionalFormatting>
  <conditionalFormatting sqref="AE16">
    <cfRule type="cellIs" dxfId="1857" priority="50" operator="equal">
      <formula>0</formula>
    </cfRule>
  </conditionalFormatting>
  <conditionalFormatting sqref="AF16">
    <cfRule type="cellIs" dxfId="1856" priority="49" operator="equal">
      <formula>0</formula>
    </cfRule>
  </conditionalFormatting>
  <conditionalFormatting sqref="AG16">
    <cfRule type="cellIs" dxfId="1855" priority="48" operator="equal">
      <formula>0</formula>
    </cfRule>
  </conditionalFormatting>
  <conditionalFormatting sqref="AH16">
    <cfRule type="cellIs" dxfId="1854" priority="47" operator="equal">
      <formula>0</formula>
    </cfRule>
  </conditionalFormatting>
  <conditionalFormatting sqref="AI16">
    <cfRule type="cellIs" dxfId="1853" priority="46" operator="equal">
      <formula>0</formula>
    </cfRule>
  </conditionalFormatting>
  <conditionalFormatting sqref="AJ16">
    <cfRule type="cellIs" dxfId="1852" priority="45" operator="equal">
      <formula>0</formula>
    </cfRule>
  </conditionalFormatting>
  <conditionalFormatting sqref="AK16">
    <cfRule type="cellIs" dxfId="1851" priority="44" operator="equal">
      <formula>0</formula>
    </cfRule>
  </conditionalFormatting>
  <conditionalFormatting sqref="AL16">
    <cfRule type="cellIs" dxfId="1850" priority="43" operator="equal">
      <formula>0</formula>
    </cfRule>
  </conditionalFormatting>
  <conditionalFormatting sqref="AM16">
    <cfRule type="cellIs" dxfId="1849" priority="42" operator="equal">
      <formula>0</formula>
    </cfRule>
  </conditionalFormatting>
  <conditionalFormatting sqref="AN16">
    <cfRule type="cellIs" dxfId="1848" priority="41" operator="equal">
      <formula>0</formula>
    </cfRule>
  </conditionalFormatting>
  <conditionalFormatting sqref="AO16">
    <cfRule type="cellIs" dxfId="1847" priority="40" operator="equal">
      <formula>0</formula>
    </cfRule>
  </conditionalFormatting>
  <conditionalFormatting sqref="AP16">
    <cfRule type="cellIs" dxfId="1846" priority="39" operator="equal">
      <formula>0</formula>
    </cfRule>
  </conditionalFormatting>
  <conditionalFormatting sqref="F9:AP9">
    <cfRule type="cellIs" dxfId="1845" priority="38" operator="equal">
      <formula>0</formula>
    </cfRule>
  </conditionalFormatting>
  <conditionalFormatting sqref="F17">
    <cfRule type="cellIs" dxfId="1844" priority="37" operator="equal">
      <formula>0</formula>
    </cfRule>
  </conditionalFormatting>
  <conditionalFormatting sqref="R17">
    <cfRule type="cellIs" dxfId="1843" priority="25" operator="equal">
      <formula>0</formula>
    </cfRule>
  </conditionalFormatting>
  <conditionalFormatting sqref="S17">
    <cfRule type="cellIs" dxfId="1842" priority="24" operator="equal">
      <formula>0</formula>
    </cfRule>
  </conditionalFormatting>
  <conditionalFormatting sqref="Q17">
    <cfRule type="cellIs" dxfId="1841" priority="26" operator="equal">
      <formula>0</formula>
    </cfRule>
  </conditionalFormatting>
  <conditionalFormatting sqref="G17">
    <cfRule type="cellIs" dxfId="1840" priority="36" operator="equal">
      <formula>0</formula>
    </cfRule>
  </conditionalFormatting>
  <conditionalFormatting sqref="H17">
    <cfRule type="cellIs" dxfId="1839" priority="35" operator="equal">
      <formula>0</formula>
    </cfRule>
  </conditionalFormatting>
  <conditionalFormatting sqref="I17">
    <cfRule type="cellIs" dxfId="1838" priority="34" operator="equal">
      <formula>0</formula>
    </cfRule>
  </conditionalFormatting>
  <conditionalFormatting sqref="J17">
    <cfRule type="cellIs" dxfId="1837" priority="33" operator="equal">
      <formula>0</formula>
    </cfRule>
  </conditionalFormatting>
  <conditionalFormatting sqref="K17">
    <cfRule type="cellIs" dxfId="1836" priority="32" operator="equal">
      <formula>0</formula>
    </cfRule>
  </conditionalFormatting>
  <conditionalFormatting sqref="L17">
    <cfRule type="cellIs" dxfId="1835" priority="31" operator="equal">
      <formula>0</formula>
    </cfRule>
  </conditionalFormatting>
  <conditionalFormatting sqref="M17">
    <cfRule type="cellIs" dxfId="1834" priority="30" operator="equal">
      <formula>0</formula>
    </cfRule>
  </conditionalFormatting>
  <conditionalFormatting sqref="N17">
    <cfRule type="cellIs" dxfId="1833" priority="29" operator="equal">
      <formula>0</formula>
    </cfRule>
  </conditionalFormatting>
  <conditionalFormatting sqref="O17">
    <cfRule type="cellIs" dxfId="1832" priority="28" operator="equal">
      <formula>0</formula>
    </cfRule>
  </conditionalFormatting>
  <conditionalFormatting sqref="P17">
    <cfRule type="cellIs" dxfId="1831" priority="27" operator="equal">
      <formula>0</formula>
    </cfRule>
  </conditionalFormatting>
  <conditionalFormatting sqref="T17">
    <cfRule type="cellIs" dxfId="1830" priority="23" operator="equal">
      <formula>0</formula>
    </cfRule>
  </conditionalFormatting>
  <conditionalFormatting sqref="U17">
    <cfRule type="cellIs" dxfId="1829" priority="22" operator="equal">
      <formula>0</formula>
    </cfRule>
  </conditionalFormatting>
  <conditionalFormatting sqref="V17">
    <cfRule type="cellIs" dxfId="1828" priority="21" operator="equal">
      <formula>0</formula>
    </cfRule>
  </conditionalFormatting>
  <conditionalFormatting sqref="W17">
    <cfRule type="cellIs" dxfId="1827" priority="20" operator="equal">
      <formula>0</formula>
    </cfRule>
  </conditionalFormatting>
  <conditionalFormatting sqref="X17">
    <cfRule type="cellIs" dxfId="1826" priority="19" operator="equal">
      <formula>0</formula>
    </cfRule>
  </conditionalFormatting>
  <conditionalFormatting sqref="Y17">
    <cfRule type="cellIs" dxfId="1825" priority="18" operator="equal">
      <formula>0</formula>
    </cfRule>
  </conditionalFormatting>
  <conditionalFormatting sqref="Z17">
    <cfRule type="cellIs" dxfId="1824" priority="17" operator="equal">
      <formula>0</formula>
    </cfRule>
  </conditionalFormatting>
  <conditionalFormatting sqref="AA17">
    <cfRule type="cellIs" dxfId="1823" priority="16" operator="equal">
      <formula>0</formula>
    </cfRule>
  </conditionalFormatting>
  <conditionalFormatting sqref="AB17">
    <cfRule type="cellIs" dxfId="1822" priority="15" operator="equal">
      <formula>0</formula>
    </cfRule>
  </conditionalFormatting>
  <conditionalFormatting sqref="AC17">
    <cfRule type="cellIs" dxfId="1821" priority="14" operator="equal">
      <formula>0</formula>
    </cfRule>
  </conditionalFormatting>
  <conditionalFormatting sqref="AD17">
    <cfRule type="cellIs" dxfId="1820" priority="13" operator="equal">
      <formula>0</formula>
    </cfRule>
  </conditionalFormatting>
  <conditionalFormatting sqref="AE17">
    <cfRule type="cellIs" dxfId="1819" priority="12" operator="equal">
      <formula>0</formula>
    </cfRule>
  </conditionalFormatting>
  <conditionalFormatting sqref="AF17">
    <cfRule type="cellIs" dxfId="1818" priority="11" operator="equal">
      <formula>0</formula>
    </cfRule>
  </conditionalFormatting>
  <conditionalFormatting sqref="AG17">
    <cfRule type="cellIs" dxfId="1817" priority="10" operator="equal">
      <formula>0</formula>
    </cfRule>
  </conditionalFormatting>
  <conditionalFormatting sqref="AH17">
    <cfRule type="cellIs" dxfId="1816" priority="9" operator="equal">
      <formula>0</formula>
    </cfRule>
  </conditionalFormatting>
  <conditionalFormatting sqref="AI17">
    <cfRule type="cellIs" dxfId="1815" priority="8" operator="equal">
      <formula>0</formula>
    </cfRule>
  </conditionalFormatting>
  <conditionalFormatting sqref="AJ17">
    <cfRule type="cellIs" dxfId="1814" priority="7" operator="equal">
      <formula>0</formula>
    </cfRule>
  </conditionalFormatting>
  <conditionalFormatting sqref="AK17">
    <cfRule type="cellIs" dxfId="1813" priority="6" operator="equal">
      <formula>0</formula>
    </cfRule>
  </conditionalFormatting>
  <conditionalFormatting sqref="AL17">
    <cfRule type="cellIs" dxfId="1812" priority="5" operator="equal">
      <formula>0</formula>
    </cfRule>
  </conditionalFormatting>
  <conditionalFormatting sqref="AM17">
    <cfRule type="cellIs" dxfId="1811" priority="4" operator="equal">
      <formula>0</formula>
    </cfRule>
  </conditionalFormatting>
  <conditionalFormatting sqref="AN17">
    <cfRule type="cellIs" dxfId="1810" priority="3" operator="equal">
      <formula>0</formula>
    </cfRule>
  </conditionalFormatting>
  <conditionalFormatting sqref="AO17">
    <cfRule type="cellIs" dxfId="1809" priority="2" operator="equal">
      <formula>0</formula>
    </cfRule>
  </conditionalFormatting>
  <conditionalFormatting sqref="AP17">
    <cfRule type="cellIs" dxfId="1808" priority="1" operator="equal">
      <formula>0</formula>
    </cfRule>
  </conditionalFormatting>
  <dataValidations count="1">
    <dataValidation type="list" allowBlank="1" showInputMessage="1" showErrorMessage="1" sqref="C2">
      <formula1>$AG$7:$AR$7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447"/>
  <sheetViews>
    <sheetView showGridLines="0"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17.85546875" bestFit="1" customWidth="1"/>
    <col min="2" max="2" width="21.42578125" customWidth="1"/>
    <col min="3" max="3" width="11.85546875" bestFit="1" customWidth="1"/>
    <col min="7" max="7" width="11.7109375" customWidth="1"/>
    <col min="8" max="8" width="14.7109375" customWidth="1"/>
    <col min="9" max="9" width="12.42578125" customWidth="1"/>
    <col min="10" max="10" width="35.7109375" customWidth="1"/>
    <col min="11" max="11" width="25.28515625" customWidth="1"/>
    <col min="12" max="12" width="12.5703125" style="60" customWidth="1"/>
    <col min="13" max="13" width="15.42578125" customWidth="1"/>
  </cols>
  <sheetData>
    <row r="1" spans="1:13" s="27" customFormat="1" ht="38.25" customHeight="1" x14ac:dyDescent="0.25">
      <c r="A1" s="26" t="s">
        <v>1</v>
      </c>
      <c r="B1" s="26" t="s">
        <v>2</v>
      </c>
      <c r="C1" s="26" t="s">
        <v>3</v>
      </c>
      <c r="D1" s="26" t="s">
        <v>4</v>
      </c>
      <c r="E1" s="26" t="s">
        <v>5</v>
      </c>
      <c r="F1" s="26" t="s">
        <v>6</v>
      </c>
      <c r="G1" s="26" t="s">
        <v>112</v>
      </c>
      <c r="H1" s="26" t="s">
        <v>113</v>
      </c>
      <c r="I1" s="26" t="s">
        <v>114</v>
      </c>
      <c r="J1" s="26" t="s">
        <v>7</v>
      </c>
      <c r="K1" s="26" t="s">
        <v>8</v>
      </c>
      <c r="L1" s="57" t="s">
        <v>15</v>
      </c>
      <c r="M1" s="26" t="s">
        <v>89</v>
      </c>
    </row>
    <row r="2" spans="1:13" ht="15.75" x14ac:dyDescent="0.25">
      <c r="A2" s="28" t="s">
        <v>0</v>
      </c>
      <c r="B2" s="2" t="s">
        <v>10</v>
      </c>
      <c r="C2" s="18">
        <v>42736</v>
      </c>
      <c r="D2" s="3" t="s">
        <v>23</v>
      </c>
      <c r="E2" s="29">
        <v>0.72916666666666674</v>
      </c>
      <c r="F2" s="30">
        <v>0.79166666666666663</v>
      </c>
      <c r="G2" s="31"/>
      <c r="H2" s="31">
        <v>9.4999999999999982</v>
      </c>
      <c r="I2" s="5"/>
      <c r="J2" s="32" t="s">
        <v>9</v>
      </c>
      <c r="K2" s="33" t="s">
        <v>26</v>
      </c>
      <c r="L2" s="58">
        <f>IF(AND($A2="Perm Staff Onsite",$H2&gt;=2),1,"")</f>
        <v>1</v>
      </c>
      <c r="M2" s="8" t="str">
        <f>IF($C2="","",TEXT(DATE(YEAR($C2),MONTH($C2),DAY($C2)),"MMM")&amp;"_"&amp;YEAR($C2))</f>
        <v>Jan_2017</v>
      </c>
    </row>
    <row r="3" spans="1:13" ht="15.75" x14ac:dyDescent="0.25">
      <c r="A3" s="2" t="s">
        <v>0</v>
      </c>
      <c r="B3" s="2" t="s">
        <v>10</v>
      </c>
      <c r="C3" s="18">
        <v>42738</v>
      </c>
      <c r="D3" s="3" t="s">
        <v>16</v>
      </c>
      <c r="E3" s="29">
        <v>0.64583333333333326</v>
      </c>
      <c r="F3" s="29">
        <v>0.72916666666666663</v>
      </c>
      <c r="G3" s="31"/>
      <c r="H3" s="31">
        <v>2</v>
      </c>
      <c r="I3" s="34"/>
      <c r="J3" s="35" t="s">
        <v>9</v>
      </c>
      <c r="K3" s="36" t="s">
        <v>27</v>
      </c>
      <c r="L3" s="58">
        <f t="shared" ref="L3:L66" si="0">IF(AND($A3="Perm Staff Onsite",$H3&gt;=2),1,"")</f>
        <v>1</v>
      </c>
      <c r="M3" s="8" t="str">
        <f t="shared" ref="M3:M66" si="1">IF($C3="","",TEXT(DATE(YEAR($C3),MONTH($C3),DAY($C3)),"MMM")&amp;"_"&amp;YEAR($C3))</f>
        <v>Jan_2017</v>
      </c>
    </row>
    <row r="4" spans="1:13" ht="15.75" x14ac:dyDescent="0.25">
      <c r="A4" s="2" t="s">
        <v>0</v>
      </c>
      <c r="B4" s="2" t="s">
        <v>10</v>
      </c>
      <c r="C4" s="18">
        <v>42739</v>
      </c>
      <c r="D4" s="3" t="s">
        <v>19</v>
      </c>
      <c r="E4" s="29">
        <v>0.66666666666666674</v>
      </c>
      <c r="F4" s="29">
        <v>0.72916666666666663</v>
      </c>
      <c r="G4" s="37"/>
      <c r="H4" s="38">
        <v>1.4999999999999982</v>
      </c>
      <c r="I4" s="39"/>
      <c r="J4" s="40" t="s">
        <v>9</v>
      </c>
      <c r="K4" s="36" t="s">
        <v>32</v>
      </c>
      <c r="L4" s="58" t="str">
        <f t="shared" si="0"/>
        <v/>
      </c>
      <c r="M4" s="8" t="str">
        <f t="shared" si="1"/>
        <v>Jan_2017</v>
      </c>
    </row>
    <row r="5" spans="1:13" ht="15.75" x14ac:dyDescent="0.25">
      <c r="A5" s="2" t="s">
        <v>0</v>
      </c>
      <c r="B5" s="2" t="s">
        <v>10</v>
      </c>
      <c r="C5" s="18">
        <v>42744</v>
      </c>
      <c r="D5" s="3" t="s">
        <v>21</v>
      </c>
      <c r="E5" s="29">
        <v>0.72916666666666674</v>
      </c>
      <c r="F5" s="29">
        <v>0.83333333333333337</v>
      </c>
      <c r="G5" s="37"/>
      <c r="H5" s="38">
        <v>2.5</v>
      </c>
      <c r="I5" s="39"/>
      <c r="J5" s="40" t="s">
        <v>9</v>
      </c>
      <c r="K5" s="36" t="s">
        <v>22</v>
      </c>
      <c r="L5" s="58">
        <f t="shared" si="0"/>
        <v>1</v>
      </c>
      <c r="M5" s="8" t="str">
        <f t="shared" si="1"/>
        <v>Jan_2017</v>
      </c>
    </row>
    <row r="6" spans="1:13" ht="15.75" x14ac:dyDescent="0.25">
      <c r="A6" s="2" t="s">
        <v>0</v>
      </c>
      <c r="B6" s="2" t="s">
        <v>10</v>
      </c>
      <c r="C6" s="18">
        <v>42745</v>
      </c>
      <c r="D6" s="3" t="s">
        <v>16</v>
      </c>
      <c r="E6" s="29">
        <v>0.72916666666666696</v>
      </c>
      <c r="F6" s="29">
        <v>0.85416666666666696</v>
      </c>
      <c r="G6" s="37"/>
      <c r="H6" s="38">
        <v>2.9999999999999982</v>
      </c>
      <c r="I6" s="39"/>
      <c r="J6" s="40" t="s">
        <v>9</v>
      </c>
      <c r="K6" s="36" t="s">
        <v>28</v>
      </c>
      <c r="L6" s="58">
        <f t="shared" si="0"/>
        <v>1</v>
      </c>
      <c r="M6" s="8" t="str">
        <f t="shared" si="1"/>
        <v>Jan_2017</v>
      </c>
    </row>
    <row r="7" spans="1:13" ht="15.75" x14ac:dyDescent="0.25">
      <c r="A7" s="2" t="s">
        <v>0</v>
      </c>
      <c r="B7" s="2" t="s">
        <v>10</v>
      </c>
      <c r="C7" s="18">
        <v>42746</v>
      </c>
      <c r="D7" s="3" t="s">
        <v>19</v>
      </c>
      <c r="E7" s="29">
        <v>0.70833333333333304</v>
      </c>
      <c r="F7" s="29">
        <v>0.75</v>
      </c>
      <c r="G7" s="37"/>
      <c r="H7" s="38">
        <v>1.0000000000000089</v>
      </c>
      <c r="I7" s="39"/>
      <c r="J7" s="40" t="s">
        <v>9</v>
      </c>
      <c r="K7" s="36" t="s">
        <v>115</v>
      </c>
      <c r="L7" s="58" t="str">
        <f t="shared" si="0"/>
        <v/>
      </c>
      <c r="M7" s="8" t="str">
        <f t="shared" si="1"/>
        <v>Jan_2017</v>
      </c>
    </row>
    <row r="8" spans="1:13" ht="15.75" x14ac:dyDescent="0.25">
      <c r="A8" s="2" t="s">
        <v>0</v>
      </c>
      <c r="B8" s="2" t="s">
        <v>10</v>
      </c>
      <c r="C8" s="18">
        <v>42748</v>
      </c>
      <c r="D8" s="3" t="s">
        <v>17</v>
      </c>
      <c r="E8" s="29">
        <v>0.72916666666666696</v>
      </c>
      <c r="F8" s="29">
        <v>0.75</v>
      </c>
      <c r="G8" s="37"/>
      <c r="H8" s="38">
        <v>0.49999999999999112</v>
      </c>
      <c r="I8" s="39"/>
      <c r="J8" s="40" t="s">
        <v>9</v>
      </c>
      <c r="K8" s="36" t="s">
        <v>116</v>
      </c>
      <c r="L8" s="58" t="str">
        <f t="shared" si="0"/>
        <v/>
      </c>
      <c r="M8" s="8" t="str">
        <f t="shared" si="1"/>
        <v>Jan_2017</v>
      </c>
    </row>
    <row r="9" spans="1:13" ht="15.75" x14ac:dyDescent="0.25">
      <c r="A9" s="2" t="s">
        <v>0</v>
      </c>
      <c r="B9" s="2" t="s">
        <v>10</v>
      </c>
      <c r="C9" s="18">
        <v>42758</v>
      </c>
      <c r="D9" s="3" t="s">
        <v>21</v>
      </c>
      <c r="E9" s="29">
        <v>0.72916666666666696</v>
      </c>
      <c r="F9" s="29">
        <v>0.875</v>
      </c>
      <c r="G9" s="37"/>
      <c r="H9" s="38">
        <v>3.4999999999999929</v>
      </c>
      <c r="I9" s="39"/>
      <c r="J9" s="40" t="s">
        <v>9</v>
      </c>
      <c r="K9" s="36" t="s">
        <v>29</v>
      </c>
      <c r="L9" s="58">
        <f t="shared" si="0"/>
        <v>1</v>
      </c>
      <c r="M9" s="8" t="str">
        <f t="shared" si="1"/>
        <v>Jan_2017</v>
      </c>
    </row>
    <row r="10" spans="1:13" ht="15.75" x14ac:dyDescent="0.25">
      <c r="A10" s="2" t="s">
        <v>0</v>
      </c>
      <c r="B10" s="2" t="s">
        <v>10</v>
      </c>
      <c r="C10" s="18">
        <v>42759</v>
      </c>
      <c r="D10" s="3" t="s">
        <v>16</v>
      </c>
      <c r="E10" s="29">
        <v>0.6875</v>
      </c>
      <c r="F10" s="29">
        <v>0.91666666666666696</v>
      </c>
      <c r="G10" s="37"/>
      <c r="H10" s="38">
        <v>5.5000000000000071</v>
      </c>
      <c r="I10" s="39"/>
      <c r="J10" s="40" t="s">
        <v>9</v>
      </c>
      <c r="K10" s="36" t="s">
        <v>30</v>
      </c>
      <c r="L10" s="58">
        <f t="shared" si="0"/>
        <v>1</v>
      </c>
      <c r="M10" s="8" t="str">
        <f t="shared" si="1"/>
        <v>Jan_2017</v>
      </c>
    </row>
    <row r="11" spans="1:13" ht="15.75" x14ac:dyDescent="0.25">
      <c r="A11" s="2" t="s">
        <v>0</v>
      </c>
      <c r="B11" s="2" t="s">
        <v>10</v>
      </c>
      <c r="C11" s="18">
        <v>42760</v>
      </c>
      <c r="D11" s="3" t="s">
        <v>19</v>
      </c>
      <c r="E11" s="29">
        <v>0.66666666666666696</v>
      </c>
      <c r="F11" s="29">
        <v>0.875</v>
      </c>
      <c r="G11" s="37"/>
      <c r="H11" s="38">
        <v>4.9999999999999929</v>
      </c>
      <c r="I11" s="39"/>
      <c r="J11" s="40" t="s">
        <v>9</v>
      </c>
      <c r="K11" s="36" t="s">
        <v>31</v>
      </c>
      <c r="L11" s="58">
        <f t="shared" si="0"/>
        <v>1</v>
      </c>
      <c r="M11" s="8" t="str">
        <f t="shared" si="1"/>
        <v>Jan_2017</v>
      </c>
    </row>
    <row r="12" spans="1:13" ht="15.75" x14ac:dyDescent="0.25">
      <c r="A12" s="2" t="s">
        <v>0</v>
      </c>
      <c r="B12" s="2" t="s">
        <v>11</v>
      </c>
      <c r="C12" s="18">
        <v>42736</v>
      </c>
      <c r="D12" s="3" t="s">
        <v>23</v>
      </c>
      <c r="E12" s="29">
        <v>0.8125</v>
      </c>
      <c r="F12" s="29">
        <v>0.54166666666666663</v>
      </c>
      <c r="G12" s="37"/>
      <c r="H12" s="38">
        <v>2.5</v>
      </c>
      <c r="I12" s="39"/>
      <c r="J12" s="40" t="s">
        <v>9</v>
      </c>
      <c r="K12" s="36" t="s">
        <v>26</v>
      </c>
      <c r="L12" s="58">
        <f t="shared" si="0"/>
        <v>1</v>
      </c>
      <c r="M12" s="8" t="str">
        <f t="shared" si="1"/>
        <v>Jan_2017</v>
      </c>
    </row>
    <row r="13" spans="1:13" ht="15.75" x14ac:dyDescent="0.25">
      <c r="A13" s="2" t="s">
        <v>0</v>
      </c>
      <c r="B13" s="2" t="s">
        <v>11</v>
      </c>
      <c r="C13" s="18">
        <v>42746</v>
      </c>
      <c r="D13" s="3" t="s">
        <v>19</v>
      </c>
      <c r="E13" s="29">
        <v>0.70833333333333304</v>
      </c>
      <c r="F13" s="29">
        <v>0.72916666666666696</v>
      </c>
      <c r="G13" s="37"/>
      <c r="H13" s="38">
        <v>0.50000000000001599</v>
      </c>
      <c r="I13" s="39"/>
      <c r="J13" s="40" t="s">
        <v>9</v>
      </c>
      <c r="K13" s="36" t="s">
        <v>115</v>
      </c>
      <c r="L13" s="58" t="str">
        <f t="shared" si="0"/>
        <v/>
      </c>
      <c r="M13" s="8" t="str">
        <f t="shared" si="1"/>
        <v>Jan_2017</v>
      </c>
    </row>
    <row r="14" spans="1:13" ht="15.75" x14ac:dyDescent="0.25">
      <c r="A14" s="2" t="s">
        <v>0</v>
      </c>
      <c r="B14" s="2" t="s">
        <v>12</v>
      </c>
      <c r="C14" s="18">
        <v>42736</v>
      </c>
      <c r="D14" s="3" t="s">
        <v>23</v>
      </c>
      <c r="E14" s="29">
        <v>0.66666666666666674</v>
      </c>
      <c r="F14" s="29">
        <v>0.79166666666666663</v>
      </c>
      <c r="G14" s="37"/>
      <c r="H14" s="38">
        <v>11</v>
      </c>
      <c r="I14" s="39"/>
      <c r="J14" s="40" t="s">
        <v>9</v>
      </c>
      <c r="K14" s="36" t="s">
        <v>26</v>
      </c>
      <c r="L14" s="58">
        <f t="shared" si="0"/>
        <v>1</v>
      </c>
      <c r="M14" s="8" t="str">
        <f t="shared" si="1"/>
        <v>Jan_2017</v>
      </c>
    </row>
    <row r="15" spans="1:13" ht="15.75" x14ac:dyDescent="0.25">
      <c r="A15" s="2" t="s">
        <v>0</v>
      </c>
      <c r="B15" s="2" t="s">
        <v>12</v>
      </c>
      <c r="C15" s="18">
        <v>42738</v>
      </c>
      <c r="D15" s="3" t="s">
        <v>16</v>
      </c>
      <c r="E15" s="29">
        <v>0.64583333333333326</v>
      </c>
      <c r="F15" s="29">
        <v>0.70833333333333337</v>
      </c>
      <c r="G15" s="37"/>
      <c r="H15" s="38">
        <v>1.5000000000000018</v>
      </c>
      <c r="I15" s="39"/>
      <c r="J15" s="40" t="s">
        <v>9</v>
      </c>
      <c r="K15" s="36" t="s">
        <v>27</v>
      </c>
      <c r="L15" s="58" t="str">
        <f t="shared" si="0"/>
        <v/>
      </c>
      <c r="M15" s="8" t="str">
        <f t="shared" si="1"/>
        <v>Jan_2017</v>
      </c>
    </row>
    <row r="16" spans="1:13" ht="15.75" x14ac:dyDescent="0.25">
      <c r="A16" s="2" t="s">
        <v>0</v>
      </c>
      <c r="B16" s="2" t="s">
        <v>12</v>
      </c>
      <c r="C16" s="18">
        <v>42739</v>
      </c>
      <c r="D16" s="3" t="s">
        <v>19</v>
      </c>
      <c r="E16" s="29">
        <v>0.66666666666666674</v>
      </c>
      <c r="F16" s="29">
        <v>0.6875</v>
      </c>
      <c r="G16" s="37"/>
      <c r="H16" s="38">
        <v>0.5</v>
      </c>
      <c r="I16" s="39"/>
      <c r="J16" s="40" t="s">
        <v>9</v>
      </c>
      <c r="K16" s="36" t="s">
        <v>32</v>
      </c>
      <c r="L16" s="58" t="str">
        <f t="shared" si="0"/>
        <v/>
      </c>
      <c r="M16" s="8" t="str">
        <f t="shared" si="1"/>
        <v>Jan_2017</v>
      </c>
    </row>
    <row r="17" spans="1:13" ht="15.75" x14ac:dyDescent="0.25">
      <c r="A17" s="2" t="s">
        <v>0</v>
      </c>
      <c r="B17" s="2" t="s">
        <v>12</v>
      </c>
      <c r="C17" s="18">
        <v>42744</v>
      </c>
      <c r="D17" s="3" t="s">
        <v>21</v>
      </c>
      <c r="E17" s="29">
        <v>0.72916666666666674</v>
      </c>
      <c r="F17" s="29">
        <v>0.83333333333333337</v>
      </c>
      <c r="G17" s="37"/>
      <c r="H17" s="38">
        <v>2.5</v>
      </c>
      <c r="I17" s="39"/>
      <c r="J17" s="40" t="s">
        <v>9</v>
      </c>
      <c r="K17" s="36" t="s">
        <v>22</v>
      </c>
      <c r="L17" s="58">
        <f t="shared" si="0"/>
        <v>1</v>
      </c>
      <c r="M17" s="8" t="str">
        <f t="shared" si="1"/>
        <v>Jan_2017</v>
      </c>
    </row>
    <row r="18" spans="1:13" ht="15.75" x14ac:dyDescent="0.25">
      <c r="A18" s="2" t="s">
        <v>0</v>
      </c>
      <c r="B18" s="2" t="s">
        <v>12</v>
      </c>
      <c r="C18" s="18">
        <v>42745</v>
      </c>
      <c r="D18" s="3" t="s">
        <v>16</v>
      </c>
      <c r="E18" s="29">
        <v>0.72916666666666696</v>
      </c>
      <c r="F18" s="29">
        <v>0.75</v>
      </c>
      <c r="G18" s="37"/>
      <c r="H18" s="38">
        <v>0.49999999999999112</v>
      </c>
      <c r="I18" s="39"/>
      <c r="J18" s="40" t="s">
        <v>9</v>
      </c>
      <c r="K18" s="36" t="s">
        <v>28</v>
      </c>
      <c r="L18" s="58" t="str">
        <f t="shared" si="0"/>
        <v/>
      </c>
      <c r="M18" s="8" t="str">
        <f t="shared" si="1"/>
        <v>Jan_2017</v>
      </c>
    </row>
    <row r="19" spans="1:13" ht="15.75" x14ac:dyDescent="0.25">
      <c r="A19" s="2" t="s">
        <v>0</v>
      </c>
      <c r="B19" s="2" t="s">
        <v>12</v>
      </c>
      <c r="C19" s="18">
        <v>42746</v>
      </c>
      <c r="D19" s="3" t="s">
        <v>19</v>
      </c>
      <c r="E19" s="29">
        <v>0.70833333333333304</v>
      </c>
      <c r="F19" s="29">
        <v>0.75</v>
      </c>
      <c r="G19" s="37"/>
      <c r="H19" s="38">
        <v>1.0000000000000089</v>
      </c>
      <c r="I19" s="39"/>
      <c r="J19" s="40" t="s">
        <v>9</v>
      </c>
      <c r="K19" s="36" t="s">
        <v>115</v>
      </c>
      <c r="L19" s="58" t="str">
        <f t="shared" si="0"/>
        <v/>
      </c>
      <c r="M19" s="8" t="str">
        <f t="shared" si="1"/>
        <v>Jan_2017</v>
      </c>
    </row>
    <row r="20" spans="1:13" ht="15.75" x14ac:dyDescent="0.25">
      <c r="A20" s="2" t="s">
        <v>0</v>
      </c>
      <c r="B20" s="2" t="s">
        <v>12</v>
      </c>
      <c r="C20" s="18">
        <v>42748</v>
      </c>
      <c r="D20" s="3" t="s">
        <v>17</v>
      </c>
      <c r="E20" s="29">
        <v>0.72916666666666696</v>
      </c>
      <c r="F20" s="29">
        <v>0.75</v>
      </c>
      <c r="G20" s="37"/>
      <c r="H20" s="38">
        <v>0.49999999999999112</v>
      </c>
      <c r="I20" s="39"/>
      <c r="J20" s="40" t="s">
        <v>9</v>
      </c>
      <c r="K20" s="36" t="s">
        <v>116</v>
      </c>
      <c r="L20" s="58" t="str">
        <f t="shared" si="0"/>
        <v/>
      </c>
      <c r="M20" s="8" t="str">
        <f t="shared" si="1"/>
        <v>Jan_2017</v>
      </c>
    </row>
    <row r="21" spans="1:13" ht="15.75" x14ac:dyDescent="0.25">
      <c r="A21" s="2" t="s">
        <v>0</v>
      </c>
      <c r="B21" s="2" t="s">
        <v>13</v>
      </c>
      <c r="C21" s="18">
        <v>42736</v>
      </c>
      <c r="D21" s="3" t="s">
        <v>23</v>
      </c>
      <c r="E21" s="29">
        <v>0.64583333333333326</v>
      </c>
      <c r="F21" s="29">
        <v>0.79166666666666663</v>
      </c>
      <c r="G21" s="37"/>
      <c r="H21" s="38">
        <v>11.5</v>
      </c>
      <c r="I21" s="39"/>
      <c r="J21" s="40" t="s">
        <v>9</v>
      </c>
      <c r="K21" s="36" t="s">
        <v>26</v>
      </c>
      <c r="L21" s="58">
        <f t="shared" si="0"/>
        <v>1</v>
      </c>
      <c r="M21" s="8" t="str">
        <f t="shared" si="1"/>
        <v>Jan_2017</v>
      </c>
    </row>
    <row r="22" spans="1:13" ht="15.75" x14ac:dyDescent="0.25">
      <c r="A22" s="2" t="s">
        <v>0</v>
      </c>
      <c r="B22" s="2" t="s">
        <v>13</v>
      </c>
      <c r="C22" s="18">
        <v>42744</v>
      </c>
      <c r="D22" s="3" t="s">
        <v>21</v>
      </c>
      <c r="E22" s="29">
        <v>0.72916666666666674</v>
      </c>
      <c r="F22" s="29">
        <v>0.83333333333333337</v>
      </c>
      <c r="G22" s="37"/>
      <c r="H22" s="38">
        <v>2.5</v>
      </c>
      <c r="I22" s="39"/>
      <c r="J22" s="40" t="s">
        <v>9</v>
      </c>
      <c r="K22" s="36" t="s">
        <v>22</v>
      </c>
      <c r="L22" s="58">
        <f t="shared" si="0"/>
        <v>1</v>
      </c>
      <c r="M22" s="8" t="str">
        <f t="shared" si="1"/>
        <v>Jan_2017</v>
      </c>
    </row>
    <row r="23" spans="1:13" ht="15.75" x14ac:dyDescent="0.25">
      <c r="A23" s="2" t="s">
        <v>0</v>
      </c>
      <c r="B23" s="2" t="s">
        <v>13</v>
      </c>
      <c r="C23" s="18">
        <v>42745</v>
      </c>
      <c r="D23" s="3" t="s">
        <v>16</v>
      </c>
      <c r="E23" s="29">
        <v>0.72916666666666696</v>
      </c>
      <c r="F23" s="29">
        <v>0.77083333333333304</v>
      </c>
      <c r="G23" s="37"/>
      <c r="H23" s="38">
        <v>0.99999999999998401</v>
      </c>
      <c r="I23" s="39"/>
      <c r="J23" s="40" t="s">
        <v>9</v>
      </c>
      <c r="K23" s="36" t="s">
        <v>28</v>
      </c>
      <c r="L23" s="58" t="str">
        <f t="shared" si="0"/>
        <v/>
      </c>
      <c r="M23" s="8" t="str">
        <f t="shared" si="1"/>
        <v>Jan_2017</v>
      </c>
    </row>
    <row r="24" spans="1:13" ht="15.75" x14ac:dyDescent="0.25">
      <c r="A24" s="2" t="s">
        <v>0</v>
      </c>
      <c r="B24" s="2" t="s">
        <v>13</v>
      </c>
      <c r="C24" s="18">
        <v>42746</v>
      </c>
      <c r="D24" s="3" t="s">
        <v>19</v>
      </c>
      <c r="E24" s="29">
        <v>0.70833333333333304</v>
      </c>
      <c r="F24" s="29">
        <v>0.75</v>
      </c>
      <c r="G24" s="37"/>
      <c r="H24" s="38">
        <v>1.0000000000000089</v>
      </c>
      <c r="I24" s="39"/>
      <c r="J24" s="40" t="s">
        <v>9</v>
      </c>
      <c r="K24" s="36" t="s">
        <v>115</v>
      </c>
      <c r="L24" s="58" t="str">
        <f t="shared" si="0"/>
        <v/>
      </c>
      <c r="M24" s="8" t="str">
        <f t="shared" si="1"/>
        <v>Jan_2017</v>
      </c>
    </row>
    <row r="25" spans="1:13" ht="15.75" x14ac:dyDescent="0.25">
      <c r="A25" s="2" t="s">
        <v>0</v>
      </c>
      <c r="B25" s="2" t="s">
        <v>13</v>
      </c>
      <c r="C25" s="18">
        <v>42748</v>
      </c>
      <c r="D25" s="3" t="s">
        <v>17</v>
      </c>
      <c r="E25" s="29">
        <v>0.72916666666666696</v>
      </c>
      <c r="F25" s="29">
        <v>0.75</v>
      </c>
      <c r="G25" s="37"/>
      <c r="H25" s="38">
        <v>0.49999999999999112</v>
      </c>
      <c r="I25" s="39"/>
      <c r="J25" s="40" t="s">
        <v>9</v>
      </c>
      <c r="K25" s="36" t="s">
        <v>116</v>
      </c>
      <c r="L25" s="58" t="str">
        <f t="shared" si="0"/>
        <v/>
      </c>
      <c r="M25" s="8" t="str">
        <f t="shared" si="1"/>
        <v>Jan_2017</v>
      </c>
    </row>
    <row r="26" spans="1:13" ht="15.75" x14ac:dyDescent="0.25">
      <c r="A26" s="2" t="s">
        <v>0</v>
      </c>
      <c r="B26" s="2" t="s">
        <v>13</v>
      </c>
      <c r="C26" s="18">
        <v>42758</v>
      </c>
      <c r="D26" s="3" t="s">
        <v>21</v>
      </c>
      <c r="E26" s="29">
        <v>0.72916666666666696</v>
      </c>
      <c r="F26" s="29">
        <v>0.75</v>
      </c>
      <c r="G26" s="37"/>
      <c r="H26" s="38">
        <v>0.49999999999999112</v>
      </c>
      <c r="I26" s="39"/>
      <c r="J26" s="40" t="s">
        <v>9</v>
      </c>
      <c r="K26" s="36" t="s">
        <v>29</v>
      </c>
      <c r="L26" s="58" t="str">
        <f t="shared" si="0"/>
        <v/>
      </c>
      <c r="M26" s="8" t="str">
        <f t="shared" si="1"/>
        <v>Jan_2017</v>
      </c>
    </row>
    <row r="27" spans="1:13" ht="15.75" x14ac:dyDescent="0.25">
      <c r="A27" s="2" t="s">
        <v>0</v>
      </c>
      <c r="B27" s="2" t="s">
        <v>13</v>
      </c>
      <c r="C27" s="18">
        <v>42759</v>
      </c>
      <c r="D27" s="3" t="s">
        <v>16</v>
      </c>
      <c r="E27" s="29">
        <v>0.6875</v>
      </c>
      <c r="F27" s="29">
        <v>0.875</v>
      </c>
      <c r="G27" s="37"/>
      <c r="H27" s="38">
        <v>4.5</v>
      </c>
      <c r="I27" s="39"/>
      <c r="J27" s="40" t="s">
        <v>9</v>
      </c>
      <c r="K27" s="36" t="s">
        <v>30</v>
      </c>
      <c r="L27" s="58">
        <f t="shared" si="0"/>
        <v>1</v>
      </c>
      <c r="M27" s="8" t="str">
        <f t="shared" si="1"/>
        <v>Jan_2017</v>
      </c>
    </row>
    <row r="28" spans="1:13" ht="15.75" x14ac:dyDescent="0.25">
      <c r="A28" s="2" t="s">
        <v>0</v>
      </c>
      <c r="B28" s="2" t="s">
        <v>13</v>
      </c>
      <c r="C28" s="18">
        <v>42760</v>
      </c>
      <c r="D28" s="3" t="s">
        <v>19</v>
      </c>
      <c r="E28" s="29">
        <v>0.66666666666666696</v>
      </c>
      <c r="F28" s="29">
        <v>0.75</v>
      </c>
      <c r="G28" s="37"/>
      <c r="H28" s="38">
        <v>1.9999999999999911</v>
      </c>
      <c r="I28" s="39"/>
      <c r="J28" s="40" t="s">
        <v>9</v>
      </c>
      <c r="K28" s="36" t="s">
        <v>31</v>
      </c>
      <c r="L28" s="58" t="str">
        <f t="shared" si="0"/>
        <v/>
      </c>
      <c r="M28" s="8" t="str">
        <f t="shared" si="1"/>
        <v>Jan_2017</v>
      </c>
    </row>
    <row r="29" spans="1:13" ht="15.75" x14ac:dyDescent="0.25">
      <c r="A29" s="2" t="s">
        <v>0</v>
      </c>
      <c r="B29" s="2" t="s">
        <v>14</v>
      </c>
      <c r="C29" s="18">
        <v>42736</v>
      </c>
      <c r="D29" s="3" t="s">
        <v>23</v>
      </c>
      <c r="E29" s="29">
        <v>0.66666666666666674</v>
      </c>
      <c r="F29" s="29">
        <v>0.79166666666666663</v>
      </c>
      <c r="G29" s="37"/>
      <c r="H29" s="38">
        <v>11</v>
      </c>
      <c r="I29" s="39"/>
      <c r="J29" s="40" t="s">
        <v>9</v>
      </c>
      <c r="K29" s="36" t="s">
        <v>26</v>
      </c>
      <c r="L29" s="58">
        <f t="shared" si="0"/>
        <v>1</v>
      </c>
      <c r="M29" s="8" t="str">
        <f t="shared" si="1"/>
        <v>Jan_2017</v>
      </c>
    </row>
    <row r="30" spans="1:13" ht="15.75" x14ac:dyDescent="0.25">
      <c r="A30" s="2" t="s">
        <v>0</v>
      </c>
      <c r="B30" s="2" t="s">
        <v>14</v>
      </c>
      <c r="C30" s="18">
        <v>42738</v>
      </c>
      <c r="D30" s="3" t="s">
        <v>16</v>
      </c>
      <c r="E30" s="29">
        <v>0.66666666666666674</v>
      </c>
      <c r="F30" s="29">
        <v>0.83333333333333337</v>
      </c>
      <c r="G30" s="37"/>
      <c r="H30" s="38">
        <v>4.0000000000000018</v>
      </c>
      <c r="I30" s="39"/>
      <c r="J30" s="40" t="s">
        <v>9</v>
      </c>
      <c r="K30" s="36" t="s">
        <v>27</v>
      </c>
      <c r="L30" s="58">
        <f t="shared" si="0"/>
        <v>1</v>
      </c>
      <c r="M30" s="8" t="str">
        <f t="shared" si="1"/>
        <v>Jan_2017</v>
      </c>
    </row>
    <row r="31" spans="1:13" ht="15.75" x14ac:dyDescent="0.25">
      <c r="A31" s="2" t="s">
        <v>0</v>
      </c>
      <c r="B31" s="2" t="s">
        <v>14</v>
      </c>
      <c r="C31" s="18">
        <v>42739</v>
      </c>
      <c r="D31" s="3" t="s">
        <v>19</v>
      </c>
      <c r="E31" s="29">
        <v>0.64583333333333326</v>
      </c>
      <c r="F31" s="29">
        <v>0.83333333333333337</v>
      </c>
      <c r="G31" s="37"/>
      <c r="H31" s="38">
        <v>4.5</v>
      </c>
      <c r="I31" s="39"/>
      <c r="J31" s="40" t="s">
        <v>9</v>
      </c>
      <c r="K31" s="36" t="s">
        <v>32</v>
      </c>
      <c r="L31" s="58">
        <f t="shared" si="0"/>
        <v>1</v>
      </c>
      <c r="M31" s="8" t="str">
        <f t="shared" si="1"/>
        <v>Jan_2017</v>
      </c>
    </row>
    <row r="32" spans="1:13" ht="15.75" x14ac:dyDescent="0.25">
      <c r="A32" s="2" t="s">
        <v>0</v>
      </c>
      <c r="B32" s="2" t="s">
        <v>14</v>
      </c>
      <c r="C32" s="18">
        <v>42744</v>
      </c>
      <c r="D32" s="3" t="s">
        <v>21</v>
      </c>
      <c r="E32" s="29">
        <v>0.72916666666666674</v>
      </c>
      <c r="F32" s="29">
        <v>0.83333333333333337</v>
      </c>
      <c r="G32" s="37"/>
      <c r="H32" s="38">
        <v>2.5</v>
      </c>
      <c r="I32" s="39"/>
      <c r="J32" s="40" t="s">
        <v>9</v>
      </c>
      <c r="K32" s="36" t="s">
        <v>22</v>
      </c>
      <c r="L32" s="58">
        <f t="shared" si="0"/>
        <v>1</v>
      </c>
      <c r="M32" s="8" t="str">
        <f t="shared" si="1"/>
        <v>Jan_2017</v>
      </c>
    </row>
    <row r="33" spans="1:13" ht="15.75" x14ac:dyDescent="0.25">
      <c r="A33" s="2" t="s">
        <v>0</v>
      </c>
      <c r="B33" s="2" t="s">
        <v>14</v>
      </c>
      <c r="C33" s="18">
        <v>42745</v>
      </c>
      <c r="D33" s="3" t="s">
        <v>16</v>
      </c>
      <c r="E33" s="29">
        <v>0.72916666666666696</v>
      </c>
      <c r="F33" s="29">
        <v>0.85416666666666696</v>
      </c>
      <c r="G33" s="37"/>
      <c r="H33" s="38">
        <v>2.9999999999999982</v>
      </c>
      <c r="I33" s="39"/>
      <c r="J33" s="40" t="s">
        <v>9</v>
      </c>
      <c r="K33" s="36" t="s">
        <v>28</v>
      </c>
      <c r="L33" s="58">
        <f t="shared" si="0"/>
        <v>1</v>
      </c>
      <c r="M33" s="8" t="str">
        <f t="shared" si="1"/>
        <v>Jan_2017</v>
      </c>
    </row>
    <row r="34" spans="1:13" ht="15.75" x14ac:dyDescent="0.25">
      <c r="A34" s="2" t="s">
        <v>0</v>
      </c>
      <c r="B34" s="2" t="s">
        <v>14</v>
      </c>
      <c r="C34" s="18">
        <v>42746</v>
      </c>
      <c r="D34" s="3" t="s">
        <v>19</v>
      </c>
      <c r="E34" s="29">
        <v>0.72916666666666696</v>
      </c>
      <c r="F34" s="29">
        <v>0.75</v>
      </c>
      <c r="G34" s="37"/>
      <c r="H34" s="38">
        <v>0.49999999999999112</v>
      </c>
      <c r="I34" s="39"/>
      <c r="J34" s="40" t="s">
        <v>9</v>
      </c>
      <c r="K34" s="36" t="s">
        <v>115</v>
      </c>
      <c r="L34" s="58" t="str">
        <f t="shared" si="0"/>
        <v/>
      </c>
      <c r="M34" s="8" t="str">
        <f t="shared" si="1"/>
        <v>Jan_2017</v>
      </c>
    </row>
    <row r="35" spans="1:13" ht="15.75" x14ac:dyDescent="0.25">
      <c r="A35" s="2" t="s">
        <v>0</v>
      </c>
      <c r="B35" s="2" t="s">
        <v>14</v>
      </c>
      <c r="C35" s="18">
        <v>42748</v>
      </c>
      <c r="D35" s="3" t="s">
        <v>17</v>
      </c>
      <c r="E35" s="29">
        <v>0.72916666666666696</v>
      </c>
      <c r="F35" s="29">
        <v>0.75</v>
      </c>
      <c r="G35" s="37"/>
      <c r="H35" s="38">
        <v>0.49999999999999112</v>
      </c>
      <c r="I35" s="39"/>
      <c r="J35" s="40" t="s">
        <v>9</v>
      </c>
      <c r="K35" s="36" t="s">
        <v>116</v>
      </c>
      <c r="L35" s="58" t="str">
        <f t="shared" si="0"/>
        <v/>
      </c>
      <c r="M35" s="8" t="str">
        <f t="shared" si="1"/>
        <v>Jan_2017</v>
      </c>
    </row>
    <row r="36" spans="1:13" ht="15.75" x14ac:dyDescent="0.25">
      <c r="A36" s="2" t="s">
        <v>117</v>
      </c>
      <c r="B36" s="2" t="s">
        <v>118</v>
      </c>
      <c r="C36" s="18">
        <v>42736</v>
      </c>
      <c r="D36" s="3" t="s">
        <v>23</v>
      </c>
      <c r="E36" s="29">
        <v>0.29166666666666669</v>
      </c>
      <c r="F36" s="29">
        <v>0.79166666666666663</v>
      </c>
      <c r="G36" s="37"/>
      <c r="H36" s="38">
        <v>10.999999999999998</v>
      </c>
      <c r="I36" s="39"/>
      <c r="J36" s="40" t="s">
        <v>9</v>
      </c>
      <c r="K36" s="36" t="s">
        <v>26</v>
      </c>
      <c r="L36" s="58" t="str">
        <f t="shared" si="0"/>
        <v/>
      </c>
      <c r="M36" s="8" t="str">
        <f t="shared" si="1"/>
        <v>Jan_2017</v>
      </c>
    </row>
    <row r="37" spans="1:13" ht="15.75" x14ac:dyDescent="0.25">
      <c r="A37" s="2" t="s">
        <v>117</v>
      </c>
      <c r="B37" s="2" t="s">
        <v>118</v>
      </c>
      <c r="C37" s="18">
        <v>42738</v>
      </c>
      <c r="D37" s="3" t="s">
        <v>16</v>
      </c>
      <c r="E37" s="29">
        <v>0.4375</v>
      </c>
      <c r="F37" s="29">
        <v>0.91666666666666663</v>
      </c>
      <c r="G37" s="37"/>
      <c r="H37" s="38">
        <v>10.5</v>
      </c>
      <c r="I37" s="39"/>
      <c r="J37" s="40" t="s">
        <v>9</v>
      </c>
      <c r="K37" s="36" t="s">
        <v>27</v>
      </c>
      <c r="L37" s="58" t="str">
        <f t="shared" si="0"/>
        <v/>
      </c>
      <c r="M37" s="8" t="str">
        <f t="shared" si="1"/>
        <v>Jan_2017</v>
      </c>
    </row>
    <row r="38" spans="1:13" ht="15.75" x14ac:dyDescent="0.25">
      <c r="A38" s="2" t="s">
        <v>117</v>
      </c>
      <c r="B38" s="2" t="s">
        <v>118</v>
      </c>
      <c r="C38" s="18">
        <v>42739</v>
      </c>
      <c r="D38" s="3" t="s">
        <v>19</v>
      </c>
      <c r="E38" s="29">
        <v>0.35416666666666669</v>
      </c>
      <c r="F38" s="29">
        <v>0.9375</v>
      </c>
      <c r="G38" s="37"/>
      <c r="H38" s="38">
        <v>12.999999999999998</v>
      </c>
      <c r="I38" s="39"/>
      <c r="J38" s="40" t="s">
        <v>9</v>
      </c>
      <c r="K38" s="36" t="s">
        <v>32</v>
      </c>
      <c r="L38" s="58" t="str">
        <f t="shared" si="0"/>
        <v/>
      </c>
      <c r="M38" s="8" t="str">
        <f t="shared" si="1"/>
        <v>Jan_2017</v>
      </c>
    </row>
    <row r="39" spans="1:13" ht="15.75" x14ac:dyDescent="0.25">
      <c r="A39" s="2" t="s">
        <v>117</v>
      </c>
      <c r="B39" s="2" t="s">
        <v>118</v>
      </c>
      <c r="C39" s="18">
        <v>42741</v>
      </c>
      <c r="D39" s="3" t="s">
        <v>17</v>
      </c>
      <c r="E39" s="29">
        <v>0.35416666666666669</v>
      </c>
      <c r="F39" s="29">
        <v>0.72916666666666663</v>
      </c>
      <c r="G39" s="37"/>
      <c r="H39" s="31">
        <v>7.9999999999999982</v>
      </c>
      <c r="I39" s="34"/>
      <c r="J39" s="35" t="s">
        <v>9</v>
      </c>
      <c r="K39" s="36" t="s">
        <v>119</v>
      </c>
      <c r="L39" s="58" t="str">
        <f t="shared" si="0"/>
        <v/>
      </c>
      <c r="M39" s="8" t="str">
        <f t="shared" si="1"/>
        <v>Jan_2017</v>
      </c>
    </row>
    <row r="40" spans="1:13" ht="15.75" x14ac:dyDescent="0.25">
      <c r="A40" s="2" t="s">
        <v>117</v>
      </c>
      <c r="B40" s="2" t="s">
        <v>118</v>
      </c>
      <c r="C40" s="18">
        <v>42742</v>
      </c>
      <c r="D40" s="3" t="s">
        <v>24</v>
      </c>
      <c r="E40" s="29">
        <v>0.35416666666666669</v>
      </c>
      <c r="F40" s="29">
        <v>0.5</v>
      </c>
      <c r="G40" s="37"/>
      <c r="H40" s="31">
        <v>3.4999999999999996</v>
      </c>
      <c r="I40" s="34"/>
      <c r="J40" s="35" t="s">
        <v>9</v>
      </c>
      <c r="K40" s="36" t="s">
        <v>120</v>
      </c>
      <c r="L40" s="58" t="str">
        <f t="shared" si="0"/>
        <v/>
      </c>
      <c r="M40" s="8" t="str">
        <f t="shared" si="1"/>
        <v>Jan_2017</v>
      </c>
    </row>
    <row r="41" spans="1:13" ht="15.75" x14ac:dyDescent="0.25">
      <c r="A41" s="2" t="s">
        <v>117</v>
      </c>
      <c r="B41" s="2" t="s">
        <v>118</v>
      </c>
      <c r="C41" s="18">
        <v>42744</v>
      </c>
      <c r="D41" s="3" t="s">
        <v>21</v>
      </c>
      <c r="E41" s="29">
        <v>0.35416666666666669</v>
      </c>
      <c r="F41" s="29">
        <v>0.83333333333333337</v>
      </c>
      <c r="G41" s="37"/>
      <c r="H41" s="31">
        <v>10.5</v>
      </c>
      <c r="I41" s="34"/>
      <c r="J41" s="35" t="s">
        <v>9</v>
      </c>
      <c r="K41" s="36" t="s">
        <v>22</v>
      </c>
      <c r="L41" s="58" t="str">
        <f t="shared" si="0"/>
        <v/>
      </c>
      <c r="M41" s="8" t="str">
        <f t="shared" si="1"/>
        <v>Jan_2017</v>
      </c>
    </row>
    <row r="42" spans="1:13" ht="15.75" x14ac:dyDescent="0.25">
      <c r="A42" s="2" t="s">
        <v>117</v>
      </c>
      <c r="B42" s="2" t="s">
        <v>118</v>
      </c>
      <c r="C42" s="18">
        <v>42745</v>
      </c>
      <c r="D42" s="3" t="s">
        <v>16</v>
      </c>
      <c r="E42" s="29">
        <v>0.35416666666666702</v>
      </c>
      <c r="F42" s="29">
        <v>0.72916666666666696</v>
      </c>
      <c r="G42" s="37"/>
      <c r="H42" s="31">
        <v>7.9999999999999982</v>
      </c>
      <c r="I42" s="34"/>
      <c r="J42" s="35" t="s">
        <v>9</v>
      </c>
      <c r="K42" s="36" t="s">
        <v>28</v>
      </c>
      <c r="L42" s="58" t="str">
        <f t="shared" si="0"/>
        <v/>
      </c>
      <c r="M42" s="8" t="str">
        <f t="shared" si="1"/>
        <v>Jan_2017</v>
      </c>
    </row>
    <row r="43" spans="1:13" ht="15.75" x14ac:dyDescent="0.25">
      <c r="A43" s="2" t="s">
        <v>117</v>
      </c>
      <c r="B43" s="2" t="s">
        <v>118</v>
      </c>
      <c r="C43" s="18">
        <v>42746</v>
      </c>
      <c r="D43" s="3" t="s">
        <v>19</v>
      </c>
      <c r="E43" s="29">
        <v>0.33333333333333298</v>
      </c>
      <c r="F43" s="29">
        <v>0.75</v>
      </c>
      <c r="G43" s="37"/>
      <c r="H43" s="31">
        <v>9.0000000000000089</v>
      </c>
      <c r="I43" s="34"/>
      <c r="J43" s="35" t="s">
        <v>9</v>
      </c>
      <c r="K43" s="36" t="s">
        <v>115</v>
      </c>
      <c r="L43" s="58" t="str">
        <f t="shared" si="0"/>
        <v/>
      </c>
      <c r="M43" s="8" t="str">
        <f t="shared" si="1"/>
        <v>Jan_2017</v>
      </c>
    </row>
    <row r="44" spans="1:13" ht="15.75" x14ac:dyDescent="0.25">
      <c r="A44" s="2" t="s">
        <v>117</v>
      </c>
      <c r="B44" s="2" t="s">
        <v>118</v>
      </c>
      <c r="C44" s="18">
        <v>42747</v>
      </c>
      <c r="D44" s="3" t="s">
        <v>18</v>
      </c>
      <c r="E44" s="29">
        <v>0.35416666666666702</v>
      </c>
      <c r="F44" s="29">
        <v>0.72916666666666696</v>
      </c>
      <c r="G44" s="37"/>
      <c r="H44" s="31">
        <v>7.9999999999999982</v>
      </c>
      <c r="I44" s="34"/>
      <c r="J44" s="35" t="s">
        <v>9</v>
      </c>
      <c r="K44" s="36" t="s">
        <v>121</v>
      </c>
      <c r="L44" s="58" t="str">
        <f t="shared" si="0"/>
        <v/>
      </c>
      <c r="M44" s="8" t="str">
        <f t="shared" si="1"/>
        <v>Jan_2017</v>
      </c>
    </row>
    <row r="45" spans="1:13" ht="15.75" x14ac:dyDescent="0.25">
      <c r="A45" s="2" t="s">
        <v>117</v>
      </c>
      <c r="B45" s="2" t="s">
        <v>118</v>
      </c>
      <c r="C45" s="18">
        <v>42748</v>
      </c>
      <c r="D45" s="3" t="s">
        <v>17</v>
      </c>
      <c r="E45" s="29">
        <v>0.35416666666666702</v>
      </c>
      <c r="F45" s="29">
        <v>0.75</v>
      </c>
      <c r="G45" s="37"/>
      <c r="H45" s="31">
        <v>8.4999999999999911</v>
      </c>
      <c r="I45" s="34"/>
      <c r="J45" s="35" t="s">
        <v>9</v>
      </c>
      <c r="K45" s="36" t="s">
        <v>116</v>
      </c>
      <c r="L45" s="58" t="str">
        <f t="shared" si="0"/>
        <v/>
      </c>
      <c r="M45" s="8" t="str">
        <f t="shared" si="1"/>
        <v>Jan_2017</v>
      </c>
    </row>
    <row r="46" spans="1:13" ht="15.75" x14ac:dyDescent="0.25">
      <c r="A46" s="2" t="s">
        <v>117</v>
      </c>
      <c r="B46" s="2" t="s">
        <v>118</v>
      </c>
      <c r="C46" s="18">
        <v>42751</v>
      </c>
      <c r="D46" s="3" t="s">
        <v>21</v>
      </c>
      <c r="E46" s="29">
        <v>0.35416666666666702</v>
      </c>
      <c r="F46" s="29">
        <v>0.72916666666666696</v>
      </c>
      <c r="G46" s="37"/>
      <c r="H46" s="31">
        <v>7.9999999999999982</v>
      </c>
      <c r="I46" s="34"/>
      <c r="J46" s="35" t="s">
        <v>9</v>
      </c>
      <c r="K46" s="36" t="s">
        <v>122</v>
      </c>
      <c r="L46" s="58" t="str">
        <f t="shared" si="0"/>
        <v/>
      </c>
      <c r="M46" s="8" t="str">
        <f t="shared" si="1"/>
        <v>Jan_2017</v>
      </c>
    </row>
    <row r="47" spans="1:13" ht="15.75" x14ac:dyDescent="0.25">
      <c r="A47" s="2" t="s">
        <v>117</v>
      </c>
      <c r="B47" s="2" t="s">
        <v>118</v>
      </c>
      <c r="C47" s="18">
        <v>42752</v>
      </c>
      <c r="D47" s="3" t="s">
        <v>16</v>
      </c>
      <c r="E47" s="29">
        <v>0.35416666666666702</v>
      </c>
      <c r="F47" s="29">
        <v>0.72916666666666696</v>
      </c>
      <c r="G47" s="37"/>
      <c r="H47" s="31">
        <v>7.9999999999999982</v>
      </c>
      <c r="I47" s="34"/>
      <c r="J47" s="35" t="s">
        <v>9</v>
      </c>
      <c r="K47" s="36" t="s">
        <v>123</v>
      </c>
      <c r="L47" s="58" t="str">
        <f t="shared" si="0"/>
        <v/>
      </c>
      <c r="M47" s="8" t="str">
        <f t="shared" si="1"/>
        <v>Jan_2017</v>
      </c>
    </row>
    <row r="48" spans="1:13" ht="15.75" x14ac:dyDescent="0.25">
      <c r="A48" s="2" t="s">
        <v>117</v>
      </c>
      <c r="B48" s="2" t="s">
        <v>118</v>
      </c>
      <c r="C48" s="18">
        <v>42753</v>
      </c>
      <c r="D48" s="3" t="s">
        <v>19</v>
      </c>
      <c r="E48" s="29">
        <v>0.35416666666666702</v>
      </c>
      <c r="F48" s="29">
        <v>0.66666666666666696</v>
      </c>
      <c r="G48" s="37"/>
      <c r="H48" s="31">
        <v>6.4999999999999982</v>
      </c>
      <c r="I48" s="34"/>
      <c r="J48" s="35" t="s">
        <v>9</v>
      </c>
      <c r="K48" s="36" t="s">
        <v>124</v>
      </c>
      <c r="L48" s="58" t="str">
        <f t="shared" si="0"/>
        <v/>
      </c>
      <c r="M48" s="8" t="str">
        <f t="shared" si="1"/>
        <v>Jan_2017</v>
      </c>
    </row>
    <row r="49" spans="1:13" ht="15.75" x14ac:dyDescent="0.25">
      <c r="A49" s="2" t="s">
        <v>117</v>
      </c>
      <c r="B49" s="2" t="s">
        <v>118</v>
      </c>
      <c r="C49" s="18">
        <v>42754</v>
      </c>
      <c r="D49" s="3" t="s">
        <v>18</v>
      </c>
      <c r="E49" s="29">
        <v>0.35416666666666702</v>
      </c>
      <c r="F49" s="29">
        <v>0.72916666666666696</v>
      </c>
      <c r="G49" s="37"/>
      <c r="H49" s="31">
        <v>7.9999999999999982</v>
      </c>
      <c r="I49" s="34"/>
      <c r="J49" s="35" t="s">
        <v>9</v>
      </c>
      <c r="K49" s="36" t="s">
        <v>125</v>
      </c>
      <c r="L49" s="58" t="str">
        <f t="shared" si="0"/>
        <v/>
      </c>
      <c r="M49" s="8" t="str">
        <f t="shared" si="1"/>
        <v>Jan_2017</v>
      </c>
    </row>
    <row r="50" spans="1:13" ht="15.75" x14ac:dyDescent="0.25">
      <c r="A50" s="2" t="s">
        <v>117</v>
      </c>
      <c r="B50" s="2" t="s">
        <v>118</v>
      </c>
      <c r="C50" s="18">
        <v>42755</v>
      </c>
      <c r="D50" s="3" t="s">
        <v>17</v>
      </c>
      <c r="E50" s="29">
        <v>0.35416666666666702</v>
      </c>
      <c r="F50" s="29">
        <v>0.72916666666666696</v>
      </c>
      <c r="G50" s="37"/>
      <c r="H50" s="31">
        <v>7.9999999999999982</v>
      </c>
      <c r="I50" s="34"/>
      <c r="J50" s="35" t="s">
        <v>9</v>
      </c>
      <c r="K50" s="36" t="s">
        <v>126</v>
      </c>
      <c r="L50" s="58" t="str">
        <f t="shared" si="0"/>
        <v/>
      </c>
      <c r="M50" s="8" t="str">
        <f t="shared" si="1"/>
        <v>Jan_2017</v>
      </c>
    </row>
    <row r="51" spans="1:13" ht="15.75" x14ac:dyDescent="0.25">
      <c r="A51" s="2" t="s">
        <v>117</v>
      </c>
      <c r="B51" s="2" t="s">
        <v>118</v>
      </c>
      <c r="C51" s="18">
        <v>42758</v>
      </c>
      <c r="D51" s="3" t="s">
        <v>21</v>
      </c>
      <c r="E51" s="29">
        <v>0.35416666666666702</v>
      </c>
      <c r="F51" s="29">
        <v>0.875</v>
      </c>
      <c r="G51" s="37"/>
      <c r="H51" s="31">
        <v>11.499999999999993</v>
      </c>
      <c r="I51" s="34"/>
      <c r="J51" s="35" t="s">
        <v>9</v>
      </c>
      <c r="K51" s="36" t="s">
        <v>29</v>
      </c>
      <c r="L51" s="58" t="str">
        <f t="shared" si="0"/>
        <v/>
      </c>
      <c r="M51" s="8" t="str">
        <f t="shared" si="1"/>
        <v>Jan_2017</v>
      </c>
    </row>
    <row r="52" spans="1:13" ht="15.75" x14ac:dyDescent="0.25">
      <c r="A52" s="2" t="s">
        <v>117</v>
      </c>
      <c r="B52" s="2" t="s">
        <v>118</v>
      </c>
      <c r="C52" s="18">
        <v>42759</v>
      </c>
      <c r="D52" s="3" t="s">
        <v>16</v>
      </c>
      <c r="E52" s="29">
        <v>0.27083333333333298</v>
      </c>
      <c r="F52" s="29">
        <v>0.95833333333333304</v>
      </c>
      <c r="G52" s="37"/>
      <c r="H52" s="31">
        <v>15.5</v>
      </c>
      <c r="I52" s="34"/>
      <c r="J52" s="35" t="s">
        <v>9</v>
      </c>
      <c r="K52" s="36" t="s">
        <v>30</v>
      </c>
      <c r="L52" s="58" t="str">
        <f t="shared" si="0"/>
        <v/>
      </c>
      <c r="M52" s="8" t="str">
        <f t="shared" si="1"/>
        <v>Jan_2017</v>
      </c>
    </row>
    <row r="53" spans="1:13" ht="15.75" x14ac:dyDescent="0.25">
      <c r="A53" s="2" t="s">
        <v>117</v>
      </c>
      <c r="B53" s="2" t="s">
        <v>118</v>
      </c>
      <c r="C53" s="18">
        <v>42760</v>
      </c>
      <c r="D53" s="3" t="s">
        <v>19</v>
      </c>
      <c r="E53" s="29">
        <v>0.25</v>
      </c>
      <c r="F53" s="29">
        <v>0.91666666666666696</v>
      </c>
      <c r="G53" s="37"/>
      <c r="H53" s="31">
        <v>15.000000000000007</v>
      </c>
      <c r="I53" s="34"/>
      <c r="J53" s="35" t="s">
        <v>9</v>
      </c>
      <c r="K53" s="36" t="s">
        <v>31</v>
      </c>
      <c r="L53" s="58" t="str">
        <f t="shared" si="0"/>
        <v/>
      </c>
      <c r="M53" s="8" t="str">
        <f t="shared" si="1"/>
        <v>Jan_2017</v>
      </c>
    </row>
    <row r="54" spans="1:13" ht="15.75" x14ac:dyDescent="0.25">
      <c r="A54" s="2" t="s">
        <v>117</v>
      </c>
      <c r="B54" s="2" t="s">
        <v>118</v>
      </c>
      <c r="C54" s="18">
        <v>42761</v>
      </c>
      <c r="D54" s="3" t="s">
        <v>18</v>
      </c>
      <c r="E54" s="29">
        <v>0.29166666666666702</v>
      </c>
      <c r="F54" s="29">
        <v>0.79166666666666696</v>
      </c>
      <c r="G54" s="37"/>
      <c r="H54" s="31">
        <v>10.999999999999998</v>
      </c>
      <c r="I54" s="34"/>
      <c r="J54" s="35" t="s">
        <v>9</v>
      </c>
      <c r="K54" s="36" t="s">
        <v>127</v>
      </c>
      <c r="L54" s="58" t="str">
        <f t="shared" si="0"/>
        <v/>
      </c>
      <c r="M54" s="8" t="str">
        <f t="shared" si="1"/>
        <v>Jan_2017</v>
      </c>
    </row>
    <row r="55" spans="1:13" ht="15.75" x14ac:dyDescent="0.25">
      <c r="A55" s="2" t="s">
        <v>117</v>
      </c>
      <c r="B55" s="2" t="s">
        <v>34</v>
      </c>
      <c r="C55" s="18">
        <v>42738</v>
      </c>
      <c r="D55" s="3" t="s">
        <v>16</v>
      </c>
      <c r="E55" s="29">
        <v>0.27083333333333331</v>
      </c>
      <c r="F55" s="29">
        <v>0.70833333333333337</v>
      </c>
      <c r="G55" s="37"/>
      <c r="H55" s="31">
        <v>9.5000000000000018</v>
      </c>
      <c r="I55" s="34"/>
      <c r="J55" s="35" t="s">
        <v>9</v>
      </c>
      <c r="K55" s="36" t="s">
        <v>27</v>
      </c>
      <c r="L55" s="58" t="str">
        <f t="shared" si="0"/>
        <v/>
      </c>
      <c r="M55" s="8" t="str">
        <f t="shared" si="1"/>
        <v>Jan_2017</v>
      </c>
    </row>
    <row r="56" spans="1:13" ht="15.75" x14ac:dyDescent="0.25">
      <c r="A56" s="2" t="s">
        <v>117</v>
      </c>
      <c r="B56" s="2" t="s">
        <v>34</v>
      </c>
      <c r="C56" s="18">
        <v>42739</v>
      </c>
      <c r="D56" s="3" t="s">
        <v>19</v>
      </c>
      <c r="E56" s="29">
        <v>0.29166666666666669</v>
      </c>
      <c r="F56" s="29">
        <v>0.70833333333333337</v>
      </c>
      <c r="G56" s="37"/>
      <c r="H56" s="31">
        <v>9</v>
      </c>
      <c r="I56" s="34"/>
      <c r="J56" s="35" t="s">
        <v>9</v>
      </c>
      <c r="K56" s="36" t="s">
        <v>32</v>
      </c>
      <c r="L56" s="58" t="str">
        <f t="shared" si="0"/>
        <v/>
      </c>
      <c r="M56" s="8" t="str">
        <f t="shared" si="1"/>
        <v>Jan_2017</v>
      </c>
    </row>
    <row r="57" spans="1:13" ht="15.75" x14ac:dyDescent="0.25">
      <c r="A57" s="2" t="s">
        <v>117</v>
      </c>
      <c r="B57" s="2" t="s">
        <v>34</v>
      </c>
      <c r="C57" s="18">
        <v>42742</v>
      </c>
      <c r="D57" s="3" t="s">
        <v>24</v>
      </c>
      <c r="E57" s="29">
        <v>0.35416666666666669</v>
      </c>
      <c r="F57" s="29">
        <v>0.5</v>
      </c>
      <c r="G57" s="37"/>
      <c r="H57" s="31">
        <v>3.4999999999999996</v>
      </c>
      <c r="I57" s="34"/>
      <c r="J57" s="35" t="s">
        <v>9</v>
      </c>
      <c r="K57" s="36" t="s">
        <v>120</v>
      </c>
      <c r="L57" s="58" t="str">
        <f t="shared" si="0"/>
        <v/>
      </c>
      <c r="M57" s="8" t="str">
        <f t="shared" si="1"/>
        <v>Jan_2017</v>
      </c>
    </row>
    <row r="58" spans="1:13" ht="15.75" x14ac:dyDescent="0.25">
      <c r="A58" s="2" t="s">
        <v>117</v>
      </c>
      <c r="B58" s="2" t="s">
        <v>34</v>
      </c>
      <c r="C58" s="18">
        <v>42746</v>
      </c>
      <c r="D58" s="3" t="s">
        <v>19</v>
      </c>
      <c r="E58" s="29">
        <v>0.33333333333333298</v>
      </c>
      <c r="F58" s="29">
        <v>0.75</v>
      </c>
      <c r="G58" s="37"/>
      <c r="H58" s="31">
        <v>9.0000000000000089</v>
      </c>
      <c r="I58" s="34"/>
      <c r="J58" s="35" t="s">
        <v>9</v>
      </c>
      <c r="K58" s="36" t="s">
        <v>115</v>
      </c>
      <c r="L58" s="58" t="str">
        <f t="shared" si="0"/>
        <v/>
      </c>
      <c r="M58" s="8" t="str">
        <f t="shared" si="1"/>
        <v>Jan_2017</v>
      </c>
    </row>
    <row r="59" spans="1:13" ht="15.75" x14ac:dyDescent="0.25">
      <c r="A59" s="2" t="s">
        <v>117</v>
      </c>
      <c r="B59" s="2" t="s">
        <v>34</v>
      </c>
      <c r="C59" s="18">
        <v>42747</v>
      </c>
      <c r="D59" s="3" t="s">
        <v>18</v>
      </c>
      <c r="E59" s="29">
        <v>0.35416666666666702</v>
      </c>
      <c r="F59" s="29">
        <v>0.5</v>
      </c>
      <c r="G59" s="37"/>
      <c r="H59" s="31">
        <v>2.4999999999999916</v>
      </c>
      <c r="I59" s="34"/>
      <c r="J59" s="35" t="s">
        <v>9</v>
      </c>
      <c r="K59" s="36" t="s">
        <v>121</v>
      </c>
      <c r="L59" s="58" t="str">
        <f t="shared" si="0"/>
        <v/>
      </c>
      <c r="M59" s="8" t="str">
        <f t="shared" si="1"/>
        <v>Jan_2017</v>
      </c>
    </row>
    <row r="60" spans="1:13" ht="15.75" x14ac:dyDescent="0.25">
      <c r="A60" s="2" t="s">
        <v>117</v>
      </c>
      <c r="B60" s="2" t="s">
        <v>34</v>
      </c>
      <c r="C60" s="18">
        <v>42748</v>
      </c>
      <c r="D60" s="3" t="s">
        <v>17</v>
      </c>
      <c r="E60" s="29">
        <v>0.35416666666666702</v>
      </c>
      <c r="F60" s="29">
        <v>0.75</v>
      </c>
      <c r="G60" s="37"/>
      <c r="H60" s="31">
        <v>8.4999999999999911</v>
      </c>
      <c r="I60" s="34"/>
      <c r="J60" s="35" t="s">
        <v>9</v>
      </c>
      <c r="K60" s="36" t="s">
        <v>116</v>
      </c>
      <c r="L60" s="58" t="str">
        <f t="shared" si="0"/>
        <v/>
      </c>
      <c r="M60" s="8" t="str">
        <f t="shared" si="1"/>
        <v>Jan_2017</v>
      </c>
    </row>
    <row r="61" spans="1:13" ht="15.75" x14ac:dyDescent="0.25">
      <c r="A61" s="2" t="s">
        <v>117</v>
      </c>
      <c r="B61" s="2" t="s">
        <v>34</v>
      </c>
      <c r="C61" s="18">
        <v>42751</v>
      </c>
      <c r="D61" s="3" t="s">
        <v>21</v>
      </c>
      <c r="E61" s="29">
        <v>0.35416666666666702</v>
      </c>
      <c r="F61" s="29">
        <v>0.72916666666666696</v>
      </c>
      <c r="G61" s="37"/>
      <c r="H61" s="31">
        <v>7.9999999999999982</v>
      </c>
      <c r="I61" s="34"/>
      <c r="J61" s="35" t="s">
        <v>9</v>
      </c>
      <c r="K61" s="36" t="s">
        <v>122</v>
      </c>
      <c r="L61" s="58" t="str">
        <f t="shared" si="0"/>
        <v/>
      </c>
      <c r="M61" s="8" t="str">
        <f t="shared" si="1"/>
        <v>Jan_2017</v>
      </c>
    </row>
    <row r="62" spans="1:13" ht="15.75" x14ac:dyDescent="0.25">
      <c r="A62" s="2" t="s">
        <v>117</v>
      </c>
      <c r="B62" s="2" t="s">
        <v>34</v>
      </c>
      <c r="C62" s="18">
        <v>42752</v>
      </c>
      <c r="D62" s="3" t="s">
        <v>16</v>
      </c>
      <c r="E62" s="29">
        <v>0.35416666666666702</v>
      </c>
      <c r="F62" s="29">
        <v>0.72916666666666696</v>
      </c>
      <c r="G62" s="37"/>
      <c r="H62" s="31">
        <v>7.9999999999999982</v>
      </c>
      <c r="I62" s="34"/>
      <c r="J62" s="35" t="s">
        <v>9</v>
      </c>
      <c r="K62" s="36" t="s">
        <v>123</v>
      </c>
      <c r="L62" s="58" t="str">
        <f t="shared" si="0"/>
        <v/>
      </c>
      <c r="M62" s="8" t="str">
        <f t="shared" si="1"/>
        <v>Jan_2017</v>
      </c>
    </row>
    <row r="63" spans="1:13" ht="15.75" x14ac:dyDescent="0.25">
      <c r="A63" s="2" t="s">
        <v>117</v>
      </c>
      <c r="B63" s="2" t="s">
        <v>34</v>
      </c>
      <c r="C63" s="18">
        <v>42753</v>
      </c>
      <c r="D63" s="3" t="s">
        <v>19</v>
      </c>
      <c r="E63" s="29">
        <v>0.35416666666666702</v>
      </c>
      <c r="F63" s="29">
        <v>0.72916666666666696</v>
      </c>
      <c r="G63" s="37"/>
      <c r="H63" s="31">
        <v>7.9999999999999982</v>
      </c>
      <c r="I63" s="34"/>
      <c r="J63" s="35" t="s">
        <v>9</v>
      </c>
      <c r="K63" s="36" t="s">
        <v>124</v>
      </c>
      <c r="L63" s="58" t="str">
        <f t="shared" si="0"/>
        <v/>
      </c>
      <c r="M63" s="8" t="str">
        <f t="shared" si="1"/>
        <v>Jan_2017</v>
      </c>
    </row>
    <row r="64" spans="1:13" ht="15.75" x14ac:dyDescent="0.25">
      <c r="A64" s="2" t="s">
        <v>117</v>
      </c>
      <c r="B64" s="2" t="s">
        <v>34</v>
      </c>
      <c r="C64" s="18">
        <v>42754</v>
      </c>
      <c r="D64" s="3" t="s">
        <v>18</v>
      </c>
      <c r="E64" s="29">
        <v>0.35416666666666702</v>
      </c>
      <c r="F64" s="29">
        <v>0.72916666666666696</v>
      </c>
      <c r="G64" s="37"/>
      <c r="H64" s="31">
        <v>7.9999999999999982</v>
      </c>
      <c r="I64" s="34"/>
      <c r="J64" s="35" t="s">
        <v>9</v>
      </c>
      <c r="K64" s="36" t="s">
        <v>125</v>
      </c>
      <c r="L64" s="58" t="str">
        <f t="shared" si="0"/>
        <v/>
      </c>
      <c r="M64" s="8" t="str">
        <f t="shared" si="1"/>
        <v>Jan_2017</v>
      </c>
    </row>
    <row r="65" spans="1:13" ht="15.75" x14ac:dyDescent="0.25">
      <c r="A65" s="2" t="s">
        <v>117</v>
      </c>
      <c r="B65" s="2" t="s">
        <v>34</v>
      </c>
      <c r="C65" s="18">
        <v>42755</v>
      </c>
      <c r="D65" s="3" t="s">
        <v>17</v>
      </c>
      <c r="E65" s="29">
        <v>0.35416666666666702</v>
      </c>
      <c r="F65" s="29">
        <v>0.72916666666666696</v>
      </c>
      <c r="G65" s="37"/>
      <c r="H65" s="31">
        <v>7.9999999999999982</v>
      </c>
      <c r="I65" s="34"/>
      <c r="J65" s="35" t="s">
        <v>9</v>
      </c>
      <c r="K65" s="36" t="s">
        <v>126</v>
      </c>
      <c r="L65" s="58" t="str">
        <f t="shared" si="0"/>
        <v/>
      </c>
      <c r="M65" s="8" t="str">
        <f t="shared" si="1"/>
        <v>Jan_2017</v>
      </c>
    </row>
    <row r="66" spans="1:13" ht="15.75" x14ac:dyDescent="0.25">
      <c r="A66" s="2" t="s">
        <v>117</v>
      </c>
      <c r="B66" s="2" t="s">
        <v>128</v>
      </c>
      <c r="C66" s="18">
        <v>42736</v>
      </c>
      <c r="D66" s="3" t="s">
        <v>23</v>
      </c>
      <c r="E66" s="29">
        <v>0.60416666666666663</v>
      </c>
      <c r="F66" s="29">
        <v>0.79166666666666663</v>
      </c>
      <c r="G66" s="37"/>
      <c r="H66" s="31">
        <v>4.5</v>
      </c>
      <c r="I66" s="34"/>
      <c r="J66" s="35" t="s">
        <v>9</v>
      </c>
      <c r="K66" s="36" t="s">
        <v>26</v>
      </c>
      <c r="L66" s="58" t="str">
        <f t="shared" si="0"/>
        <v/>
      </c>
      <c r="M66" s="8" t="str">
        <f t="shared" si="1"/>
        <v>Jan_2017</v>
      </c>
    </row>
    <row r="67" spans="1:13" ht="15.75" x14ac:dyDescent="0.25">
      <c r="A67" s="2" t="s">
        <v>117</v>
      </c>
      <c r="B67" s="2" t="s">
        <v>128</v>
      </c>
      <c r="C67" s="18">
        <v>42740</v>
      </c>
      <c r="D67" s="3" t="s">
        <v>18</v>
      </c>
      <c r="E67" s="29">
        <v>0.60416666666666663</v>
      </c>
      <c r="F67" s="29">
        <v>0.85416666666666663</v>
      </c>
      <c r="G67" s="37"/>
      <c r="H67" s="31">
        <v>6</v>
      </c>
      <c r="I67" s="34"/>
      <c r="J67" s="35" t="s">
        <v>9</v>
      </c>
      <c r="K67" s="36" t="s">
        <v>20</v>
      </c>
      <c r="L67" s="58" t="str">
        <f t="shared" ref="L67:L130" si="2">IF(AND($A67="Perm Staff Onsite",$H67&gt;=2),1,"")</f>
        <v/>
      </c>
      <c r="M67" s="8" t="str">
        <f t="shared" ref="M67:M130" si="3">IF($C67="","",TEXT(DATE(YEAR($C67),MONTH($C67),DAY($C67)),"MMM")&amp;"_"&amp;YEAR($C67))</f>
        <v>Jan_2017</v>
      </c>
    </row>
    <row r="68" spans="1:13" ht="15.75" x14ac:dyDescent="0.25">
      <c r="A68" s="2" t="s">
        <v>117</v>
      </c>
      <c r="B68" s="2" t="s">
        <v>129</v>
      </c>
      <c r="C68" s="18">
        <v>42736</v>
      </c>
      <c r="D68" s="3" t="s">
        <v>23</v>
      </c>
      <c r="E68" s="29">
        <v>0.29166666666666669</v>
      </c>
      <c r="F68" s="29">
        <v>0.625</v>
      </c>
      <c r="G68" s="37"/>
      <c r="H68" s="31">
        <v>7</v>
      </c>
      <c r="I68" s="34"/>
      <c r="J68" s="35" t="s">
        <v>9</v>
      </c>
      <c r="K68" s="36" t="s">
        <v>26</v>
      </c>
      <c r="L68" s="58" t="str">
        <f t="shared" si="2"/>
        <v/>
      </c>
      <c r="M68" s="8" t="str">
        <f t="shared" si="3"/>
        <v>Jan_2017</v>
      </c>
    </row>
    <row r="69" spans="1:13" ht="15.75" x14ac:dyDescent="0.25">
      <c r="A69" s="2" t="s">
        <v>117</v>
      </c>
      <c r="B69" s="2" t="s">
        <v>129</v>
      </c>
      <c r="C69" s="18">
        <v>42738</v>
      </c>
      <c r="D69" s="3" t="s">
        <v>16</v>
      </c>
      <c r="E69" s="29">
        <v>0.29166666666666669</v>
      </c>
      <c r="F69" s="29">
        <v>0.91666666666666663</v>
      </c>
      <c r="G69" s="37"/>
      <c r="H69" s="31">
        <v>14</v>
      </c>
      <c r="I69" s="34"/>
      <c r="J69" s="35" t="s">
        <v>9</v>
      </c>
      <c r="K69" s="36" t="s">
        <v>27</v>
      </c>
      <c r="L69" s="58" t="str">
        <f t="shared" si="2"/>
        <v/>
      </c>
      <c r="M69" s="8" t="str">
        <f t="shared" si="3"/>
        <v>Jan_2017</v>
      </c>
    </row>
    <row r="70" spans="1:13" ht="15.75" x14ac:dyDescent="0.25">
      <c r="A70" s="2" t="s">
        <v>117</v>
      </c>
      <c r="B70" s="2" t="s">
        <v>129</v>
      </c>
      <c r="C70" s="18">
        <v>42739</v>
      </c>
      <c r="D70" s="3" t="s">
        <v>19</v>
      </c>
      <c r="E70" s="29">
        <v>0.29166666666666669</v>
      </c>
      <c r="F70" s="29">
        <v>0.9375</v>
      </c>
      <c r="G70" s="37"/>
      <c r="H70" s="31">
        <v>14.499999999999998</v>
      </c>
      <c r="I70" s="34"/>
      <c r="J70" s="35" t="s">
        <v>9</v>
      </c>
      <c r="K70" s="36" t="s">
        <v>32</v>
      </c>
      <c r="L70" s="58" t="str">
        <f t="shared" si="2"/>
        <v/>
      </c>
      <c r="M70" s="8" t="str">
        <f t="shared" si="3"/>
        <v>Jan_2017</v>
      </c>
    </row>
    <row r="71" spans="1:13" ht="15.75" x14ac:dyDescent="0.25">
      <c r="A71" s="2" t="s">
        <v>117</v>
      </c>
      <c r="B71" s="2" t="s">
        <v>129</v>
      </c>
      <c r="C71" s="18">
        <v>42740</v>
      </c>
      <c r="D71" s="3" t="s">
        <v>18</v>
      </c>
      <c r="E71" s="29">
        <v>0.375</v>
      </c>
      <c r="F71" s="29">
        <v>0.85416666666666663</v>
      </c>
      <c r="G71" s="37"/>
      <c r="H71" s="31">
        <v>10.5</v>
      </c>
      <c r="I71" s="34"/>
      <c r="J71" s="35" t="s">
        <v>9</v>
      </c>
      <c r="K71" s="36" t="s">
        <v>20</v>
      </c>
      <c r="L71" s="58" t="str">
        <f t="shared" si="2"/>
        <v/>
      </c>
      <c r="M71" s="8" t="str">
        <f t="shared" si="3"/>
        <v>Jan_2017</v>
      </c>
    </row>
    <row r="72" spans="1:13" ht="15.75" x14ac:dyDescent="0.25">
      <c r="A72" s="2" t="s">
        <v>117</v>
      </c>
      <c r="B72" s="2" t="s">
        <v>129</v>
      </c>
      <c r="C72" s="18">
        <v>42758</v>
      </c>
      <c r="D72" s="3" t="s">
        <v>21</v>
      </c>
      <c r="E72" s="29">
        <v>0.35416666666666702</v>
      </c>
      <c r="F72" s="29">
        <v>0.875</v>
      </c>
      <c r="G72" s="37"/>
      <c r="H72" s="31">
        <v>11.499999999999993</v>
      </c>
      <c r="I72" s="34"/>
      <c r="J72" s="35" t="s">
        <v>9</v>
      </c>
      <c r="K72" s="36" t="s">
        <v>29</v>
      </c>
      <c r="L72" s="58" t="str">
        <f t="shared" si="2"/>
        <v/>
      </c>
      <c r="M72" s="8" t="str">
        <f t="shared" si="3"/>
        <v>Jan_2017</v>
      </c>
    </row>
    <row r="73" spans="1:13" ht="15.75" x14ac:dyDescent="0.25">
      <c r="A73" s="2" t="s">
        <v>117</v>
      </c>
      <c r="B73" s="2" t="s">
        <v>129</v>
      </c>
      <c r="C73" s="18">
        <v>42759</v>
      </c>
      <c r="D73" s="3" t="s">
        <v>16</v>
      </c>
      <c r="E73" s="29">
        <v>0.3125</v>
      </c>
      <c r="F73" s="29">
        <v>0.6875</v>
      </c>
      <c r="G73" s="37"/>
      <c r="H73" s="31">
        <v>8</v>
      </c>
      <c r="I73" s="34"/>
      <c r="J73" s="35" t="s">
        <v>9</v>
      </c>
      <c r="K73" s="36" t="s">
        <v>30</v>
      </c>
      <c r="L73" s="58" t="str">
        <f t="shared" si="2"/>
        <v/>
      </c>
      <c r="M73" s="8" t="str">
        <f t="shared" si="3"/>
        <v>Jan_2017</v>
      </c>
    </row>
    <row r="74" spans="1:13" ht="15.75" x14ac:dyDescent="0.25">
      <c r="A74" s="2" t="s">
        <v>117</v>
      </c>
      <c r="B74" s="2" t="s">
        <v>130</v>
      </c>
      <c r="C74" s="18">
        <v>42736</v>
      </c>
      <c r="D74" s="3" t="s">
        <v>23</v>
      </c>
      <c r="E74" s="29">
        <v>0.29166666666666669</v>
      </c>
      <c r="F74" s="29">
        <v>0.79166666666666663</v>
      </c>
      <c r="G74" s="37"/>
      <c r="H74" s="31">
        <v>10.999999999999998</v>
      </c>
      <c r="I74" s="34"/>
      <c r="J74" s="35" t="s">
        <v>9</v>
      </c>
      <c r="K74" s="36" t="s">
        <v>26</v>
      </c>
      <c r="L74" s="58" t="str">
        <f t="shared" si="2"/>
        <v/>
      </c>
      <c r="M74" s="8" t="str">
        <f t="shared" si="3"/>
        <v>Jan_2017</v>
      </c>
    </row>
    <row r="75" spans="1:13" ht="15.75" x14ac:dyDescent="0.25">
      <c r="A75" s="2" t="s">
        <v>117</v>
      </c>
      <c r="B75" s="2" t="s">
        <v>130</v>
      </c>
      <c r="C75" s="18">
        <v>42738</v>
      </c>
      <c r="D75" s="3" t="s">
        <v>16</v>
      </c>
      <c r="E75" s="29">
        <v>0.60416666666666663</v>
      </c>
      <c r="F75" s="29">
        <v>0.91666666666666663</v>
      </c>
      <c r="G75" s="37"/>
      <c r="H75" s="31">
        <v>7.5</v>
      </c>
      <c r="I75" s="34"/>
      <c r="J75" s="35" t="s">
        <v>9</v>
      </c>
      <c r="K75" s="36" t="s">
        <v>27</v>
      </c>
      <c r="L75" s="58" t="str">
        <f t="shared" si="2"/>
        <v/>
      </c>
      <c r="M75" s="8" t="str">
        <f t="shared" si="3"/>
        <v>Jan_2017</v>
      </c>
    </row>
    <row r="76" spans="1:13" ht="15.75" x14ac:dyDescent="0.25">
      <c r="A76" s="2" t="s">
        <v>117</v>
      </c>
      <c r="B76" s="2" t="s">
        <v>130</v>
      </c>
      <c r="C76" s="18">
        <v>42739</v>
      </c>
      <c r="D76" s="3" t="s">
        <v>19</v>
      </c>
      <c r="E76" s="29">
        <v>0.29166666666666669</v>
      </c>
      <c r="F76" s="29">
        <v>0.9375</v>
      </c>
      <c r="G76" s="37"/>
      <c r="H76" s="31">
        <v>14.499999999999998</v>
      </c>
      <c r="I76" s="34"/>
      <c r="J76" s="35" t="s">
        <v>9</v>
      </c>
      <c r="K76" s="36" t="s">
        <v>32</v>
      </c>
      <c r="L76" s="58" t="str">
        <f t="shared" si="2"/>
        <v/>
      </c>
      <c r="M76" s="8" t="str">
        <f t="shared" si="3"/>
        <v>Jan_2017</v>
      </c>
    </row>
    <row r="77" spans="1:13" ht="15.75" x14ac:dyDescent="0.25">
      <c r="A77" s="2" t="s">
        <v>117</v>
      </c>
      <c r="B77" s="2" t="s">
        <v>130</v>
      </c>
      <c r="C77" s="18">
        <v>42740</v>
      </c>
      <c r="D77" s="3" t="s">
        <v>18</v>
      </c>
      <c r="E77" s="29">
        <v>0.29166666666666669</v>
      </c>
      <c r="F77" s="29">
        <v>0.85416666666666663</v>
      </c>
      <c r="G77" s="37"/>
      <c r="H77" s="31">
        <v>12.5</v>
      </c>
      <c r="I77" s="34"/>
      <c r="J77" s="35" t="s">
        <v>9</v>
      </c>
      <c r="K77" s="36" t="s">
        <v>20</v>
      </c>
      <c r="L77" s="58" t="str">
        <f t="shared" si="2"/>
        <v/>
      </c>
      <c r="M77" s="8" t="str">
        <f t="shared" si="3"/>
        <v>Jan_2017</v>
      </c>
    </row>
    <row r="78" spans="1:13" ht="15.75" x14ac:dyDescent="0.25">
      <c r="A78" s="2" t="s">
        <v>117</v>
      </c>
      <c r="B78" s="2" t="s">
        <v>130</v>
      </c>
      <c r="C78" s="18">
        <v>42748</v>
      </c>
      <c r="D78" s="3" t="s">
        <v>17</v>
      </c>
      <c r="E78" s="30">
        <v>0.5625</v>
      </c>
      <c r="F78" s="30">
        <v>0.75</v>
      </c>
      <c r="G78" s="37"/>
      <c r="H78" s="31">
        <v>3.5</v>
      </c>
      <c r="I78" s="34"/>
      <c r="J78" s="35" t="s">
        <v>9</v>
      </c>
      <c r="K78" s="36" t="s">
        <v>116</v>
      </c>
      <c r="L78" s="58" t="str">
        <f t="shared" si="2"/>
        <v/>
      </c>
      <c r="M78" s="8" t="str">
        <f t="shared" si="3"/>
        <v>Jan_2017</v>
      </c>
    </row>
    <row r="79" spans="1:13" ht="15.75" x14ac:dyDescent="0.25">
      <c r="A79" s="2" t="s">
        <v>117</v>
      </c>
      <c r="B79" s="2" t="s">
        <v>130</v>
      </c>
      <c r="C79" s="18">
        <v>42758</v>
      </c>
      <c r="D79" s="3" t="s">
        <v>21</v>
      </c>
      <c r="E79" s="30">
        <v>0.375</v>
      </c>
      <c r="F79" s="30">
        <v>0.875</v>
      </c>
      <c r="G79" s="37"/>
      <c r="H79" s="31">
        <v>11</v>
      </c>
      <c r="I79" s="34"/>
      <c r="J79" s="35" t="s">
        <v>9</v>
      </c>
      <c r="K79" s="36" t="s">
        <v>29</v>
      </c>
      <c r="L79" s="58" t="str">
        <f t="shared" si="2"/>
        <v/>
      </c>
      <c r="M79" s="8" t="str">
        <f t="shared" si="3"/>
        <v>Jan_2017</v>
      </c>
    </row>
    <row r="80" spans="1:13" ht="15.75" x14ac:dyDescent="0.25">
      <c r="A80" s="2" t="s">
        <v>117</v>
      </c>
      <c r="B80" s="8" t="s">
        <v>130</v>
      </c>
      <c r="C80" s="18">
        <v>42759</v>
      </c>
      <c r="D80" s="3" t="s">
        <v>16</v>
      </c>
      <c r="E80" s="9">
        <v>0.3125</v>
      </c>
      <c r="F80" s="7">
        <v>0.91666666666666696</v>
      </c>
      <c r="G80" s="37"/>
      <c r="H80" s="6">
        <v>13.500000000000007</v>
      </c>
      <c r="I80" s="5"/>
      <c r="J80" s="32" t="s">
        <v>9</v>
      </c>
      <c r="K80" s="41" t="s">
        <v>30</v>
      </c>
      <c r="L80" s="58" t="str">
        <f t="shared" si="2"/>
        <v/>
      </c>
      <c r="M80" s="8" t="str">
        <f t="shared" si="3"/>
        <v>Jan_2017</v>
      </c>
    </row>
    <row r="81" spans="1:13" ht="15.75" x14ac:dyDescent="0.25">
      <c r="A81" s="2" t="s">
        <v>117</v>
      </c>
      <c r="B81" s="8" t="s">
        <v>130</v>
      </c>
      <c r="C81" s="18">
        <v>42760</v>
      </c>
      <c r="D81" s="3" t="s">
        <v>19</v>
      </c>
      <c r="E81" s="9">
        <v>0.29166666666666702</v>
      </c>
      <c r="F81" s="7">
        <v>0.875</v>
      </c>
      <c r="G81" s="37"/>
      <c r="H81" s="6">
        <v>12.999999999999993</v>
      </c>
      <c r="I81" s="5"/>
      <c r="J81" s="32" t="s">
        <v>9</v>
      </c>
      <c r="K81" s="41" t="s">
        <v>31</v>
      </c>
      <c r="L81" s="58" t="str">
        <f t="shared" si="2"/>
        <v/>
      </c>
      <c r="M81" s="8" t="str">
        <f t="shared" si="3"/>
        <v>Jan_2017</v>
      </c>
    </row>
    <row r="82" spans="1:13" ht="15.75" x14ac:dyDescent="0.25">
      <c r="A82" s="2" t="s">
        <v>0</v>
      </c>
      <c r="B82" s="2" t="s">
        <v>10</v>
      </c>
      <c r="C82" s="18">
        <v>42769</v>
      </c>
      <c r="D82" s="3" t="s">
        <v>17</v>
      </c>
      <c r="E82" s="42">
        <v>0.70833333333333304</v>
      </c>
      <c r="F82" s="42">
        <v>0.91666666666666696</v>
      </c>
      <c r="G82" s="37"/>
      <c r="H82" s="31">
        <v>5.0000000000000107</v>
      </c>
      <c r="I82" s="37"/>
      <c r="J82" s="35" t="s">
        <v>9</v>
      </c>
      <c r="K82" s="36" t="s">
        <v>131</v>
      </c>
      <c r="L82" s="58">
        <f t="shared" si="2"/>
        <v>1</v>
      </c>
      <c r="M82" s="8" t="str">
        <f t="shared" si="3"/>
        <v>Feb_2017</v>
      </c>
    </row>
    <row r="83" spans="1:13" ht="15.75" x14ac:dyDescent="0.25">
      <c r="A83" s="2" t="s">
        <v>0</v>
      </c>
      <c r="B83" s="2" t="s">
        <v>10</v>
      </c>
      <c r="C83" s="18">
        <v>42770</v>
      </c>
      <c r="D83" s="3" t="s">
        <v>24</v>
      </c>
      <c r="E83" s="42">
        <v>0.29166666666666702</v>
      </c>
      <c r="F83" s="42">
        <v>0.70833333333333304</v>
      </c>
      <c r="G83" s="37"/>
      <c r="H83" s="31">
        <v>0.99999999999998046</v>
      </c>
      <c r="I83" s="37"/>
      <c r="J83" s="35" t="s">
        <v>46</v>
      </c>
      <c r="K83" s="36" t="s">
        <v>131</v>
      </c>
      <c r="L83" s="58" t="str">
        <f t="shared" si="2"/>
        <v/>
      </c>
      <c r="M83" s="8" t="str">
        <f t="shared" si="3"/>
        <v>Feb_2017</v>
      </c>
    </row>
    <row r="84" spans="1:13" ht="15.75" x14ac:dyDescent="0.25">
      <c r="A84" s="2" t="s">
        <v>0</v>
      </c>
      <c r="B84" s="2" t="s">
        <v>10</v>
      </c>
      <c r="C84" s="18">
        <v>42771</v>
      </c>
      <c r="D84" s="3" t="s">
        <v>23</v>
      </c>
      <c r="E84" s="42">
        <v>0.29166666666666702</v>
      </c>
      <c r="F84" s="42">
        <v>0.70833333333333304</v>
      </c>
      <c r="G84" s="37"/>
      <c r="H84" s="31">
        <v>8.999999999999984</v>
      </c>
      <c r="I84" s="37"/>
      <c r="J84" s="35" t="s">
        <v>46</v>
      </c>
      <c r="K84" s="36" t="s">
        <v>131</v>
      </c>
      <c r="L84" s="58">
        <f t="shared" si="2"/>
        <v>1</v>
      </c>
      <c r="M84" s="8" t="str">
        <f t="shared" si="3"/>
        <v>Feb_2017</v>
      </c>
    </row>
    <row r="85" spans="1:13" ht="15.75" x14ac:dyDescent="0.25">
      <c r="A85" s="2" t="s">
        <v>0</v>
      </c>
      <c r="B85" s="2" t="s">
        <v>10</v>
      </c>
      <c r="C85" s="18">
        <v>42781</v>
      </c>
      <c r="D85" s="3" t="s">
        <v>19</v>
      </c>
      <c r="E85" s="42">
        <v>0.72916666666666696</v>
      </c>
      <c r="F85" s="42">
        <v>0.85416666666666696</v>
      </c>
      <c r="G85" s="37"/>
      <c r="H85" s="31">
        <v>2.9999999999999947</v>
      </c>
      <c r="I85" s="37"/>
      <c r="J85" s="35" t="s">
        <v>9</v>
      </c>
      <c r="K85" s="36" t="s">
        <v>132</v>
      </c>
      <c r="L85" s="58">
        <f t="shared" si="2"/>
        <v>1</v>
      </c>
      <c r="M85" s="8" t="str">
        <f t="shared" si="3"/>
        <v>Feb_2017</v>
      </c>
    </row>
    <row r="86" spans="1:13" ht="15.75" x14ac:dyDescent="0.25">
      <c r="A86" s="2" t="s">
        <v>0</v>
      </c>
      <c r="B86" s="2" t="s">
        <v>10</v>
      </c>
      <c r="C86" s="18">
        <v>42783</v>
      </c>
      <c r="D86" s="3" t="s">
        <v>17</v>
      </c>
      <c r="E86" s="42">
        <v>0.72916666666666696</v>
      </c>
      <c r="F86" s="42">
        <v>0.79166666666666696</v>
      </c>
      <c r="G86" s="37"/>
      <c r="H86" s="31">
        <v>1.4999999999999947</v>
      </c>
      <c r="I86" s="37"/>
      <c r="J86" s="35" t="s">
        <v>9</v>
      </c>
      <c r="K86" s="36" t="s">
        <v>133</v>
      </c>
      <c r="L86" s="58" t="str">
        <f t="shared" si="2"/>
        <v/>
      </c>
      <c r="M86" s="8" t="str">
        <f t="shared" si="3"/>
        <v>Feb_2017</v>
      </c>
    </row>
    <row r="87" spans="1:13" ht="15.75" x14ac:dyDescent="0.25">
      <c r="A87" s="2" t="s">
        <v>0</v>
      </c>
      <c r="B87" s="2" t="s">
        <v>10</v>
      </c>
      <c r="C87" s="18">
        <v>42786</v>
      </c>
      <c r="D87" s="3" t="s">
        <v>21</v>
      </c>
      <c r="E87" s="42">
        <v>0.70833333333333304</v>
      </c>
      <c r="F87" s="42">
        <v>0.77083333333333304</v>
      </c>
      <c r="G87" s="37"/>
      <c r="H87" s="31">
        <v>1.4999999999999982</v>
      </c>
      <c r="I87" s="37"/>
      <c r="J87" s="35" t="s">
        <v>9</v>
      </c>
      <c r="K87" s="36" t="s">
        <v>134</v>
      </c>
      <c r="L87" s="58" t="str">
        <f t="shared" si="2"/>
        <v/>
      </c>
      <c r="M87" s="8" t="str">
        <f t="shared" si="3"/>
        <v>Feb_2017</v>
      </c>
    </row>
    <row r="88" spans="1:13" ht="15.75" x14ac:dyDescent="0.25">
      <c r="A88" s="2" t="s">
        <v>0</v>
      </c>
      <c r="B88" s="2" t="s">
        <v>10</v>
      </c>
      <c r="C88" s="18">
        <v>42787</v>
      </c>
      <c r="D88" s="3" t="s">
        <v>16</v>
      </c>
      <c r="E88" s="42">
        <v>0.70833333333333304</v>
      </c>
      <c r="F88" s="42">
        <v>0.95833333333333304</v>
      </c>
      <c r="G88" s="37"/>
      <c r="H88" s="31">
        <v>5.9999999999999964</v>
      </c>
      <c r="I88" s="37"/>
      <c r="J88" s="35" t="s">
        <v>33</v>
      </c>
      <c r="K88" s="36" t="s">
        <v>135</v>
      </c>
      <c r="L88" s="58">
        <f t="shared" si="2"/>
        <v>1</v>
      </c>
      <c r="M88" s="8" t="str">
        <f t="shared" si="3"/>
        <v>Feb_2017</v>
      </c>
    </row>
    <row r="89" spans="1:13" ht="15.75" x14ac:dyDescent="0.25">
      <c r="A89" s="2" t="s">
        <v>0</v>
      </c>
      <c r="B89" s="2" t="s">
        <v>10</v>
      </c>
      <c r="C89" s="18">
        <v>42791</v>
      </c>
      <c r="D89" s="3" t="s">
        <v>24</v>
      </c>
      <c r="E89" s="42">
        <v>0.35416666666666702</v>
      </c>
      <c r="F89" s="42">
        <v>0.79166666666666696</v>
      </c>
      <c r="G89" s="37"/>
      <c r="H89" s="31">
        <v>1.4999999999999947</v>
      </c>
      <c r="I89" s="37"/>
      <c r="J89" s="35" t="s">
        <v>46</v>
      </c>
      <c r="K89" s="36" t="s">
        <v>136</v>
      </c>
      <c r="L89" s="58" t="str">
        <f t="shared" si="2"/>
        <v/>
      </c>
      <c r="M89" s="8" t="str">
        <f t="shared" si="3"/>
        <v>Feb_2017</v>
      </c>
    </row>
    <row r="90" spans="1:13" ht="15.75" x14ac:dyDescent="0.25">
      <c r="A90" s="2" t="s">
        <v>0</v>
      </c>
      <c r="B90" s="2" t="s">
        <v>10</v>
      </c>
      <c r="C90" s="18">
        <v>42792</v>
      </c>
      <c r="D90" s="3" t="s">
        <v>23</v>
      </c>
      <c r="E90" s="42">
        <v>0.35416666666666702</v>
      </c>
      <c r="F90" s="42">
        <v>0.72916666666666696</v>
      </c>
      <c r="G90" s="37"/>
      <c r="H90" s="31">
        <v>7.9999999999999982</v>
      </c>
      <c r="I90" s="37"/>
      <c r="J90" s="35" t="s">
        <v>46</v>
      </c>
      <c r="K90" s="36" t="s">
        <v>137</v>
      </c>
      <c r="L90" s="58">
        <f t="shared" si="2"/>
        <v>1</v>
      </c>
      <c r="M90" s="8" t="str">
        <f t="shared" si="3"/>
        <v>Feb_2017</v>
      </c>
    </row>
    <row r="91" spans="1:13" ht="15.75" x14ac:dyDescent="0.25">
      <c r="A91" s="2" t="s">
        <v>0</v>
      </c>
      <c r="B91" s="2" t="s">
        <v>10</v>
      </c>
      <c r="C91" s="18">
        <v>42793</v>
      </c>
      <c r="D91" s="3" t="s">
        <v>21</v>
      </c>
      <c r="E91" s="42">
        <v>0.72916666666666696</v>
      </c>
      <c r="F91" s="42">
        <v>0.88541666666666663</v>
      </c>
      <c r="G91" s="37"/>
      <c r="H91" s="31">
        <v>3.7499999999999858</v>
      </c>
      <c r="I91" s="37"/>
      <c r="J91" s="35" t="s">
        <v>9</v>
      </c>
      <c r="K91" s="36" t="s">
        <v>138</v>
      </c>
      <c r="L91" s="58">
        <f t="shared" si="2"/>
        <v>1</v>
      </c>
      <c r="M91" s="8" t="str">
        <f t="shared" si="3"/>
        <v>Feb_2017</v>
      </c>
    </row>
    <row r="92" spans="1:13" ht="15.75" x14ac:dyDescent="0.25">
      <c r="A92" s="2" t="s">
        <v>0</v>
      </c>
      <c r="B92" s="2" t="s">
        <v>10</v>
      </c>
      <c r="C92" s="18">
        <v>42794</v>
      </c>
      <c r="D92" s="3" t="s">
        <v>16</v>
      </c>
      <c r="E92" s="42">
        <v>0.72916666666666696</v>
      </c>
      <c r="F92" s="42">
        <v>0.89583333333333304</v>
      </c>
      <c r="G92" s="37"/>
      <c r="H92" s="31">
        <v>3.9999999999999822</v>
      </c>
      <c r="I92" s="37"/>
      <c r="J92" s="35" t="s">
        <v>9</v>
      </c>
      <c r="K92" s="36" t="s">
        <v>139</v>
      </c>
      <c r="L92" s="58">
        <f t="shared" si="2"/>
        <v>1</v>
      </c>
      <c r="M92" s="8" t="str">
        <f t="shared" si="3"/>
        <v>Feb_2017</v>
      </c>
    </row>
    <row r="93" spans="1:13" ht="15.75" x14ac:dyDescent="0.25">
      <c r="A93" s="2" t="s">
        <v>0</v>
      </c>
      <c r="B93" s="2" t="s">
        <v>12</v>
      </c>
      <c r="C93" s="18">
        <v>42769</v>
      </c>
      <c r="D93" s="3" t="s">
        <v>17</v>
      </c>
      <c r="E93" s="42">
        <v>0.70833333333333304</v>
      </c>
      <c r="F93" s="42">
        <v>0.91666666666666696</v>
      </c>
      <c r="G93" s="37"/>
      <c r="H93" s="31">
        <v>5.0000000000000107</v>
      </c>
      <c r="I93" s="37"/>
      <c r="J93" s="35" t="s">
        <v>9</v>
      </c>
      <c r="K93" s="36" t="s">
        <v>131</v>
      </c>
      <c r="L93" s="58">
        <f t="shared" si="2"/>
        <v>1</v>
      </c>
      <c r="M93" s="8" t="str">
        <f t="shared" si="3"/>
        <v>Feb_2017</v>
      </c>
    </row>
    <row r="94" spans="1:13" ht="15.75" x14ac:dyDescent="0.25">
      <c r="A94" s="2" t="s">
        <v>0</v>
      </c>
      <c r="B94" s="2" t="s">
        <v>12</v>
      </c>
      <c r="C94" s="18">
        <v>42770</v>
      </c>
      <c r="D94" s="3" t="s">
        <v>24</v>
      </c>
      <c r="E94" s="42">
        <v>0.29166666666666702</v>
      </c>
      <c r="F94" s="42">
        <v>0.70833333333333304</v>
      </c>
      <c r="G94" s="37"/>
      <c r="H94" s="31">
        <v>0.99999999999998046</v>
      </c>
      <c r="I94" s="37"/>
      <c r="J94" s="35" t="s">
        <v>46</v>
      </c>
      <c r="K94" s="36" t="s">
        <v>131</v>
      </c>
      <c r="L94" s="58" t="str">
        <f t="shared" si="2"/>
        <v/>
      </c>
      <c r="M94" s="8" t="str">
        <f t="shared" si="3"/>
        <v>Feb_2017</v>
      </c>
    </row>
    <row r="95" spans="1:13" ht="15.75" x14ac:dyDescent="0.25">
      <c r="A95" s="2" t="s">
        <v>0</v>
      </c>
      <c r="B95" s="2" t="s">
        <v>12</v>
      </c>
      <c r="C95" s="18">
        <v>42771</v>
      </c>
      <c r="D95" s="3" t="s">
        <v>23</v>
      </c>
      <c r="E95" s="42">
        <v>0.29166666666666702</v>
      </c>
      <c r="F95" s="42">
        <v>0.70833333333333304</v>
      </c>
      <c r="G95" s="37"/>
      <c r="H95" s="31">
        <v>8.999999999999984</v>
      </c>
      <c r="I95" s="37"/>
      <c r="J95" s="35" t="s">
        <v>46</v>
      </c>
      <c r="K95" s="36" t="s">
        <v>131</v>
      </c>
      <c r="L95" s="58">
        <f t="shared" si="2"/>
        <v>1</v>
      </c>
      <c r="M95" s="8" t="str">
        <f t="shared" si="3"/>
        <v>Feb_2017</v>
      </c>
    </row>
    <row r="96" spans="1:13" ht="15.75" x14ac:dyDescent="0.25">
      <c r="A96" s="2" t="s">
        <v>0</v>
      </c>
      <c r="B96" s="2" t="s">
        <v>12</v>
      </c>
      <c r="C96" s="18">
        <v>42772</v>
      </c>
      <c r="D96" s="3" t="s">
        <v>21</v>
      </c>
      <c r="E96" s="42">
        <v>0.72916666666666696</v>
      </c>
      <c r="F96" s="42">
        <v>0.75</v>
      </c>
      <c r="G96" s="37"/>
      <c r="H96" s="31">
        <v>0.49999999999998757</v>
      </c>
      <c r="I96" s="37"/>
      <c r="J96" s="35" t="s">
        <v>9</v>
      </c>
      <c r="K96" s="36" t="s">
        <v>140</v>
      </c>
      <c r="L96" s="58" t="str">
        <f t="shared" si="2"/>
        <v/>
      </c>
      <c r="M96" s="8" t="str">
        <f t="shared" si="3"/>
        <v>Feb_2017</v>
      </c>
    </row>
    <row r="97" spans="1:13" ht="15.75" x14ac:dyDescent="0.25">
      <c r="A97" s="2" t="s">
        <v>0</v>
      </c>
      <c r="B97" s="2" t="s">
        <v>12</v>
      </c>
      <c r="C97" s="18">
        <v>42773</v>
      </c>
      <c r="D97" s="3" t="s">
        <v>16</v>
      </c>
      <c r="E97" s="42">
        <v>0.70833333333333304</v>
      </c>
      <c r="F97" s="42">
        <v>0.79166666666666696</v>
      </c>
      <c r="G97" s="37"/>
      <c r="H97" s="31">
        <v>2.0000000000000124</v>
      </c>
      <c r="I97" s="37"/>
      <c r="J97" s="35" t="s">
        <v>9</v>
      </c>
      <c r="K97" s="36" t="s">
        <v>141</v>
      </c>
      <c r="L97" s="58">
        <f t="shared" si="2"/>
        <v>1</v>
      </c>
      <c r="M97" s="8" t="str">
        <f t="shared" si="3"/>
        <v>Feb_2017</v>
      </c>
    </row>
    <row r="98" spans="1:13" ht="15.75" x14ac:dyDescent="0.25">
      <c r="A98" s="2" t="s">
        <v>0</v>
      </c>
      <c r="B98" s="2" t="s">
        <v>12</v>
      </c>
      <c r="C98" s="18">
        <v>42774</v>
      </c>
      <c r="D98" s="3" t="s">
        <v>19</v>
      </c>
      <c r="E98" s="42">
        <v>0.70833333333333304</v>
      </c>
      <c r="F98" s="42">
        <v>0.72916666666666696</v>
      </c>
      <c r="G98" s="37"/>
      <c r="H98" s="31">
        <v>0.50000000000001243</v>
      </c>
      <c r="I98" s="37"/>
      <c r="J98" s="35" t="s">
        <v>9</v>
      </c>
      <c r="K98" s="36" t="s">
        <v>142</v>
      </c>
      <c r="L98" s="58" t="str">
        <f t="shared" si="2"/>
        <v/>
      </c>
      <c r="M98" s="8" t="str">
        <f t="shared" si="3"/>
        <v>Feb_2017</v>
      </c>
    </row>
    <row r="99" spans="1:13" ht="15.75" x14ac:dyDescent="0.25">
      <c r="A99" s="2" t="s">
        <v>0</v>
      </c>
      <c r="B99" s="2" t="s">
        <v>12</v>
      </c>
      <c r="C99" s="18">
        <v>42775</v>
      </c>
      <c r="D99" s="3" t="s">
        <v>18</v>
      </c>
      <c r="E99" s="42">
        <v>0.70833333333333304</v>
      </c>
      <c r="F99" s="42">
        <v>0.72916666666666696</v>
      </c>
      <c r="G99" s="37"/>
      <c r="H99" s="31">
        <v>0.50000000000001243</v>
      </c>
      <c r="I99" s="37"/>
      <c r="J99" s="35" t="s">
        <v>9</v>
      </c>
      <c r="K99" s="36" t="s">
        <v>143</v>
      </c>
      <c r="L99" s="58" t="str">
        <f t="shared" si="2"/>
        <v/>
      </c>
      <c r="M99" s="8" t="str">
        <f t="shared" si="3"/>
        <v>Feb_2017</v>
      </c>
    </row>
    <row r="100" spans="1:13" ht="15.75" x14ac:dyDescent="0.25">
      <c r="A100" s="2" t="s">
        <v>0</v>
      </c>
      <c r="B100" s="2" t="s">
        <v>12</v>
      </c>
      <c r="C100" s="18">
        <v>42776</v>
      </c>
      <c r="D100" s="3" t="s">
        <v>17</v>
      </c>
      <c r="E100" s="42">
        <v>0.70833333333333304</v>
      </c>
      <c r="F100" s="42">
        <v>0.72916666666666696</v>
      </c>
      <c r="G100" s="37"/>
      <c r="H100" s="31">
        <v>0.50000000000001243</v>
      </c>
      <c r="I100" s="37"/>
      <c r="J100" s="35" t="s">
        <v>9</v>
      </c>
      <c r="K100" s="36" t="s">
        <v>144</v>
      </c>
      <c r="L100" s="58" t="str">
        <f t="shared" si="2"/>
        <v/>
      </c>
      <c r="M100" s="8" t="str">
        <f t="shared" si="3"/>
        <v>Feb_2017</v>
      </c>
    </row>
    <row r="101" spans="1:13" ht="15.75" x14ac:dyDescent="0.25">
      <c r="A101" s="2" t="s">
        <v>0</v>
      </c>
      <c r="B101" s="2" t="s">
        <v>12</v>
      </c>
      <c r="C101" s="18">
        <v>42783</v>
      </c>
      <c r="D101" s="3" t="s">
        <v>17</v>
      </c>
      <c r="E101" s="42">
        <v>0.72916666666666696</v>
      </c>
      <c r="F101" s="42">
        <v>0.79166666666666696</v>
      </c>
      <c r="G101" s="37"/>
      <c r="H101" s="31">
        <v>1.4999999999999947</v>
      </c>
      <c r="I101" s="37"/>
      <c r="J101" s="35" t="s">
        <v>9</v>
      </c>
      <c r="K101" s="36" t="s">
        <v>133</v>
      </c>
      <c r="L101" s="58" t="str">
        <f t="shared" si="2"/>
        <v/>
      </c>
      <c r="M101" s="8" t="str">
        <f t="shared" si="3"/>
        <v>Feb_2017</v>
      </c>
    </row>
    <row r="102" spans="1:13" ht="15.75" x14ac:dyDescent="0.25">
      <c r="A102" s="2" t="s">
        <v>0</v>
      </c>
      <c r="B102" s="2" t="s">
        <v>12</v>
      </c>
      <c r="C102" s="18">
        <v>42786</v>
      </c>
      <c r="D102" s="3" t="s">
        <v>21</v>
      </c>
      <c r="E102" s="42">
        <v>0.72916666666666696</v>
      </c>
      <c r="F102" s="42">
        <v>0.77083333333333304</v>
      </c>
      <c r="G102" s="37"/>
      <c r="H102" s="31">
        <v>0.99999999999998046</v>
      </c>
      <c r="I102" s="37"/>
      <c r="J102" s="35" t="s">
        <v>9</v>
      </c>
      <c r="K102" s="36" t="s">
        <v>134</v>
      </c>
      <c r="L102" s="58" t="str">
        <f t="shared" si="2"/>
        <v/>
      </c>
      <c r="M102" s="8" t="str">
        <f t="shared" si="3"/>
        <v>Feb_2017</v>
      </c>
    </row>
    <row r="103" spans="1:13" ht="15.75" x14ac:dyDescent="0.25">
      <c r="A103" s="2" t="s">
        <v>0</v>
      </c>
      <c r="B103" s="2" t="s">
        <v>12</v>
      </c>
      <c r="C103" s="18">
        <v>42787</v>
      </c>
      <c r="D103" s="3" t="s">
        <v>16</v>
      </c>
      <c r="E103" s="42">
        <v>0.72916666666666696</v>
      </c>
      <c r="F103" s="42">
        <v>0.95833333333333304</v>
      </c>
      <c r="G103" s="37"/>
      <c r="H103" s="31">
        <v>5.4999999999999822</v>
      </c>
      <c r="I103" s="37"/>
      <c r="J103" s="35" t="s">
        <v>33</v>
      </c>
      <c r="K103" s="36" t="s">
        <v>135</v>
      </c>
      <c r="L103" s="58">
        <f t="shared" si="2"/>
        <v>1</v>
      </c>
      <c r="M103" s="8" t="str">
        <f t="shared" si="3"/>
        <v>Feb_2017</v>
      </c>
    </row>
    <row r="104" spans="1:13" ht="15.75" x14ac:dyDescent="0.25">
      <c r="A104" s="2" t="s">
        <v>0</v>
      </c>
      <c r="B104" s="2" t="s">
        <v>12</v>
      </c>
      <c r="C104" s="18">
        <v>42791</v>
      </c>
      <c r="D104" s="3" t="s">
        <v>24</v>
      </c>
      <c r="E104" s="42">
        <v>0.35416666666666702</v>
      </c>
      <c r="F104" s="42">
        <v>0.79166666666666696</v>
      </c>
      <c r="G104" s="37"/>
      <c r="H104" s="31">
        <v>1.4999999999999947</v>
      </c>
      <c r="I104" s="37"/>
      <c r="J104" s="35" t="s">
        <v>46</v>
      </c>
      <c r="K104" s="36" t="s">
        <v>136</v>
      </c>
      <c r="L104" s="58" t="str">
        <f t="shared" si="2"/>
        <v/>
      </c>
      <c r="M104" s="8" t="str">
        <f t="shared" si="3"/>
        <v>Feb_2017</v>
      </c>
    </row>
    <row r="105" spans="1:13" ht="15.75" x14ac:dyDescent="0.25">
      <c r="A105" s="2" t="s">
        <v>0</v>
      </c>
      <c r="B105" s="2" t="s">
        <v>12</v>
      </c>
      <c r="C105" s="18">
        <v>42792</v>
      </c>
      <c r="D105" s="3" t="s">
        <v>23</v>
      </c>
      <c r="E105" s="42">
        <v>0.35416666666666702</v>
      </c>
      <c r="F105" s="42">
        <v>0.72916666666666696</v>
      </c>
      <c r="G105" s="37"/>
      <c r="H105" s="31">
        <v>7.9999999999999982</v>
      </c>
      <c r="I105" s="37"/>
      <c r="J105" s="35" t="s">
        <v>46</v>
      </c>
      <c r="K105" s="36" t="s">
        <v>137</v>
      </c>
      <c r="L105" s="58">
        <f t="shared" si="2"/>
        <v>1</v>
      </c>
      <c r="M105" s="8" t="str">
        <f t="shared" si="3"/>
        <v>Feb_2017</v>
      </c>
    </row>
    <row r="106" spans="1:13" ht="15.75" x14ac:dyDescent="0.25">
      <c r="A106" s="2" t="s">
        <v>0</v>
      </c>
      <c r="B106" s="2" t="s">
        <v>12</v>
      </c>
      <c r="C106" s="18">
        <v>42793</v>
      </c>
      <c r="D106" s="3" t="s">
        <v>21</v>
      </c>
      <c r="E106" s="42">
        <v>0.70833333333333304</v>
      </c>
      <c r="F106" s="42">
        <v>0.88541666666666663</v>
      </c>
      <c r="G106" s="37"/>
      <c r="H106" s="31">
        <v>4.2500000000000053</v>
      </c>
      <c r="I106" s="37"/>
      <c r="J106" s="35" t="s">
        <v>9</v>
      </c>
      <c r="K106" s="36" t="s">
        <v>138</v>
      </c>
      <c r="L106" s="58">
        <f t="shared" si="2"/>
        <v>1</v>
      </c>
      <c r="M106" s="8" t="str">
        <f t="shared" si="3"/>
        <v>Feb_2017</v>
      </c>
    </row>
    <row r="107" spans="1:13" ht="15.75" x14ac:dyDescent="0.25">
      <c r="A107" s="2" t="s">
        <v>0</v>
      </c>
      <c r="B107" s="2" t="s">
        <v>12</v>
      </c>
      <c r="C107" s="18">
        <v>42794</v>
      </c>
      <c r="D107" s="3" t="s">
        <v>16</v>
      </c>
      <c r="E107" s="42">
        <v>0.70833333333333304</v>
      </c>
      <c r="F107" s="42">
        <v>0.89583333333333304</v>
      </c>
      <c r="G107" s="37"/>
      <c r="H107" s="31">
        <v>4.4999999999999964</v>
      </c>
      <c r="I107" s="37"/>
      <c r="J107" s="35" t="s">
        <v>9</v>
      </c>
      <c r="K107" s="36" t="s">
        <v>139</v>
      </c>
      <c r="L107" s="58">
        <f t="shared" si="2"/>
        <v>1</v>
      </c>
      <c r="M107" s="8" t="str">
        <f t="shared" si="3"/>
        <v>Feb_2017</v>
      </c>
    </row>
    <row r="108" spans="1:13" ht="15.75" x14ac:dyDescent="0.25">
      <c r="A108" s="2" t="s">
        <v>0</v>
      </c>
      <c r="B108" s="2" t="s">
        <v>13</v>
      </c>
      <c r="C108" s="18">
        <v>42769</v>
      </c>
      <c r="D108" s="3" t="s">
        <v>17</v>
      </c>
      <c r="E108" s="42">
        <v>0.70833333333333304</v>
      </c>
      <c r="F108" s="42">
        <v>0.875</v>
      </c>
      <c r="G108" s="37"/>
      <c r="H108" s="31">
        <v>4.0000000000000036</v>
      </c>
      <c r="I108" s="37"/>
      <c r="J108" s="35" t="s">
        <v>9</v>
      </c>
      <c r="K108" s="36" t="s">
        <v>131</v>
      </c>
      <c r="L108" s="58">
        <f t="shared" si="2"/>
        <v>1</v>
      </c>
      <c r="M108" s="8" t="str">
        <f t="shared" si="3"/>
        <v>Feb_2017</v>
      </c>
    </row>
    <row r="109" spans="1:13" ht="15.75" x14ac:dyDescent="0.25">
      <c r="A109" s="2" t="s">
        <v>0</v>
      </c>
      <c r="B109" s="8" t="s">
        <v>13</v>
      </c>
      <c r="C109" s="18">
        <v>42770</v>
      </c>
      <c r="D109" s="3" t="s">
        <v>24</v>
      </c>
      <c r="E109" s="9">
        <v>0.29166666666666702</v>
      </c>
      <c r="F109" s="7">
        <v>0.70833333333333304</v>
      </c>
      <c r="G109" s="37"/>
      <c r="H109" s="6">
        <v>0.99999999999998046</v>
      </c>
      <c r="I109" s="37"/>
      <c r="J109" s="35" t="s">
        <v>46</v>
      </c>
      <c r="K109" s="41" t="s">
        <v>131</v>
      </c>
      <c r="L109" s="58" t="str">
        <f t="shared" si="2"/>
        <v/>
      </c>
      <c r="M109" s="8" t="str">
        <f t="shared" si="3"/>
        <v>Feb_2017</v>
      </c>
    </row>
    <row r="110" spans="1:13" ht="15.75" x14ac:dyDescent="0.25">
      <c r="A110" s="2" t="s">
        <v>0</v>
      </c>
      <c r="B110" s="8" t="s">
        <v>13</v>
      </c>
      <c r="C110" s="18">
        <v>42772</v>
      </c>
      <c r="D110" s="3" t="s">
        <v>21</v>
      </c>
      <c r="E110" s="9">
        <v>0.72916666666666696</v>
      </c>
      <c r="F110" s="7">
        <v>0.75</v>
      </c>
      <c r="G110" s="37"/>
      <c r="H110" s="6">
        <v>0.49999999999998757</v>
      </c>
      <c r="I110" s="37"/>
      <c r="J110" s="35" t="s">
        <v>9</v>
      </c>
      <c r="K110" s="41" t="s">
        <v>140</v>
      </c>
      <c r="L110" s="58" t="str">
        <f t="shared" si="2"/>
        <v/>
      </c>
      <c r="M110" s="8" t="str">
        <f t="shared" si="3"/>
        <v>Feb_2017</v>
      </c>
    </row>
    <row r="111" spans="1:13" ht="15.75" x14ac:dyDescent="0.25">
      <c r="A111" s="2" t="s">
        <v>0</v>
      </c>
      <c r="B111" s="8" t="s">
        <v>13</v>
      </c>
      <c r="C111" s="18">
        <v>42773</v>
      </c>
      <c r="D111" s="3" t="s">
        <v>16</v>
      </c>
      <c r="E111" s="9">
        <v>0.72916666666666696</v>
      </c>
      <c r="F111" s="7">
        <v>0.79166666666666696</v>
      </c>
      <c r="G111" s="37"/>
      <c r="H111" s="6">
        <v>1.4999999999999947</v>
      </c>
      <c r="I111" s="37"/>
      <c r="J111" s="32" t="s">
        <v>9</v>
      </c>
      <c r="K111" s="41" t="s">
        <v>141</v>
      </c>
      <c r="L111" s="58" t="str">
        <f t="shared" si="2"/>
        <v/>
      </c>
      <c r="M111" s="8" t="str">
        <f t="shared" si="3"/>
        <v>Feb_2017</v>
      </c>
    </row>
    <row r="112" spans="1:13" ht="15.75" x14ac:dyDescent="0.25">
      <c r="A112" s="2" t="s">
        <v>0</v>
      </c>
      <c r="B112" s="8" t="s">
        <v>13</v>
      </c>
      <c r="C112" s="18">
        <v>42787</v>
      </c>
      <c r="D112" s="3" t="s">
        <v>16</v>
      </c>
      <c r="E112" s="9">
        <v>0.70833333333333304</v>
      </c>
      <c r="F112" s="7">
        <v>0.88541666666666696</v>
      </c>
      <c r="G112" s="37"/>
      <c r="H112" s="6">
        <v>4.2500000000000107</v>
      </c>
      <c r="I112" s="37"/>
      <c r="J112" s="35" t="s">
        <v>9</v>
      </c>
      <c r="K112" s="41" t="s">
        <v>135</v>
      </c>
      <c r="L112" s="58">
        <f t="shared" si="2"/>
        <v>1</v>
      </c>
      <c r="M112" s="8" t="str">
        <f t="shared" si="3"/>
        <v>Feb_2017</v>
      </c>
    </row>
    <row r="113" spans="1:13" ht="15.75" x14ac:dyDescent="0.25">
      <c r="A113" s="43" t="s">
        <v>0</v>
      </c>
      <c r="B113" s="43" t="s">
        <v>13</v>
      </c>
      <c r="C113" s="18">
        <v>42794</v>
      </c>
      <c r="D113" s="44" t="s">
        <v>16</v>
      </c>
      <c r="E113" s="42">
        <v>0.72916666666666696</v>
      </c>
      <c r="F113" s="42">
        <v>0.8125</v>
      </c>
      <c r="G113" s="45"/>
      <c r="H113" s="46">
        <v>1.9999999999999876</v>
      </c>
      <c r="I113" s="45"/>
      <c r="J113" s="35" t="s">
        <v>9</v>
      </c>
      <c r="K113" s="36" t="s">
        <v>139</v>
      </c>
      <c r="L113" s="58" t="str">
        <f t="shared" si="2"/>
        <v/>
      </c>
      <c r="M113" s="8" t="str">
        <f t="shared" si="3"/>
        <v>Feb_2017</v>
      </c>
    </row>
    <row r="114" spans="1:13" ht="15.75" x14ac:dyDescent="0.25">
      <c r="A114" s="2" t="s">
        <v>0</v>
      </c>
      <c r="B114" s="2" t="s">
        <v>14</v>
      </c>
      <c r="C114" s="18">
        <v>42772</v>
      </c>
      <c r="D114" s="3" t="s">
        <v>21</v>
      </c>
      <c r="E114" s="42">
        <v>0.72916666666666696</v>
      </c>
      <c r="F114" s="42">
        <v>0.75</v>
      </c>
      <c r="G114" s="37"/>
      <c r="H114" s="31">
        <v>0.49999999999998757</v>
      </c>
      <c r="I114" s="37"/>
      <c r="J114" s="35" t="s">
        <v>9</v>
      </c>
      <c r="K114" s="36" t="s">
        <v>140</v>
      </c>
      <c r="L114" s="58" t="str">
        <f t="shared" si="2"/>
        <v/>
      </c>
      <c r="M114" s="8" t="str">
        <f t="shared" si="3"/>
        <v>Feb_2017</v>
      </c>
    </row>
    <row r="115" spans="1:13" ht="15.75" x14ac:dyDescent="0.25">
      <c r="A115" s="2" t="s">
        <v>0</v>
      </c>
      <c r="B115" s="2" t="s">
        <v>14</v>
      </c>
      <c r="C115" s="18">
        <v>42773</v>
      </c>
      <c r="D115" s="3" t="s">
        <v>16</v>
      </c>
      <c r="E115" s="42">
        <v>0.72916666666666696</v>
      </c>
      <c r="F115" s="42">
        <v>0.79166666666666696</v>
      </c>
      <c r="G115" s="37"/>
      <c r="H115" s="38">
        <v>1.4999999999999947</v>
      </c>
      <c r="I115" s="37"/>
      <c r="J115" s="35" t="s">
        <v>9</v>
      </c>
      <c r="K115" s="36" t="s">
        <v>141</v>
      </c>
      <c r="L115" s="58" t="str">
        <f t="shared" si="2"/>
        <v/>
      </c>
      <c r="M115" s="8" t="str">
        <f t="shared" si="3"/>
        <v>Feb_2017</v>
      </c>
    </row>
    <row r="116" spans="1:13" ht="15.75" x14ac:dyDescent="0.25">
      <c r="A116" s="2" t="s">
        <v>0</v>
      </c>
      <c r="B116" s="2" t="s">
        <v>14</v>
      </c>
      <c r="C116" s="18">
        <v>42787</v>
      </c>
      <c r="D116" s="3" t="s">
        <v>16</v>
      </c>
      <c r="E116" s="42">
        <v>0.72916666666666696</v>
      </c>
      <c r="F116" s="42">
        <v>0.88541666666666696</v>
      </c>
      <c r="G116" s="37"/>
      <c r="H116" s="38">
        <v>3.7499999999999964</v>
      </c>
      <c r="I116" s="37"/>
      <c r="J116" s="40" t="s">
        <v>9</v>
      </c>
      <c r="K116" s="36" t="s">
        <v>135</v>
      </c>
      <c r="L116" s="58">
        <f t="shared" si="2"/>
        <v>1</v>
      </c>
      <c r="M116" s="8" t="str">
        <f t="shared" si="3"/>
        <v>Feb_2017</v>
      </c>
    </row>
    <row r="117" spans="1:13" ht="15.75" x14ac:dyDescent="0.25">
      <c r="A117" s="2" t="s">
        <v>0</v>
      </c>
      <c r="B117" s="2" t="s">
        <v>14</v>
      </c>
      <c r="C117" s="18">
        <v>42791</v>
      </c>
      <c r="D117" s="3" t="s">
        <v>24</v>
      </c>
      <c r="E117" s="42">
        <v>0.35416666666666702</v>
      </c>
      <c r="F117" s="42">
        <v>0.79166666666666696</v>
      </c>
      <c r="G117" s="37"/>
      <c r="H117" s="38">
        <v>1.4999999999999947</v>
      </c>
      <c r="I117" s="37"/>
      <c r="J117" s="40" t="s">
        <v>46</v>
      </c>
      <c r="K117" s="36" t="s">
        <v>136</v>
      </c>
      <c r="L117" s="58" t="str">
        <f t="shared" si="2"/>
        <v/>
      </c>
      <c r="M117" s="8" t="str">
        <f t="shared" si="3"/>
        <v>Feb_2017</v>
      </c>
    </row>
    <row r="118" spans="1:13" ht="15.75" x14ac:dyDescent="0.25">
      <c r="A118" s="2" t="s">
        <v>0</v>
      </c>
      <c r="B118" s="2" t="s">
        <v>14</v>
      </c>
      <c r="C118" s="18">
        <v>42792</v>
      </c>
      <c r="D118" s="3" t="s">
        <v>23</v>
      </c>
      <c r="E118" s="42">
        <v>0.35416666666666702</v>
      </c>
      <c r="F118" s="42">
        <v>0.72916666666666696</v>
      </c>
      <c r="G118" s="37"/>
      <c r="H118" s="38">
        <v>7.9999999999999982</v>
      </c>
      <c r="I118" s="37"/>
      <c r="J118" s="40" t="s">
        <v>46</v>
      </c>
      <c r="K118" s="36" t="s">
        <v>137</v>
      </c>
      <c r="L118" s="58">
        <f t="shared" si="2"/>
        <v>1</v>
      </c>
      <c r="M118" s="8" t="str">
        <f t="shared" si="3"/>
        <v>Feb_2017</v>
      </c>
    </row>
    <row r="119" spans="1:13" ht="15.75" x14ac:dyDescent="0.25">
      <c r="A119" s="2" t="s">
        <v>0</v>
      </c>
      <c r="B119" s="2" t="s">
        <v>14</v>
      </c>
      <c r="C119" s="18">
        <v>42793</v>
      </c>
      <c r="D119" s="3" t="s">
        <v>21</v>
      </c>
      <c r="E119" s="42">
        <v>0.72916666666666696</v>
      </c>
      <c r="F119" s="42">
        <v>0.88541666666666663</v>
      </c>
      <c r="G119" s="37"/>
      <c r="H119" s="38">
        <v>3.7499999999999858</v>
      </c>
      <c r="I119" s="37"/>
      <c r="J119" s="35" t="s">
        <v>9</v>
      </c>
      <c r="K119" s="36" t="s">
        <v>138</v>
      </c>
      <c r="L119" s="58">
        <f t="shared" si="2"/>
        <v>1</v>
      </c>
      <c r="M119" s="8" t="str">
        <f t="shared" si="3"/>
        <v>Feb_2017</v>
      </c>
    </row>
    <row r="120" spans="1:13" ht="15.75" x14ac:dyDescent="0.25">
      <c r="A120" s="2" t="s">
        <v>0</v>
      </c>
      <c r="B120" s="2" t="s">
        <v>14</v>
      </c>
      <c r="C120" s="18">
        <v>42794</v>
      </c>
      <c r="D120" s="3" t="s">
        <v>16</v>
      </c>
      <c r="E120" s="42">
        <v>0.72916666666666696</v>
      </c>
      <c r="F120" s="42">
        <v>0.89583333333333304</v>
      </c>
      <c r="G120" s="37"/>
      <c r="H120" s="38">
        <v>3.9999999999999822</v>
      </c>
      <c r="I120" s="37"/>
      <c r="J120" s="35" t="s">
        <v>9</v>
      </c>
      <c r="K120" s="36" t="s">
        <v>139</v>
      </c>
      <c r="L120" s="58">
        <f t="shared" si="2"/>
        <v>1</v>
      </c>
      <c r="M120" s="8" t="str">
        <f t="shared" si="3"/>
        <v>Feb_2017</v>
      </c>
    </row>
    <row r="121" spans="1:13" ht="15.75" x14ac:dyDescent="0.25">
      <c r="A121" s="2" t="s">
        <v>117</v>
      </c>
      <c r="B121" s="2" t="s">
        <v>118</v>
      </c>
      <c r="C121" s="18">
        <v>42769</v>
      </c>
      <c r="D121" s="3" t="s">
        <v>17</v>
      </c>
      <c r="E121" s="42">
        <v>0.33333333333333298</v>
      </c>
      <c r="F121" s="42">
        <v>0.91666666666666696</v>
      </c>
      <c r="G121" s="37"/>
      <c r="H121" s="38">
        <v>13.000000000000014</v>
      </c>
      <c r="I121" s="37"/>
      <c r="J121" s="35" t="s">
        <v>9</v>
      </c>
      <c r="K121" s="36" t="s">
        <v>131</v>
      </c>
      <c r="L121" s="58" t="str">
        <f t="shared" si="2"/>
        <v/>
      </c>
      <c r="M121" s="8" t="str">
        <f t="shared" si="3"/>
        <v>Feb_2017</v>
      </c>
    </row>
    <row r="122" spans="1:13" ht="15.75" x14ac:dyDescent="0.25">
      <c r="A122" s="2" t="s">
        <v>117</v>
      </c>
      <c r="B122" s="2" t="s">
        <v>118</v>
      </c>
      <c r="C122" s="18">
        <v>42770</v>
      </c>
      <c r="D122" s="3" t="s">
        <v>24</v>
      </c>
      <c r="E122" s="42">
        <v>0.29166666666666702</v>
      </c>
      <c r="F122" s="42">
        <v>0.70833333333333304</v>
      </c>
      <c r="G122" s="37"/>
      <c r="H122" s="38">
        <v>8.999999999999984</v>
      </c>
      <c r="I122" s="37"/>
      <c r="J122" s="40" t="s">
        <v>46</v>
      </c>
      <c r="K122" s="36" t="s">
        <v>131</v>
      </c>
      <c r="L122" s="58" t="str">
        <f t="shared" si="2"/>
        <v/>
      </c>
      <c r="M122" s="8" t="str">
        <f t="shared" si="3"/>
        <v>Feb_2017</v>
      </c>
    </row>
    <row r="123" spans="1:13" ht="15.75" x14ac:dyDescent="0.25">
      <c r="A123" s="2" t="s">
        <v>117</v>
      </c>
      <c r="B123" s="2" t="s">
        <v>118</v>
      </c>
      <c r="C123" s="18">
        <v>42771</v>
      </c>
      <c r="D123" s="3" t="s">
        <v>23</v>
      </c>
      <c r="E123" s="42">
        <v>0.29166666666666702</v>
      </c>
      <c r="F123" s="42">
        <v>0.70833333333333304</v>
      </c>
      <c r="G123" s="37"/>
      <c r="H123" s="38">
        <v>8.999999999999984</v>
      </c>
      <c r="I123" s="37"/>
      <c r="J123" s="40" t="s">
        <v>46</v>
      </c>
      <c r="K123" s="36" t="s">
        <v>131</v>
      </c>
      <c r="L123" s="58" t="str">
        <f t="shared" si="2"/>
        <v/>
      </c>
      <c r="M123" s="8" t="str">
        <f t="shared" si="3"/>
        <v>Feb_2017</v>
      </c>
    </row>
    <row r="124" spans="1:13" ht="15.75" x14ac:dyDescent="0.25">
      <c r="A124" s="2" t="s">
        <v>117</v>
      </c>
      <c r="B124" s="2" t="s">
        <v>118</v>
      </c>
      <c r="C124" s="18">
        <v>42772</v>
      </c>
      <c r="D124" s="3" t="s">
        <v>21</v>
      </c>
      <c r="E124" s="42">
        <v>0.35416666666666702</v>
      </c>
      <c r="F124" s="42">
        <v>0.75</v>
      </c>
      <c r="G124" s="37"/>
      <c r="H124" s="38">
        <v>8.4999999999999911</v>
      </c>
      <c r="I124" s="37"/>
      <c r="J124" s="40" t="s">
        <v>9</v>
      </c>
      <c r="K124" s="36" t="s">
        <v>140</v>
      </c>
      <c r="L124" s="58" t="str">
        <f t="shared" si="2"/>
        <v/>
      </c>
      <c r="M124" s="8" t="str">
        <f t="shared" si="3"/>
        <v>Feb_2017</v>
      </c>
    </row>
    <row r="125" spans="1:13" ht="15.75" x14ac:dyDescent="0.25">
      <c r="A125" s="2" t="s">
        <v>117</v>
      </c>
      <c r="B125" s="2" t="s">
        <v>118</v>
      </c>
      <c r="C125" s="18">
        <v>42773</v>
      </c>
      <c r="D125" s="3" t="s">
        <v>16</v>
      </c>
      <c r="E125" s="42">
        <v>0.35416666666666702</v>
      </c>
      <c r="F125" s="42">
        <v>0.79166666666666696</v>
      </c>
      <c r="G125" s="37"/>
      <c r="H125" s="38">
        <v>9.4999999999999982</v>
      </c>
      <c r="I125" s="37"/>
      <c r="J125" s="35" t="s">
        <v>9</v>
      </c>
      <c r="K125" s="36" t="s">
        <v>141</v>
      </c>
      <c r="L125" s="58" t="str">
        <f t="shared" si="2"/>
        <v/>
      </c>
      <c r="M125" s="8" t="str">
        <f t="shared" si="3"/>
        <v>Feb_2017</v>
      </c>
    </row>
    <row r="126" spans="1:13" ht="15.75" x14ac:dyDescent="0.25">
      <c r="A126" s="2" t="s">
        <v>117</v>
      </c>
      <c r="B126" s="2" t="s">
        <v>118</v>
      </c>
      <c r="C126" s="18">
        <v>42774</v>
      </c>
      <c r="D126" s="3" t="s">
        <v>19</v>
      </c>
      <c r="E126" s="42">
        <v>0.35416666666666702</v>
      </c>
      <c r="F126" s="42">
        <v>0.72916666666666696</v>
      </c>
      <c r="G126" s="37"/>
      <c r="H126" s="38">
        <v>7.9999999999999982</v>
      </c>
      <c r="I126" s="37"/>
      <c r="J126" s="40" t="s">
        <v>9</v>
      </c>
      <c r="K126" s="36" t="s">
        <v>142</v>
      </c>
      <c r="L126" s="58" t="str">
        <f t="shared" si="2"/>
        <v/>
      </c>
      <c r="M126" s="8" t="str">
        <f t="shared" si="3"/>
        <v>Feb_2017</v>
      </c>
    </row>
    <row r="127" spans="1:13" ht="15.75" x14ac:dyDescent="0.25">
      <c r="A127" s="2" t="s">
        <v>117</v>
      </c>
      <c r="B127" s="2" t="s">
        <v>118</v>
      </c>
      <c r="C127" s="18">
        <v>42775</v>
      </c>
      <c r="D127" s="3" t="s">
        <v>18</v>
      </c>
      <c r="E127" s="42">
        <v>0.35416666666666702</v>
      </c>
      <c r="F127" s="42">
        <v>0.72916666666666696</v>
      </c>
      <c r="G127" s="37"/>
      <c r="H127" s="31">
        <v>7.9999999999999982</v>
      </c>
      <c r="I127" s="37"/>
      <c r="J127" s="35" t="s">
        <v>9</v>
      </c>
      <c r="K127" s="36" t="s">
        <v>143</v>
      </c>
      <c r="L127" s="58" t="str">
        <f t="shared" si="2"/>
        <v/>
      </c>
      <c r="M127" s="8" t="str">
        <f t="shared" si="3"/>
        <v>Feb_2017</v>
      </c>
    </row>
    <row r="128" spans="1:13" ht="15.75" x14ac:dyDescent="0.25">
      <c r="A128" s="2" t="s">
        <v>117</v>
      </c>
      <c r="B128" s="2" t="s">
        <v>118</v>
      </c>
      <c r="C128" s="18">
        <v>42776</v>
      </c>
      <c r="D128" s="3" t="s">
        <v>17</v>
      </c>
      <c r="E128" s="42">
        <v>0.35416666666666702</v>
      </c>
      <c r="F128" s="42">
        <v>0.72916666666666696</v>
      </c>
      <c r="G128" s="37"/>
      <c r="H128" s="31">
        <v>7.9999999999999982</v>
      </c>
      <c r="I128" s="37"/>
      <c r="J128" s="35" t="s">
        <v>9</v>
      </c>
      <c r="K128" s="36" t="s">
        <v>144</v>
      </c>
      <c r="L128" s="58" t="str">
        <f t="shared" si="2"/>
        <v/>
      </c>
      <c r="M128" s="8" t="str">
        <f t="shared" si="3"/>
        <v>Feb_2017</v>
      </c>
    </row>
    <row r="129" spans="1:13" ht="15.75" x14ac:dyDescent="0.25">
      <c r="A129" s="2" t="s">
        <v>117</v>
      </c>
      <c r="B129" s="2" t="s">
        <v>118</v>
      </c>
      <c r="C129" s="18">
        <v>42779</v>
      </c>
      <c r="D129" s="3" t="s">
        <v>21</v>
      </c>
      <c r="E129" s="42">
        <v>0.35416666666666702</v>
      </c>
      <c r="F129" s="42">
        <v>0.70833333333333304</v>
      </c>
      <c r="G129" s="37"/>
      <c r="H129" s="31">
        <v>7.499999999999984</v>
      </c>
      <c r="I129" s="37"/>
      <c r="J129" s="35" t="s">
        <v>9</v>
      </c>
      <c r="K129" s="36" t="s">
        <v>145</v>
      </c>
      <c r="L129" s="58" t="str">
        <f t="shared" si="2"/>
        <v/>
      </c>
      <c r="M129" s="8" t="str">
        <f t="shared" si="3"/>
        <v>Feb_2017</v>
      </c>
    </row>
    <row r="130" spans="1:13" ht="15.75" x14ac:dyDescent="0.25">
      <c r="A130" s="2" t="s">
        <v>117</v>
      </c>
      <c r="B130" s="2" t="s">
        <v>118</v>
      </c>
      <c r="C130" s="18">
        <v>42780</v>
      </c>
      <c r="D130" s="3" t="s">
        <v>16</v>
      </c>
      <c r="E130" s="42">
        <v>0.35416666666666702</v>
      </c>
      <c r="F130" s="42">
        <v>0.72916666666666696</v>
      </c>
      <c r="G130" s="37"/>
      <c r="H130" s="31">
        <v>7.9999999999999982</v>
      </c>
      <c r="I130" s="37"/>
      <c r="J130" s="35" t="s">
        <v>9</v>
      </c>
      <c r="K130" s="36" t="s">
        <v>146</v>
      </c>
      <c r="L130" s="58" t="str">
        <f t="shared" si="2"/>
        <v/>
      </c>
      <c r="M130" s="8" t="str">
        <f t="shared" si="3"/>
        <v>Feb_2017</v>
      </c>
    </row>
    <row r="131" spans="1:13" ht="15.75" x14ac:dyDescent="0.25">
      <c r="A131" s="2" t="s">
        <v>117</v>
      </c>
      <c r="B131" s="2" t="s">
        <v>118</v>
      </c>
      <c r="C131" s="18">
        <v>42781</v>
      </c>
      <c r="D131" s="3" t="s">
        <v>19</v>
      </c>
      <c r="E131" s="42">
        <v>0.35416666666666702</v>
      </c>
      <c r="F131" s="42">
        <v>0.72916666666666696</v>
      </c>
      <c r="G131" s="37"/>
      <c r="H131" s="31">
        <v>7.9999999999999982</v>
      </c>
      <c r="I131" s="37"/>
      <c r="J131" s="35" t="s">
        <v>9</v>
      </c>
      <c r="K131" s="36" t="s">
        <v>147</v>
      </c>
      <c r="L131" s="58" t="str">
        <f t="shared" ref="L131:L194" si="4">IF(AND($A131="Perm Staff Onsite",$H131&gt;=2),1,"")</f>
        <v/>
      </c>
      <c r="M131" s="8" t="str">
        <f t="shared" ref="M131:M194" si="5">IF($C131="","",TEXT(DATE(YEAR($C131),MONTH($C131),DAY($C131)),"MMM")&amp;"_"&amp;YEAR($C131))</f>
        <v>Feb_2017</v>
      </c>
    </row>
    <row r="132" spans="1:13" ht="15.75" x14ac:dyDescent="0.25">
      <c r="A132" s="2" t="s">
        <v>117</v>
      </c>
      <c r="B132" s="2" t="s">
        <v>118</v>
      </c>
      <c r="C132" s="18">
        <v>42782</v>
      </c>
      <c r="D132" s="3" t="s">
        <v>18</v>
      </c>
      <c r="E132" s="42">
        <v>0.35416666666666702</v>
      </c>
      <c r="F132" s="42">
        <v>0.72916666666666696</v>
      </c>
      <c r="G132" s="37"/>
      <c r="H132" s="31">
        <v>7.9999999999999982</v>
      </c>
      <c r="I132" s="37"/>
      <c r="J132" s="35" t="s">
        <v>9</v>
      </c>
      <c r="K132" s="36" t="s">
        <v>148</v>
      </c>
      <c r="L132" s="58" t="str">
        <f t="shared" si="4"/>
        <v/>
      </c>
      <c r="M132" s="8" t="str">
        <f t="shared" si="5"/>
        <v>Feb_2017</v>
      </c>
    </row>
    <row r="133" spans="1:13" ht="15.75" x14ac:dyDescent="0.25">
      <c r="A133" s="2" t="s">
        <v>117</v>
      </c>
      <c r="B133" s="2" t="s">
        <v>118</v>
      </c>
      <c r="C133" s="18">
        <v>42783</v>
      </c>
      <c r="D133" s="3" t="s">
        <v>17</v>
      </c>
      <c r="E133" s="42">
        <v>0.35416666666666702</v>
      </c>
      <c r="F133" s="42">
        <v>0.72916666666666696</v>
      </c>
      <c r="G133" s="37"/>
      <c r="H133" s="31">
        <v>7.9999999999999982</v>
      </c>
      <c r="I133" s="37"/>
      <c r="J133" s="35" t="s">
        <v>9</v>
      </c>
      <c r="K133" s="36" t="s">
        <v>149</v>
      </c>
      <c r="L133" s="58" t="str">
        <f t="shared" si="4"/>
        <v/>
      </c>
      <c r="M133" s="8" t="str">
        <f t="shared" si="5"/>
        <v>Feb_2017</v>
      </c>
    </row>
    <row r="134" spans="1:13" ht="15.75" x14ac:dyDescent="0.25">
      <c r="A134" s="2" t="s">
        <v>117</v>
      </c>
      <c r="B134" s="2" t="s">
        <v>118</v>
      </c>
      <c r="C134" s="18">
        <v>42786</v>
      </c>
      <c r="D134" s="3" t="s">
        <v>21</v>
      </c>
      <c r="E134" s="42">
        <v>0.35416666666666702</v>
      </c>
      <c r="F134" s="42">
        <v>0.72916666666666696</v>
      </c>
      <c r="G134" s="37"/>
      <c r="H134" s="31">
        <v>7.9999999999999982</v>
      </c>
      <c r="I134" s="37"/>
      <c r="J134" s="35" t="s">
        <v>9</v>
      </c>
      <c r="K134" s="36" t="s">
        <v>134</v>
      </c>
      <c r="L134" s="58" t="str">
        <f t="shared" si="4"/>
        <v/>
      </c>
      <c r="M134" s="8" t="str">
        <f t="shared" si="5"/>
        <v>Feb_2017</v>
      </c>
    </row>
    <row r="135" spans="1:13" ht="15.75" x14ac:dyDescent="0.25">
      <c r="A135" s="2" t="s">
        <v>117</v>
      </c>
      <c r="B135" s="2" t="s">
        <v>118</v>
      </c>
      <c r="C135" s="18">
        <v>42787</v>
      </c>
      <c r="D135" s="3" t="s">
        <v>16</v>
      </c>
      <c r="E135" s="42">
        <v>0.35416666666666702</v>
      </c>
      <c r="F135" s="42">
        <v>0.72916666666666696</v>
      </c>
      <c r="G135" s="37"/>
      <c r="H135" s="31">
        <v>7.9999999999999982</v>
      </c>
      <c r="I135" s="37"/>
      <c r="J135" s="35" t="s">
        <v>9</v>
      </c>
      <c r="K135" s="36" t="s">
        <v>135</v>
      </c>
      <c r="L135" s="58" t="str">
        <f t="shared" si="4"/>
        <v/>
      </c>
      <c r="M135" s="8" t="str">
        <f t="shared" si="5"/>
        <v>Feb_2017</v>
      </c>
    </row>
    <row r="136" spans="1:13" ht="15.75" x14ac:dyDescent="0.25">
      <c r="A136" s="2" t="s">
        <v>117</v>
      </c>
      <c r="B136" s="2" t="s">
        <v>118</v>
      </c>
      <c r="C136" s="18">
        <v>42788</v>
      </c>
      <c r="D136" s="3" t="s">
        <v>19</v>
      </c>
      <c r="E136" s="42">
        <v>0.35416666666666702</v>
      </c>
      <c r="F136" s="42">
        <v>0.72916666666666696</v>
      </c>
      <c r="G136" s="37"/>
      <c r="H136" s="31">
        <v>7.9999999999999982</v>
      </c>
      <c r="I136" s="37"/>
      <c r="J136" s="35" t="s">
        <v>9</v>
      </c>
      <c r="K136" s="36" t="s">
        <v>150</v>
      </c>
      <c r="L136" s="58" t="str">
        <f t="shared" si="4"/>
        <v/>
      </c>
      <c r="M136" s="8" t="str">
        <f t="shared" si="5"/>
        <v>Feb_2017</v>
      </c>
    </row>
    <row r="137" spans="1:13" ht="15.75" x14ac:dyDescent="0.25">
      <c r="A137" s="2" t="s">
        <v>117</v>
      </c>
      <c r="B137" s="2" t="s">
        <v>118</v>
      </c>
      <c r="C137" s="18">
        <v>42789</v>
      </c>
      <c r="D137" s="3" t="s">
        <v>18</v>
      </c>
      <c r="E137" s="42">
        <v>0.35416666666666702</v>
      </c>
      <c r="F137" s="42">
        <v>0.72916666666666696</v>
      </c>
      <c r="G137" s="37"/>
      <c r="H137" s="31">
        <v>7.9999999999999982</v>
      </c>
      <c r="I137" s="37"/>
      <c r="J137" s="35" t="s">
        <v>9</v>
      </c>
      <c r="K137" s="36" t="s">
        <v>151</v>
      </c>
      <c r="L137" s="58" t="str">
        <f t="shared" si="4"/>
        <v/>
      </c>
      <c r="M137" s="8" t="str">
        <f t="shared" si="5"/>
        <v>Feb_2017</v>
      </c>
    </row>
    <row r="138" spans="1:13" ht="15.75" x14ac:dyDescent="0.25">
      <c r="A138" s="2" t="s">
        <v>117</v>
      </c>
      <c r="B138" s="2" t="s">
        <v>118</v>
      </c>
      <c r="C138" s="18">
        <v>42790</v>
      </c>
      <c r="D138" s="3" t="s">
        <v>17</v>
      </c>
      <c r="E138" s="42">
        <v>0.35416666666666702</v>
      </c>
      <c r="F138" s="42">
        <v>0.6875</v>
      </c>
      <c r="G138" s="37"/>
      <c r="H138" s="31">
        <v>6.9999999999999911</v>
      </c>
      <c r="I138" s="37"/>
      <c r="J138" s="35" t="s">
        <v>9</v>
      </c>
      <c r="K138" s="36" t="s">
        <v>152</v>
      </c>
      <c r="L138" s="58" t="str">
        <f t="shared" si="4"/>
        <v/>
      </c>
      <c r="M138" s="8" t="str">
        <f t="shared" si="5"/>
        <v>Feb_2017</v>
      </c>
    </row>
    <row r="139" spans="1:13" ht="15.75" x14ac:dyDescent="0.25">
      <c r="A139" s="2" t="s">
        <v>117</v>
      </c>
      <c r="B139" s="2" t="s">
        <v>118</v>
      </c>
      <c r="C139" s="18">
        <v>42793</v>
      </c>
      <c r="D139" s="3" t="s">
        <v>21</v>
      </c>
      <c r="E139" s="42">
        <v>0.35416666666666702</v>
      </c>
      <c r="F139" s="42">
        <v>0.72916666666666696</v>
      </c>
      <c r="G139" s="37"/>
      <c r="H139" s="31">
        <v>7.9999999999999982</v>
      </c>
      <c r="I139" s="37"/>
      <c r="J139" s="35" t="s">
        <v>9</v>
      </c>
      <c r="K139" s="36" t="s">
        <v>138</v>
      </c>
      <c r="L139" s="58" t="str">
        <f t="shared" si="4"/>
        <v/>
      </c>
      <c r="M139" s="8" t="str">
        <f t="shared" si="5"/>
        <v>Feb_2017</v>
      </c>
    </row>
    <row r="140" spans="1:13" ht="15.75" x14ac:dyDescent="0.25">
      <c r="A140" s="2" t="s">
        <v>117</v>
      </c>
      <c r="B140" s="2" t="s">
        <v>118</v>
      </c>
      <c r="C140" s="18">
        <v>42794</v>
      </c>
      <c r="D140" s="3" t="s">
        <v>16</v>
      </c>
      <c r="E140" s="42">
        <v>0.35416666666666702</v>
      </c>
      <c r="F140" s="42">
        <v>0.89583333333333304</v>
      </c>
      <c r="G140" s="37"/>
      <c r="H140" s="31">
        <v>11.999999999999986</v>
      </c>
      <c r="I140" s="37"/>
      <c r="J140" s="35" t="s">
        <v>9</v>
      </c>
      <c r="K140" s="36" t="s">
        <v>139</v>
      </c>
      <c r="L140" s="58" t="str">
        <f t="shared" si="4"/>
        <v/>
      </c>
      <c r="M140" s="8" t="str">
        <f t="shared" si="5"/>
        <v>Feb_2017</v>
      </c>
    </row>
    <row r="141" spans="1:13" ht="15.75" x14ac:dyDescent="0.25">
      <c r="A141" s="2" t="s">
        <v>0</v>
      </c>
      <c r="B141" s="8" t="s">
        <v>34</v>
      </c>
      <c r="C141" s="18">
        <v>42769</v>
      </c>
      <c r="D141" s="3" t="s">
        <v>17</v>
      </c>
      <c r="E141" s="9">
        <v>0.72916666666666696</v>
      </c>
      <c r="F141" s="7">
        <v>0.91666666666666696</v>
      </c>
      <c r="G141" s="37"/>
      <c r="H141" s="6">
        <v>4.4999999999999964</v>
      </c>
      <c r="I141" s="37"/>
      <c r="J141" s="32" t="s">
        <v>9</v>
      </c>
      <c r="K141" s="41" t="s">
        <v>131</v>
      </c>
      <c r="L141" s="58">
        <f t="shared" si="4"/>
        <v>1</v>
      </c>
      <c r="M141" s="8" t="str">
        <f t="shared" si="5"/>
        <v>Feb_2017</v>
      </c>
    </row>
    <row r="142" spans="1:13" ht="15.75" x14ac:dyDescent="0.25">
      <c r="A142" s="2" t="s">
        <v>0</v>
      </c>
      <c r="B142" s="8" t="s">
        <v>34</v>
      </c>
      <c r="C142" s="18">
        <v>42770</v>
      </c>
      <c r="D142" s="3" t="s">
        <v>24</v>
      </c>
      <c r="E142" s="9">
        <v>0.29166666666666702</v>
      </c>
      <c r="F142" s="7">
        <v>0.70833333333333304</v>
      </c>
      <c r="G142" s="37"/>
      <c r="H142" s="6">
        <v>0.99999999999998046</v>
      </c>
      <c r="I142" s="37"/>
      <c r="J142" s="32" t="s">
        <v>46</v>
      </c>
      <c r="K142" s="41" t="s">
        <v>131</v>
      </c>
      <c r="L142" s="58" t="str">
        <f t="shared" si="4"/>
        <v/>
      </c>
      <c r="M142" s="8" t="str">
        <f t="shared" si="5"/>
        <v>Feb_2017</v>
      </c>
    </row>
    <row r="143" spans="1:13" ht="15.75" x14ac:dyDescent="0.25">
      <c r="A143" s="2" t="s">
        <v>0</v>
      </c>
      <c r="B143" s="8" t="s">
        <v>34</v>
      </c>
      <c r="C143" s="18">
        <v>42771</v>
      </c>
      <c r="D143" s="3" t="s">
        <v>23</v>
      </c>
      <c r="E143" s="9">
        <v>0.29166666666666702</v>
      </c>
      <c r="F143" s="7">
        <v>0.70833333333333304</v>
      </c>
      <c r="G143" s="37"/>
      <c r="H143" s="6">
        <v>8.999999999999984</v>
      </c>
      <c r="I143" s="37"/>
      <c r="J143" s="32" t="s">
        <v>46</v>
      </c>
      <c r="K143" s="41" t="s">
        <v>131</v>
      </c>
      <c r="L143" s="58">
        <f t="shared" si="4"/>
        <v>1</v>
      </c>
      <c r="M143" s="8" t="str">
        <f t="shared" si="5"/>
        <v>Feb_2017</v>
      </c>
    </row>
    <row r="144" spans="1:13" ht="15.75" x14ac:dyDescent="0.25">
      <c r="A144" s="2" t="s">
        <v>0</v>
      </c>
      <c r="B144" s="8" t="s">
        <v>34</v>
      </c>
      <c r="C144" s="18">
        <v>42772</v>
      </c>
      <c r="D144" s="3" t="s">
        <v>21</v>
      </c>
      <c r="E144" s="9">
        <v>0.72916666666666696</v>
      </c>
      <c r="F144" s="7">
        <v>0.75</v>
      </c>
      <c r="G144" s="37"/>
      <c r="H144" s="6">
        <v>0.49999999999998757</v>
      </c>
      <c r="I144" s="37"/>
      <c r="J144" s="32" t="s">
        <v>9</v>
      </c>
      <c r="K144" s="41" t="s">
        <v>140</v>
      </c>
      <c r="L144" s="58" t="str">
        <f t="shared" si="4"/>
        <v/>
      </c>
      <c r="M144" s="8" t="str">
        <f t="shared" si="5"/>
        <v>Feb_2017</v>
      </c>
    </row>
    <row r="145" spans="1:13" ht="15.75" x14ac:dyDescent="0.25">
      <c r="A145" s="2" t="s">
        <v>0</v>
      </c>
      <c r="B145" s="8" t="s">
        <v>34</v>
      </c>
      <c r="C145" s="18">
        <v>42773</v>
      </c>
      <c r="D145" s="3" t="s">
        <v>16</v>
      </c>
      <c r="E145" s="9">
        <v>0.70833333333333304</v>
      </c>
      <c r="F145" s="7">
        <v>0.79166666666666696</v>
      </c>
      <c r="G145" s="37"/>
      <c r="H145" s="6">
        <v>2.0000000000000124</v>
      </c>
      <c r="I145" s="37"/>
      <c r="J145" s="32" t="s">
        <v>9</v>
      </c>
      <c r="K145" s="41" t="s">
        <v>141</v>
      </c>
      <c r="L145" s="58">
        <f t="shared" si="4"/>
        <v>1</v>
      </c>
      <c r="M145" s="8" t="str">
        <f t="shared" si="5"/>
        <v>Feb_2017</v>
      </c>
    </row>
    <row r="146" spans="1:13" ht="15.75" x14ac:dyDescent="0.25">
      <c r="A146" s="2" t="s">
        <v>0</v>
      </c>
      <c r="B146" s="8" t="s">
        <v>34</v>
      </c>
      <c r="C146" s="18">
        <v>42775</v>
      </c>
      <c r="D146" s="3" t="s">
        <v>18</v>
      </c>
      <c r="E146" s="9">
        <v>0.70833333333333304</v>
      </c>
      <c r="F146" s="7">
        <v>0.72916666666666696</v>
      </c>
      <c r="G146" s="37"/>
      <c r="H146" s="6">
        <v>0.50000000000001243</v>
      </c>
      <c r="I146" s="37"/>
      <c r="J146" s="32" t="s">
        <v>9</v>
      </c>
      <c r="K146" s="41" t="s">
        <v>143</v>
      </c>
      <c r="L146" s="58" t="str">
        <f t="shared" si="4"/>
        <v/>
      </c>
      <c r="M146" s="8" t="str">
        <f t="shared" si="5"/>
        <v>Feb_2017</v>
      </c>
    </row>
    <row r="147" spans="1:13" ht="15.75" x14ac:dyDescent="0.25">
      <c r="A147" s="2" t="s">
        <v>0</v>
      </c>
      <c r="B147" s="8" t="s">
        <v>34</v>
      </c>
      <c r="C147" s="18">
        <v>42787</v>
      </c>
      <c r="D147" s="3" t="s">
        <v>16</v>
      </c>
      <c r="E147" s="9">
        <v>0.72916666666666696</v>
      </c>
      <c r="F147" s="7">
        <v>0.88541666666666696</v>
      </c>
      <c r="G147" s="37"/>
      <c r="H147" s="6">
        <v>3.7499999999999964</v>
      </c>
      <c r="I147" s="37"/>
      <c r="J147" s="32" t="s">
        <v>9</v>
      </c>
      <c r="K147" s="41" t="s">
        <v>135</v>
      </c>
      <c r="L147" s="58">
        <f t="shared" si="4"/>
        <v>1</v>
      </c>
      <c r="M147" s="8" t="str">
        <f t="shared" si="5"/>
        <v>Feb_2017</v>
      </c>
    </row>
    <row r="148" spans="1:13" ht="15.75" x14ac:dyDescent="0.25">
      <c r="A148" s="2" t="s">
        <v>0</v>
      </c>
      <c r="B148" s="8" t="s">
        <v>34</v>
      </c>
      <c r="C148" s="18">
        <v>42791</v>
      </c>
      <c r="D148" s="3" t="s">
        <v>24</v>
      </c>
      <c r="E148" s="9">
        <v>0.35416666666666702</v>
      </c>
      <c r="F148" s="7">
        <v>0.79166666666666696</v>
      </c>
      <c r="G148" s="37"/>
      <c r="H148" s="6">
        <v>1.4999999999999947</v>
      </c>
      <c r="I148" s="37"/>
      <c r="J148" s="32" t="s">
        <v>46</v>
      </c>
      <c r="K148" s="41" t="s">
        <v>136</v>
      </c>
      <c r="L148" s="58" t="str">
        <f t="shared" si="4"/>
        <v/>
      </c>
      <c r="M148" s="8" t="str">
        <f t="shared" si="5"/>
        <v>Feb_2017</v>
      </c>
    </row>
    <row r="149" spans="1:13" ht="15.75" x14ac:dyDescent="0.25">
      <c r="A149" s="2" t="s">
        <v>0</v>
      </c>
      <c r="B149" s="8" t="s">
        <v>34</v>
      </c>
      <c r="C149" s="18">
        <v>42792</v>
      </c>
      <c r="D149" s="3" t="s">
        <v>23</v>
      </c>
      <c r="E149" s="9">
        <v>0.35416666666666702</v>
      </c>
      <c r="F149" s="7">
        <v>0.72916666666666696</v>
      </c>
      <c r="G149" s="37"/>
      <c r="H149" s="6">
        <v>7.9999999999999982</v>
      </c>
      <c r="I149" s="37"/>
      <c r="J149" s="32" t="s">
        <v>46</v>
      </c>
      <c r="K149" s="41" t="s">
        <v>137</v>
      </c>
      <c r="L149" s="58">
        <f t="shared" si="4"/>
        <v>1</v>
      </c>
      <c r="M149" s="8" t="str">
        <f t="shared" si="5"/>
        <v>Feb_2017</v>
      </c>
    </row>
    <row r="150" spans="1:13" ht="15.75" x14ac:dyDescent="0.25">
      <c r="A150" s="2" t="s">
        <v>0</v>
      </c>
      <c r="B150" s="8" t="s">
        <v>34</v>
      </c>
      <c r="C150" s="18">
        <v>42793</v>
      </c>
      <c r="D150" s="3" t="s">
        <v>21</v>
      </c>
      <c r="E150" s="9">
        <v>0.70833333333333304</v>
      </c>
      <c r="F150" s="7">
        <v>0.72916666666666696</v>
      </c>
      <c r="G150" s="37"/>
      <c r="H150" s="6">
        <v>0.50000000000001243</v>
      </c>
      <c r="I150" s="37"/>
      <c r="J150" s="32" t="s">
        <v>9</v>
      </c>
      <c r="K150" s="41" t="s">
        <v>138</v>
      </c>
      <c r="L150" s="58" t="str">
        <f t="shared" si="4"/>
        <v/>
      </c>
      <c r="M150" s="8" t="str">
        <f t="shared" si="5"/>
        <v>Feb_2017</v>
      </c>
    </row>
    <row r="151" spans="1:13" ht="15.75" x14ac:dyDescent="0.25">
      <c r="A151" s="2" t="s">
        <v>0</v>
      </c>
      <c r="B151" s="8" t="s">
        <v>34</v>
      </c>
      <c r="C151" s="18">
        <v>42794</v>
      </c>
      <c r="D151" s="3" t="s">
        <v>16</v>
      </c>
      <c r="E151" s="9">
        <v>0.70833333333333304</v>
      </c>
      <c r="F151" s="7">
        <v>0.89583333333333304</v>
      </c>
      <c r="G151" s="37"/>
      <c r="H151" s="6">
        <v>4.4999999999999964</v>
      </c>
      <c r="I151" s="37"/>
      <c r="J151" s="32" t="s">
        <v>9</v>
      </c>
      <c r="K151" s="41" t="s">
        <v>139</v>
      </c>
      <c r="L151" s="58">
        <f t="shared" si="4"/>
        <v>1</v>
      </c>
      <c r="M151" s="8" t="str">
        <f t="shared" si="5"/>
        <v>Feb_2017</v>
      </c>
    </row>
    <row r="152" spans="1:13" ht="15.75" x14ac:dyDescent="0.25">
      <c r="A152" s="2" t="s">
        <v>117</v>
      </c>
      <c r="B152" s="8" t="s">
        <v>128</v>
      </c>
      <c r="C152" s="18">
        <v>42770</v>
      </c>
      <c r="D152" s="3" t="s">
        <v>24</v>
      </c>
      <c r="E152" s="9">
        <v>0.33333333333333298</v>
      </c>
      <c r="F152" s="7">
        <v>0.70833333333333304</v>
      </c>
      <c r="G152" s="37"/>
      <c r="H152" s="6">
        <v>8.0000000000000018</v>
      </c>
      <c r="I152" s="37"/>
      <c r="J152" s="35" t="s">
        <v>46</v>
      </c>
      <c r="K152" s="41" t="s">
        <v>131</v>
      </c>
      <c r="L152" s="58" t="str">
        <f t="shared" si="4"/>
        <v/>
      </c>
      <c r="M152" s="8" t="str">
        <f t="shared" si="5"/>
        <v>Feb_2017</v>
      </c>
    </row>
    <row r="153" spans="1:13" ht="15.75" x14ac:dyDescent="0.25">
      <c r="A153" s="2" t="s">
        <v>117</v>
      </c>
      <c r="B153" s="8" t="s">
        <v>128</v>
      </c>
      <c r="C153" s="18">
        <v>42771</v>
      </c>
      <c r="D153" s="3" t="s">
        <v>23</v>
      </c>
      <c r="E153" s="9">
        <v>0.29166666666666702</v>
      </c>
      <c r="F153" s="7">
        <v>0.70833333333333304</v>
      </c>
      <c r="G153" s="37"/>
      <c r="H153" s="6">
        <v>8.999999999999984</v>
      </c>
      <c r="I153" s="37"/>
      <c r="J153" s="35" t="s">
        <v>46</v>
      </c>
      <c r="K153" s="41" t="s">
        <v>131</v>
      </c>
      <c r="L153" s="58" t="str">
        <f t="shared" si="4"/>
        <v/>
      </c>
      <c r="M153" s="8" t="str">
        <f t="shared" si="5"/>
        <v>Feb_2017</v>
      </c>
    </row>
    <row r="154" spans="1:13" ht="15.75" x14ac:dyDescent="0.25">
      <c r="A154" s="2" t="s">
        <v>117</v>
      </c>
      <c r="B154" s="8" t="s">
        <v>128</v>
      </c>
      <c r="C154" s="18">
        <v>42774</v>
      </c>
      <c r="D154" s="3" t="s">
        <v>19</v>
      </c>
      <c r="E154" s="9">
        <v>0.41666666666666702</v>
      </c>
      <c r="F154" s="7">
        <v>0.72916666666666696</v>
      </c>
      <c r="G154" s="37"/>
      <c r="H154" s="6">
        <v>6.4999999999999982</v>
      </c>
      <c r="I154" s="37"/>
      <c r="J154" s="32" t="s">
        <v>9</v>
      </c>
      <c r="K154" s="41" t="s">
        <v>142</v>
      </c>
      <c r="L154" s="58" t="str">
        <f t="shared" si="4"/>
        <v/>
      </c>
      <c r="M154" s="8" t="str">
        <f t="shared" si="5"/>
        <v>Feb_2017</v>
      </c>
    </row>
    <row r="155" spans="1:13" ht="15.75" x14ac:dyDescent="0.25">
      <c r="A155" s="2" t="s">
        <v>117</v>
      </c>
      <c r="B155" s="8" t="s">
        <v>128</v>
      </c>
      <c r="C155" s="18">
        <v>42792</v>
      </c>
      <c r="D155" s="3" t="s">
        <v>23</v>
      </c>
      <c r="E155" s="9">
        <v>0.35416666666666702</v>
      </c>
      <c r="F155" s="7">
        <v>0.72916666666666696</v>
      </c>
      <c r="G155" s="37"/>
      <c r="H155" s="6">
        <v>7.9999999999999982</v>
      </c>
      <c r="I155" s="37"/>
      <c r="J155" s="32" t="s">
        <v>46</v>
      </c>
      <c r="K155" s="41" t="s">
        <v>137</v>
      </c>
      <c r="L155" s="58" t="str">
        <f t="shared" si="4"/>
        <v/>
      </c>
      <c r="M155" s="8" t="str">
        <f t="shared" si="5"/>
        <v>Feb_2017</v>
      </c>
    </row>
    <row r="156" spans="1:13" ht="15.75" x14ac:dyDescent="0.25">
      <c r="A156" s="2" t="s">
        <v>117</v>
      </c>
      <c r="B156" s="2" t="s">
        <v>129</v>
      </c>
      <c r="C156" s="18">
        <v>42772</v>
      </c>
      <c r="D156" s="3" t="s">
        <v>21</v>
      </c>
      <c r="E156" s="42">
        <v>0.35416666666666702</v>
      </c>
      <c r="F156" s="42">
        <v>0.75</v>
      </c>
      <c r="G156" s="37"/>
      <c r="H156" s="38">
        <v>8.4999999999999911</v>
      </c>
      <c r="I156" s="37"/>
      <c r="J156" s="40" t="s">
        <v>9</v>
      </c>
      <c r="K156" s="36" t="s">
        <v>140</v>
      </c>
      <c r="L156" s="58" t="str">
        <f t="shared" si="4"/>
        <v/>
      </c>
      <c r="M156" s="8" t="str">
        <f t="shared" si="5"/>
        <v>Feb_2017</v>
      </c>
    </row>
    <row r="157" spans="1:13" ht="15.75" x14ac:dyDescent="0.25">
      <c r="A157" s="2" t="s">
        <v>117</v>
      </c>
      <c r="B157" s="2" t="s">
        <v>129</v>
      </c>
      <c r="C157" s="18">
        <v>42773</v>
      </c>
      <c r="D157" s="3" t="s">
        <v>16</v>
      </c>
      <c r="E157" s="42">
        <v>0.35416666666666702</v>
      </c>
      <c r="F157" s="42">
        <v>0.79166666666666696</v>
      </c>
      <c r="G157" s="37"/>
      <c r="H157" s="38">
        <v>9.4999999999999982</v>
      </c>
      <c r="I157" s="37"/>
      <c r="J157" s="35" t="s">
        <v>9</v>
      </c>
      <c r="K157" s="36" t="s">
        <v>141</v>
      </c>
      <c r="L157" s="58" t="str">
        <f t="shared" si="4"/>
        <v/>
      </c>
      <c r="M157" s="8" t="str">
        <f t="shared" si="5"/>
        <v>Feb_2017</v>
      </c>
    </row>
    <row r="158" spans="1:13" ht="15.75" x14ac:dyDescent="0.25">
      <c r="A158" s="2" t="s">
        <v>117</v>
      </c>
      <c r="B158" s="2" t="s">
        <v>129</v>
      </c>
      <c r="C158" s="18">
        <v>42774</v>
      </c>
      <c r="D158" s="3" t="s">
        <v>19</v>
      </c>
      <c r="E158" s="42">
        <v>0.35416666666666702</v>
      </c>
      <c r="F158" s="42">
        <v>0.72916666666666696</v>
      </c>
      <c r="G158" s="37"/>
      <c r="H158" s="38">
        <v>7.9999999999999982</v>
      </c>
      <c r="I158" s="37"/>
      <c r="J158" s="35" t="s">
        <v>9</v>
      </c>
      <c r="K158" s="36" t="s">
        <v>142</v>
      </c>
      <c r="L158" s="58" t="str">
        <f t="shared" si="4"/>
        <v/>
      </c>
      <c r="M158" s="8" t="str">
        <f t="shared" si="5"/>
        <v>Feb_2017</v>
      </c>
    </row>
    <row r="159" spans="1:13" ht="15.75" x14ac:dyDescent="0.25">
      <c r="A159" s="2" t="s">
        <v>117</v>
      </c>
      <c r="B159" s="2" t="s">
        <v>129</v>
      </c>
      <c r="C159" s="18">
        <v>42775</v>
      </c>
      <c r="D159" s="3" t="s">
        <v>18</v>
      </c>
      <c r="E159" s="42">
        <v>0.35416666666666702</v>
      </c>
      <c r="F159" s="42">
        <v>0.72916666666666696</v>
      </c>
      <c r="G159" s="37"/>
      <c r="H159" s="38">
        <v>7.9999999999999982</v>
      </c>
      <c r="I159" s="37"/>
      <c r="J159" s="40" t="s">
        <v>9</v>
      </c>
      <c r="K159" s="36" t="s">
        <v>143</v>
      </c>
      <c r="L159" s="58" t="str">
        <f t="shared" si="4"/>
        <v/>
      </c>
      <c r="M159" s="8" t="str">
        <f t="shared" si="5"/>
        <v>Feb_2017</v>
      </c>
    </row>
    <row r="160" spans="1:13" ht="15.75" x14ac:dyDescent="0.25">
      <c r="A160" s="2" t="s">
        <v>117</v>
      </c>
      <c r="B160" s="2" t="s">
        <v>129</v>
      </c>
      <c r="C160" s="18">
        <v>42776</v>
      </c>
      <c r="D160" s="3" t="s">
        <v>17</v>
      </c>
      <c r="E160" s="42">
        <v>0.35416666666666702</v>
      </c>
      <c r="F160" s="42">
        <v>0.6875</v>
      </c>
      <c r="G160" s="37"/>
      <c r="H160" s="38">
        <v>6.9999999999999911</v>
      </c>
      <c r="I160" s="37"/>
      <c r="J160" s="40" t="s">
        <v>9</v>
      </c>
      <c r="K160" s="36" t="s">
        <v>144</v>
      </c>
      <c r="L160" s="58" t="str">
        <f t="shared" si="4"/>
        <v/>
      </c>
      <c r="M160" s="8" t="str">
        <f t="shared" si="5"/>
        <v>Feb_2017</v>
      </c>
    </row>
    <row r="161" spans="1:13" ht="15.75" x14ac:dyDescent="0.25">
      <c r="A161" s="2" t="s">
        <v>117</v>
      </c>
      <c r="B161" s="2" t="s">
        <v>129</v>
      </c>
      <c r="C161" s="18">
        <v>42782</v>
      </c>
      <c r="D161" s="3" t="s">
        <v>18</v>
      </c>
      <c r="E161" s="42">
        <v>0.35416666666666702</v>
      </c>
      <c r="F161" s="42">
        <v>0.72916666666666696</v>
      </c>
      <c r="G161" s="37"/>
      <c r="H161" s="38">
        <v>7.9999999999999982</v>
      </c>
      <c r="I161" s="37"/>
      <c r="J161" s="40" t="s">
        <v>9</v>
      </c>
      <c r="K161" s="36" t="s">
        <v>153</v>
      </c>
      <c r="L161" s="58" t="str">
        <f t="shared" si="4"/>
        <v/>
      </c>
      <c r="M161" s="8" t="str">
        <f t="shared" si="5"/>
        <v>Feb_2017</v>
      </c>
    </row>
    <row r="162" spans="1:13" ht="15.75" x14ac:dyDescent="0.25">
      <c r="A162" s="2" t="s">
        <v>117</v>
      </c>
      <c r="B162" s="2" t="s">
        <v>129</v>
      </c>
      <c r="C162" s="18">
        <v>42786</v>
      </c>
      <c r="D162" s="3" t="s">
        <v>21</v>
      </c>
      <c r="E162" s="42">
        <v>0.35416666666666702</v>
      </c>
      <c r="F162" s="42">
        <v>0.72916666666666696</v>
      </c>
      <c r="G162" s="37"/>
      <c r="H162" s="38">
        <v>7.9999999999999982</v>
      </c>
      <c r="I162" s="37"/>
      <c r="J162" s="40" t="s">
        <v>9</v>
      </c>
      <c r="K162" s="36" t="s">
        <v>134</v>
      </c>
      <c r="L162" s="58" t="str">
        <f t="shared" si="4"/>
        <v/>
      </c>
      <c r="M162" s="8" t="str">
        <f t="shared" si="5"/>
        <v>Feb_2017</v>
      </c>
    </row>
    <row r="163" spans="1:13" ht="15.75" x14ac:dyDescent="0.25">
      <c r="A163" s="2" t="s">
        <v>117</v>
      </c>
      <c r="B163" s="2" t="s">
        <v>129</v>
      </c>
      <c r="C163" s="18">
        <v>42787</v>
      </c>
      <c r="D163" s="3" t="s">
        <v>16</v>
      </c>
      <c r="E163" s="42">
        <v>0.35416666666666702</v>
      </c>
      <c r="F163" s="42">
        <v>0.72916666666666696</v>
      </c>
      <c r="G163" s="37"/>
      <c r="H163" s="38">
        <v>7.9999999999999982</v>
      </c>
      <c r="I163" s="37"/>
      <c r="J163" s="40" t="s">
        <v>9</v>
      </c>
      <c r="K163" s="36" t="s">
        <v>135</v>
      </c>
      <c r="L163" s="58" t="str">
        <f t="shared" si="4"/>
        <v/>
      </c>
      <c r="M163" s="8" t="str">
        <f t="shared" si="5"/>
        <v>Feb_2017</v>
      </c>
    </row>
    <row r="164" spans="1:13" ht="15.75" x14ac:dyDescent="0.25">
      <c r="A164" s="2" t="s">
        <v>117</v>
      </c>
      <c r="B164" s="2" t="s">
        <v>129</v>
      </c>
      <c r="C164" s="18">
        <v>42788</v>
      </c>
      <c r="D164" s="3" t="s">
        <v>19</v>
      </c>
      <c r="E164" s="42">
        <v>0.35416666666666702</v>
      </c>
      <c r="F164" s="42">
        <v>0.72916666666666696</v>
      </c>
      <c r="G164" s="37"/>
      <c r="H164" s="38">
        <v>7.9999999999999982</v>
      </c>
      <c r="I164" s="37"/>
      <c r="J164" s="40" t="s">
        <v>9</v>
      </c>
      <c r="K164" s="36" t="s">
        <v>150</v>
      </c>
      <c r="L164" s="58" t="str">
        <f t="shared" si="4"/>
        <v/>
      </c>
      <c r="M164" s="8" t="str">
        <f t="shared" si="5"/>
        <v>Feb_2017</v>
      </c>
    </row>
    <row r="165" spans="1:13" ht="15.75" x14ac:dyDescent="0.25">
      <c r="A165" s="2" t="s">
        <v>117</v>
      </c>
      <c r="B165" s="2" t="s">
        <v>129</v>
      </c>
      <c r="C165" s="18">
        <v>42789</v>
      </c>
      <c r="D165" s="3" t="s">
        <v>18</v>
      </c>
      <c r="E165" s="42">
        <v>0.35416666666666702</v>
      </c>
      <c r="F165" s="42">
        <v>0.72916666666666696</v>
      </c>
      <c r="G165" s="37"/>
      <c r="H165" s="38">
        <v>7.9999999999999982</v>
      </c>
      <c r="I165" s="37"/>
      <c r="J165" s="40" t="s">
        <v>9</v>
      </c>
      <c r="K165" s="36" t="s">
        <v>151</v>
      </c>
      <c r="L165" s="58" t="str">
        <f t="shared" si="4"/>
        <v/>
      </c>
      <c r="M165" s="8" t="str">
        <f t="shared" si="5"/>
        <v>Feb_2017</v>
      </c>
    </row>
    <row r="166" spans="1:13" ht="15.75" x14ac:dyDescent="0.25">
      <c r="A166" s="2" t="s">
        <v>117</v>
      </c>
      <c r="B166" s="2" t="s">
        <v>129</v>
      </c>
      <c r="C166" s="18">
        <v>42790</v>
      </c>
      <c r="D166" s="3" t="s">
        <v>17</v>
      </c>
      <c r="E166" s="42">
        <v>0.35416666666666702</v>
      </c>
      <c r="F166" s="42">
        <v>0.72916666666666696</v>
      </c>
      <c r="G166" s="37"/>
      <c r="H166" s="38">
        <v>7.9999999999999982</v>
      </c>
      <c r="I166" s="37"/>
      <c r="J166" s="35" t="s">
        <v>9</v>
      </c>
      <c r="K166" s="36" t="s">
        <v>152</v>
      </c>
      <c r="L166" s="58" t="str">
        <f t="shared" si="4"/>
        <v/>
      </c>
      <c r="M166" s="8" t="str">
        <f t="shared" si="5"/>
        <v>Feb_2017</v>
      </c>
    </row>
    <row r="167" spans="1:13" ht="15.75" x14ac:dyDescent="0.25">
      <c r="A167" s="2" t="s">
        <v>117</v>
      </c>
      <c r="B167" s="2" t="s">
        <v>129</v>
      </c>
      <c r="C167" s="18">
        <v>42791</v>
      </c>
      <c r="D167" s="3" t="s">
        <v>24</v>
      </c>
      <c r="E167" s="42">
        <v>0.35416666666666702</v>
      </c>
      <c r="F167" s="42">
        <v>0.72916666666666696</v>
      </c>
      <c r="G167" s="37"/>
      <c r="H167" s="38">
        <v>7.9999999999999982</v>
      </c>
      <c r="I167" s="37"/>
      <c r="J167" s="35" t="s">
        <v>46</v>
      </c>
      <c r="K167" s="36" t="s">
        <v>136</v>
      </c>
      <c r="L167" s="58" t="str">
        <f t="shared" si="4"/>
        <v/>
      </c>
      <c r="M167" s="8" t="str">
        <f t="shared" si="5"/>
        <v>Feb_2017</v>
      </c>
    </row>
    <row r="168" spans="1:13" ht="15.75" x14ac:dyDescent="0.25">
      <c r="A168" s="2" t="s">
        <v>117</v>
      </c>
      <c r="B168" s="2" t="s">
        <v>129</v>
      </c>
      <c r="C168" s="18">
        <v>42792</v>
      </c>
      <c r="D168" s="3" t="s">
        <v>23</v>
      </c>
      <c r="E168" s="42">
        <v>0.35416666666666702</v>
      </c>
      <c r="F168" s="42">
        <v>0.72916666666666696</v>
      </c>
      <c r="G168" s="37"/>
      <c r="H168" s="38">
        <v>7.9999999999999982</v>
      </c>
      <c r="I168" s="37"/>
      <c r="J168" s="35" t="s">
        <v>46</v>
      </c>
      <c r="K168" s="36" t="s">
        <v>137</v>
      </c>
      <c r="L168" s="58" t="str">
        <f t="shared" si="4"/>
        <v/>
      </c>
      <c r="M168" s="8" t="str">
        <f t="shared" si="5"/>
        <v>Feb_2017</v>
      </c>
    </row>
    <row r="169" spans="1:13" ht="15.75" x14ac:dyDescent="0.25">
      <c r="A169" s="2" t="s">
        <v>117</v>
      </c>
      <c r="B169" s="2" t="s">
        <v>129</v>
      </c>
      <c r="C169" s="18">
        <v>42793</v>
      </c>
      <c r="D169" s="3" t="s">
        <v>21</v>
      </c>
      <c r="E169" s="42">
        <v>0.35416666666666702</v>
      </c>
      <c r="F169" s="42">
        <v>0.72916666666666696</v>
      </c>
      <c r="G169" s="37"/>
      <c r="H169" s="38">
        <v>7.9999999999999982</v>
      </c>
      <c r="I169" s="37"/>
      <c r="J169" s="40" t="s">
        <v>9</v>
      </c>
      <c r="K169" s="36" t="s">
        <v>138</v>
      </c>
      <c r="L169" s="58" t="str">
        <f t="shared" si="4"/>
        <v/>
      </c>
      <c r="M169" s="8" t="str">
        <f t="shared" si="5"/>
        <v>Feb_2017</v>
      </c>
    </row>
    <row r="170" spans="1:13" ht="15.75" x14ac:dyDescent="0.25">
      <c r="A170" s="2" t="s">
        <v>117</v>
      </c>
      <c r="B170" s="2" t="s">
        <v>129</v>
      </c>
      <c r="C170" s="18">
        <v>42794</v>
      </c>
      <c r="D170" s="3" t="s">
        <v>16</v>
      </c>
      <c r="E170" s="42">
        <v>0.35416666666666702</v>
      </c>
      <c r="F170" s="42">
        <v>0.89583333333333304</v>
      </c>
      <c r="G170" s="37"/>
      <c r="H170" s="38">
        <v>11.999999999999986</v>
      </c>
      <c r="I170" s="37"/>
      <c r="J170" s="40" t="s">
        <v>9</v>
      </c>
      <c r="K170" s="41" t="s">
        <v>139</v>
      </c>
      <c r="L170" s="58" t="str">
        <f t="shared" si="4"/>
        <v/>
      </c>
      <c r="M170" s="8" t="str">
        <f t="shared" si="5"/>
        <v>Feb_2017</v>
      </c>
    </row>
    <row r="171" spans="1:13" ht="15.75" x14ac:dyDescent="0.25">
      <c r="A171" s="2" t="s">
        <v>117</v>
      </c>
      <c r="B171" s="8" t="s">
        <v>130</v>
      </c>
      <c r="C171" s="18">
        <v>42771</v>
      </c>
      <c r="D171" s="3" t="s">
        <v>23</v>
      </c>
      <c r="E171" s="9">
        <v>0.33333333333333298</v>
      </c>
      <c r="F171" s="7">
        <v>0.70833333333333304</v>
      </c>
      <c r="G171" s="37"/>
      <c r="H171" s="6">
        <v>8.0000000000000018</v>
      </c>
      <c r="I171" s="37"/>
      <c r="J171" s="35" t="s">
        <v>46</v>
      </c>
      <c r="K171" s="41" t="s">
        <v>131</v>
      </c>
      <c r="L171" s="58" t="str">
        <f t="shared" si="4"/>
        <v/>
      </c>
      <c r="M171" s="8" t="str">
        <f t="shared" si="5"/>
        <v>Feb_2017</v>
      </c>
    </row>
    <row r="172" spans="1:13" ht="15.75" x14ac:dyDescent="0.25">
      <c r="A172" s="2" t="s">
        <v>117</v>
      </c>
      <c r="B172" s="8" t="s">
        <v>130</v>
      </c>
      <c r="C172" s="18">
        <v>42772</v>
      </c>
      <c r="D172" s="3" t="s">
        <v>21</v>
      </c>
      <c r="E172" s="9">
        <v>0.35416666666666702</v>
      </c>
      <c r="F172" s="7">
        <v>0.75</v>
      </c>
      <c r="G172" s="37"/>
      <c r="H172" s="6">
        <v>8.4999999999999911</v>
      </c>
      <c r="I172" s="37"/>
      <c r="J172" s="32" t="s">
        <v>9</v>
      </c>
      <c r="K172" s="41" t="s">
        <v>140</v>
      </c>
      <c r="L172" s="58" t="str">
        <f t="shared" si="4"/>
        <v/>
      </c>
      <c r="M172" s="8" t="str">
        <f t="shared" si="5"/>
        <v>Feb_2017</v>
      </c>
    </row>
    <row r="173" spans="1:13" ht="15.75" x14ac:dyDescent="0.25">
      <c r="A173" s="2" t="s">
        <v>117</v>
      </c>
      <c r="B173" s="8" t="s">
        <v>130</v>
      </c>
      <c r="C173" s="18">
        <v>42791</v>
      </c>
      <c r="D173" s="3" t="s">
        <v>24</v>
      </c>
      <c r="E173" s="9">
        <v>0.54166666666666696</v>
      </c>
      <c r="F173" s="7">
        <v>0.79166666666666696</v>
      </c>
      <c r="G173" s="37"/>
      <c r="H173" s="6">
        <v>6</v>
      </c>
      <c r="I173" s="37"/>
      <c r="J173" s="35" t="s">
        <v>46</v>
      </c>
      <c r="K173" s="41" t="s">
        <v>136</v>
      </c>
      <c r="L173" s="58" t="str">
        <f t="shared" si="4"/>
        <v/>
      </c>
      <c r="M173" s="8" t="str">
        <f t="shared" si="5"/>
        <v>Feb_2017</v>
      </c>
    </row>
    <row r="174" spans="1:13" ht="15.75" x14ac:dyDescent="0.25">
      <c r="A174" s="2" t="s">
        <v>117</v>
      </c>
      <c r="B174" s="8" t="s">
        <v>130</v>
      </c>
      <c r="C174" s="18">
        <v>42792</v>
      </c>
      <c r="D174" s="3" t="s">
        <v>23</v>
      </c>
      <c r="E174" s="9">
        <v>0.35416666666666702</v>
      </c>
      <c r="F174" s="7">
        <v>0.72916666666666696</v>
      </c>
      <c r="G174" s="37"/>
      <c r="H174" s="6">
        <v>7.9999999999999982</v>
      </c>
      <c r="I174" s="37"/>
      <c r="J174" s="35" t="s">
        <v>46</v>
      </c>
      <c r="K174" s="41" t="s">
        <v>137</v>
      </c>
      <c r="L174" s="58" t="str">
        <f t="shared" si="4"/>
        <v/>
      </c>
      <c r="M174" s="8" t="str">
        <f t="shared" si="5"/>
        <v>Feb_2017</v>
      </c>
    </row>
    <row r="175" spans="1:13" ht="15.75" x14ac:dyDescent="0.25">
      <c r="A175" s="2" t="s">
        <v>0</v>
      </c>
      <c r="B175" s="8" t="s">
        <v>10</v>
      </c>
      <c r="C175" s="18">
        <v>42795</v>
      </c>
      <c r="D175" s="3" t="s">
        <v>19</v>
      </c>
      <c r="E175" s="9">
        <v>0.70833333333333304</v>
      </c>
      <c r="F175" s="9">
        <v>0.91666666666666696</v>
      </c>
      <c r="G175" s="37"/>
      <c r="H175" s="6">
        <v>5.0000000000000107</v>
      </c>
      <c r="I175" s="37"/>
      <c r="J175" s="32" t="s">
        <v>9</v>
      </c>
      <c r="K175" s="41" t="s">
        <v>35</v>
      </c>
      <c r="L175" s="58">
        <f t="shared" si="4"/>
        <v>1</v>
      </c>
      <c r="M175" s="8" t="str">
        <f t="shared" si="5"/>
        <v>Mar_2017</v>
      </c>
    </row>
    <row r="176" spans="1:13" ht="15.75" x14ac:dyDescent="0.25">
      <c r="A176" s="2" t="s">
        <v>0</v>
      </c>
      <c r="B176" s="8" t="s">
        <v>10</v>
      </c>
      <c r="C176" s="18">
        <v>42796</v>
      </c>
      <c r="D176" s="3" t="s">
        <v>18</v>
      </c>
      <c r="E176" s="9">
        <v>0.72916666666666696</v>
      </c>
      <c r="F176" s="9">
        <v>0.91666666666666696</v>
      </c>
      <c r="G176" s="37"/>
      <c r="H176" s="6">
        <v>4.4999999999999964</v>
      </c>
      <c r="I176" s="37"/>
      <c r="J176" s="32" t="s">
        <v>9</v>
      </c>
      <c r="K176" s="41" t="s">
        <v>36</v>
      </c>
      <c r="L176" s="58">
        <f t="shared" si="4"/>
        <v>1</v>
      </c>
      <c r="M176" s="8" t="str">
        <f t="shared" si="5"/>
        <v>Mar_2017</v>
      </c>
    </row>
    <row r="177" spans="1:13" ht="15.75" x14ac:dyDescent="0.25">
      <c r="A177" s="2" t="s">
        <v>0</v>
      </c>
      <c r="B177" s="8" t="s">
        <v>10</v>
      </c>
      <c r="C177" s="18">
        <v>42797</v>
      </c>
      <c r="D177" s="3" t="s">
        <v>17</v>
      </c>
      <c r="E177" s="9">
        <v>0.72916666666666696</v>
      </c>
      <c r="F177" s="9">
        <v>0.85416666666666696</v>
      </c>
      <c r="G177" s="37"/>
      <c r="H177" s="6">
        <v>2.9999999999999947</v>
      </c>
      <c r="I177" s="37"/>
      <c r="J177" s="32" t="s">
        <v>9</v>
      </c>
      <c r="K177" s="41" t="s">
        <v>37</v>
      </c>
      <c r="L177" s="58">
        <f t="shared" si="4"/>
        <v>1</v>
      </c>
      <c r="M177" s="8" t="str">
        <f t="shared" si="5"/>
        <v>Mar_2017</v>
      </c>
    </row>
    <row r="178" spans="1:13" ht="15.75" x14ac:dyDescent="0.25">
      <c r="A178" s="2" t="s">
        <v>0</v>
      </c>
      <c r="B178" s="8" t="s">
        <v>10</v>
      </c>
      <c r="C178" s="18">
        <v>42798</v>
      </c>
      <c r="D178" s="3" t="s">
        <v>24</v>
      </c>
      <c r="E178" s="9">
        <v>0.39583333333333298</v>
      </c>
      <c r="F178" s="9">
        <v>0.72916666666666696</v>
      </c>
      <c r="G178" s="37"/>
      <c r="H178" s="6">
        <v>8.000000000000016</v>
      </c>
      <c r="I178" s="37"/>
      <c r="J178" s="32" t="s">
        <v>46</v>
      </c>
      <c r="K178" s="41" t="s">
        <v>154</v>
      </c>
      <c r="L178" s="58">
        <f t="shared" si="4"/>
        <v>1</v>
      </c>
      <c r="M178" s="8" t="str">
        <f t="shared" si="5"/>
        <v>Mar_2017</v>
      </c>
    </row>
    <row r="179" spans="1:13" ht="15.75" x14ac:dyDescent="0.25">
      <c r="A179" s="2" t="s">
        <v>0</v>
      </c>
      <c r="B179" s="8" t="s">
        <v>10</v>
      </c>
      <c r="C179" s="18">
        <v>42804</v>
      </c>
      <c r="D179" s="3" t="s">
        <v>17</v>
      </c>
      <c r="E179" s="9">
        <v>0.72916666666666696</v>
      </c>
      <c r="F179" s="9">
        <v>0.79166666666666696</v>
      </c>
      <c r="G179" s="37"/>
      <c r="H179" s="6">
        <v>1.4999999999999947</v>
      </c>
      <c r="I179" s="37"/>
      <c r="J179" s="32" t="s">
        <v>9</v>
      </c>
      <c r="K179" s="41" t="s">
        <v>155</v>
      </c>
      <c r="L179" s="58" t="str">
        <f t="shared" si="4"/>
        <v/>
      </c>
      <c r="M179" s="8" t="str">
        <f t="shared" si="5"/>
        <v>Mar_2017</v>
      </c>
    </row>
    <row r="180" spans="1:13" ht="15.75" x14ac:dyDescent="0.25">
      <c r="A180" s="2" t="s">
        <v>0</v>
      </c>
      <c r="B180" s="8" t="s">
        <v>10</v>
      </c>
      <c r="C180" s="18">
        <v>42810</v>
      </c>
      <c r="D180" s="3" t="s">
        <v>18</v>
      </c>
      <c r="E180" s="9">
        <v>0.70833333333333304</v>
      </c>
      <c r="F180" s="9">
        <v>0.91666666666666696</v>
      </c>
      <c r="G180" s="37"/>
      <c r="H180" s="6">
        <v>5.0000000000000107</v>
      </c>
      <c r="I180" s="37"/>
      <c r="J180" s="32" t="s">
        <v>9</v>
      </c>
      <c r="K180" s="41" t="s">
        <v>38</v>
      </c>
      <c r="L180" s="58">
        <f t="shared" si="4"/>
        <v>1</v>
      </c>
      <c r="M180" s="8" t="str">
        <f t="shared" si="5"/>
        <v>Mar_2017</v>
      </c>
    </row>
    <row r="181" spans="1:13" ht="15.75" x14ac:dyDescent="0.25">
      <c r="A181" s="2" t="s">
        <v>0</v>
      </c>
      <c r="B181" s="8" t="s">
        <v>10</v>
      </c>
      <c r="C181" s="18">
        <v>42814</v>
      </c>
      <c r="D181" s="3" t="s">
        <v>21</v>
      </c>
      <c r="E181" s="9">
        <v>0.70833333333333304</v>
      </c>
      <c r="F181" s="9">
        <v>0.78125</v>
      </c>
      <c r="G181" s="37"/>
      <c r="H181" s="6">
        <v>1.7500000000000053</v>
      </c>
      <c r="I181" s="37"/>
      <c r="J181" s="32" t="s">
        <v>9</v>
      </c>
      <c r="K181" s="41" t="s">
        <v>156</v>
      </c>
      <c r="L181" s="58" t="str">
        <f t="shared" si="4"/>
        <v/>
      </c>
      <c r="M181" s="8" t="str">
        <f t="shared" si="5"/>
        <v>Mar_2017</v>
      </c>
    </row>
    <row r="182" spans="1:13" ht="15.75" x14ac:dyDescent="0.25">
      <c r="A182" s="2" t="s">
        <v>0</v>
      </c>
      <c r="B182" s="8" t="s">
        <v>10</v>
      </c>
      <c r="C182" s="18">
        <v>42815</v>
      </c>
      <c r="D182" s="3" t="s">
        <v>16</v>
      </c>
      <c r="E182" s="9">
        <v>0.70833333333333304</v>
      </c>
      <c r="F182" s="9">
        <v>0.90625</v>
      </c>
      <c r="G182" s="37"/>
      <c r="H182" s="6">
        <v>4.7500000000000036</v>
      </c>
      <c r="I182" s="37"/>
      <c r="J182" s="32" t="s">
        <v>9</v>
      </c>
      <c r="K182" s="41" t="s">
        <v>39</v>
      </c>
      <c r="L182" s="58">
        <f t="shared" si="4"/>
        <v>1</v>
      </c>
      <c r="M182" s="8" t="str">
        <f t="shared" si="5"/>
        <v>Mar_2017</v>
      </c>
    </row>
    <row r="183" spans="1:13" ht="15.75" x14ac:dyDescent="0.25">
      <c r="A183" s="2" t="s">
        <v>0</v>
      </c>
      <c r="B183" s="8" t="s">
        <v>10</v>
      </c>
      <c r="C183" s="18">
        <v>42816</v>
      </c>
      <c r="D183" s="3" t="s">
        <v>19</v>
      </c>
      <c r="E183" s="9">
        <v>0.73958333333333304</v>
      </c>
      <c r="F183" s="9">
        <v>0.8125</v>
      </c>
      <c r="G183" s="37"/>
      <c r="H183" s="6">
        <v>1.7500000000000053</v>
      </c>
      <c r="I183" s="37"/>
      <c r="J183" s="32" t="s">
        <v>9</v>
      </c>
      <c r="K183" s="41" t="s">
        <v>44</v>
      </c>
      <c r="L183" s="58" t="str">
        <f t="shared" si="4"/>
        <v/>
      </c>
      <c r="M183" s="8" t="str">
        <f t="shared" si="5"/>
        <v>Mar_2017</v>
      </c>
    </row>
    <row r="184" spans="1:13" ht="15.75" x14ac:dyDescent="0.25">
      <c r="A184" s="2" t="s">
        <v>0</v>
      </c>
      <c r="B184" s="8" t="s">
        <v>10</v>
      </c>
      <c r="C184" s="18">
        <v>42817</v>
      </c>
      <c r="D184" s="3" t="s">
        <v>18</v>
      </c>
      <c r="E184" s="9">
        <v>0.72916666666666696</v>
      </c>
      <c r="F184" s="9">
        <v>0.77083333333333304</v>
      </c>
      <c r="G184" s="37"/>
      <c r="H184" s="6">
        <v>0.99999999999998046</v>
      </c>
      <c r="I184" s="37"/>
      <c r="J184" s="32" t="s">
        <v>9</v>
      </c>
      <c r="K184" s="41" t="s">
        <v>157</v>
      </c>
      <c r="L184" s="58" t="str">
        <f t="shared" si="4"/>
        <v/>
      </c>
      <c r="M184" s="8" t="str">
        <f t="shared" si="5"/>
        <v>Mar_2017</v>
      </c>
    </row>
    <row r="185" spans="1:13" ht="15.75" x14ac:dyDescent="0.25">
      <c r="A185" s="2" t="s">
        <v>0</v>
      </c>
      <c r="B185" s="8" t="s">
        <v>10</v>
      </c>
      <c r="C185" s="18">
        <v>42819</v>
      </c>
      <c r="D185" s="3" t="s">
        <v>24</v>
      </c>
      <c r="E185" s="9">
        <v>0.35416666666666702</v>
      </c>
      <c r="F185" s="9">
        <v>0.72916666666666696</v>
      </c>
      <c r="G185" s="37"/>
      <c r="H185" s="6">
        <v>7.9999999999999982</v>
      </c>
      <c r="I185" s="37"/>
      <c r="J185" s="32" t="s">
        <v>46</v>
      </c>
      <c r="K185" s="41" t="s">
        <v>158</v>
      </c>
      <c r="L185" s="58">
        <f t="shared" si="4"/>
        <v>1</v>
      </c>
      <c r="M185" s="8" t="str">
        <f t="shared" si="5"/>
        <v>Mar_2017</v>
      </c>
    </row>
    <row r="186" spans="1:13" ht="15.75" x14ac:dyDescent="0.25">
      <c r="A186" s="2" t="s">
        <v>0</v>
      </c>
      <c r="B186" s="8" t="s">
        <v>10</v>
      </c>
      <c r="C186" s="18">
        <v>42821</v>
      </c>
      <c r="D186" s="3" t="s">
        <v>21</v>
      </c>
      <c r="E186" s="9">
        <v>0.70833333333333304</v>
      </c>
      <c r="F186" s="9">
        <v>0.89583333333333304</v>
      </c>
      <c r="G186" s="37"/>
      <c r="H186" s="6">
        <v>4.4999999999999964</v>
      </c>
      <c r="I186" s="37"/>
      <c r="J186" s="32" t="s">
        <v>9</v>
      </c>
      <c r="K186" s="41" t="s">
        <v>40</v>
      </c>
      <c r="L186" s="58">
        <f t="shared" si="4"/>
        <v>1</v>
      </c>
      <c r="M186" s="8" t="str">
        <f t="shared" si="5"/>
        <v>Mar_2017</v>
      </c>
    </row>
    <row r="187" spans="1:13" ht="15.75" x14ac:dyDescent="0.25">
      <c r="A187" s="2" t="s">
        <v>0</v>
      </c>
      <c r="B187" s="8" t="s">
        <v>10</v>
      </c>
      <c r="C187" s="18">
        <v>42822</v>
      </c>
      <c r="D187" s="3" t="s">
        <v>16</v>
      </c>
      <c r="E187" s="9">
        <v>0.72916666666666696</v>
      </c>
      <c r="F187" s="9">
        <v>0.79166666666666696</v>
      </c>
      <c r="G187" s="37"/>
      <c r="H187" s="6">
        <v>1.4999999999999947</v>
      </c>
      <c r="I187" s="37"/>
      <c r="J187" s="32" t="s">
        <v>9</v>
      </c>
      <c r="K187" s="41" t="s">
        <v>45</v>
      </c>
      <c r="L187" s="58" t="str">
        <f t="shared" si="4"/>
        <v/>
      </c>
      <c r="M187" s="8" t="str">
        <f t="shared" si="5"/>
        <v>Mar_2017</v>
      </c>
    </row>
    <row r="188" spans="1:13" ht="15.75" x14ac:dyDescent="0.25">
      <c r="A188" s="2" t="s">
        <v>0</v>
      </c>
      <c r="B188" s="8" t="s">
        <v>10</v>
      </c>
      <c r="C188" s="18">
        <v>42824</v>
      </c>
      <c r="D188" s="3" t="s">
        <v>18</v>
      </c>
      <c r="E188" s="9">
        <v>0.72916666666666696</v>
      </c>
      <c r="F188" s="9">
        <v>0.89583333333333304</v>
      </c>
      <c r="G188" s="37"/>
      <c r="H188" s="6">
        <v>3.9999999999999822</v>
      </c>
      <c r="I188" s="37"/>
      <c r="J188" s="32" t="s">
        <v>9</v>
      </c>
      <c r="K188" s="41" t="s">
        <v>41</v>
      </c>
      <c r="L188" s="58">
        <f t="shared" si="4"/>
        <v>1</v>
      </c>
      <c r="M188" s="8" t="str">
        <f t="shared" si="5"/>
        <v>Mar_2017</v>
      </c>
    </row>
    <row r="189" spans="1:13" ht="15.75" x14ac:dyDescent="0.25">
      <c r="A189" s="2" t="s">
        <v>0</v>
      </c>
      <c r="B189" s="8" t="s">
        <v>12</v>
      </c>
      <c r="C189" s="18">
        <v>42795</v>
      </c>
      <c r="D189" s="3" t="s">
        <v>19</v>
      </c>
      <c r="E189" s="9">
        <v>0.70833333333333304</v>
      </c>
      <c r="F189" s="9">
        <v>0.89583333333333304</v>
      </c>
      <c r="G189" s="37"/>
      <c r="H189" s="6">
        <v>4.4999999999999964</v>
      </c>
      <c r="I189" s="37"/>
      <c r="J189" s="32" t="s">
        <v>9</v>
      </c>
      <c r="K189" s="41" t="s">
        <v>35</v>
      </c>
      <c r="L189" s="58">
        <f t="shared" si="4"/>
        <v>1</v>
      </c>
      <c r="M189" s="8" t="str">
        <f t="shared" si="5"/>
        <v>Mar_2017</v>
      </c>
    </row>
    <row r="190" spans="1:13" ht="15.75" x14ac:dyDescent="0.25">
      <c r="A190" s="2" t="s">
        <v>0</v>
      </c>
      <c r="B190" s="8" t="s">
        <v>12</v>
      </c>
      <c r="C190" s="18">
        <v>42796</v>
      </c>
      <c r="D190" s="3" t="s">
        <v>18</v>
      </c>
      <c r="E190" s="9">
        <v>0.72916666666666696</v>
      </c>
      <c r="F190" s="9">
        <v>0.89583333333333304</v>
      </c>
      <c r="G190" s="37"/>
      <c r="H190" s="6">
        <v>3.9999999999999822</v>
      </c>
      <c r="I190" s="37"/>
      <c r="J190" s="32" t="s">
        <v>9</v>
      </c>
      <c r="K190" s="41" t="s">
        <v>36</v>
      </c>
      <c r="L190" s="58">
        <f t="shared" si="4"/>
        <v>1</v>
      </c>
      <c r="M190" s="8" t="str">
        <f t="shared" si="5"/>
        <v>Mar_2017</v>
      </c>
    </row>
    <row r="191" spans="1:13" ht="15.75" x14ac:dyDescent="0.25">
      <c r="A191" s="2" t="s">
        <v>0</v>
      </c>
      <c r="B191" s="8" t="s">
        <v>12</v>
      </c>
      <c r="C191" s="18">
        <v>42797</v>
      </c>
      <c r="D191" s="3" t="s">
        <v>17</v>
      </c>
      <c r="E191" s="9">
        <v>0.70833333333333304</v>
      </c>
      <c r="F191" s="9">
        <v>0.72916666666666696</v>
      </c>
      <c r="G191" s="37"/>
      <c r="H191" s="6">
        <v>0.50000000000001243</v>
      </c>
      <c r="I191" s="37"/>
      <c r="J191" s="32" t="s">
        <v>9</v>
      </c>
      <c r="K191" s="41" t="s">
        <v>37</v>
      </c>
      <c r="L191" s="58" t="str">
        <f t="shared" si="4"/>
        <v/>
      </c>
      <c r="M191" s="8" t="str">
        <f t="shared" si="5"/>
        <v>Mar_2017</v>
      </c>
    </row>
    <row r="192" spans="1:13" ht="15.75" x14ac:dyDescent="0.25">
      <c r="A192" s="2" t="s">
        <v>0</v>
      </c>
      <c r="B192" s="8" t="s">
        <v>12</v>
      </c>
      <c r="C192" s="18">
        <v>42798</v>
      </c>
      <c r="D192" s="3" t="s">
        <v>24</v>
      </c>
      <c r="E192" s="9">
        <v>0.41666666666666702</v>
      </c>
      <c r="F192" s="9">
        <v>0.72916666666666696</v>
      </c>
      <c r="G192" s="37"/>
      <c r="H192" s="6">
        <v>7.4999999999999982</v>
      </c>
      <c r="I192" s="37"/>
      <c r="J192" s="32" t="s">
        <v>46</v>
      </c>
      <c r="K192" s="41" t="s">
        <v>154</v>
      </c>
      <c r="L192" s="58">
        <f t="shared" si="4"/>
        <v>1</v>
      </c>
      <c r="M192" s="8" t="str">
        <f t="shared" si="5"/>
        <v>Mar_2017</v>
      </c>
    </row>
    <row r="193" spans="1:13" ht="15.75" x14ac:dyDescent="0.25">
      <c r="A193" s="2" t="s">
        <v>0</v>
      </c>
      <c r="B193" s="8" t="s">
        <v>12</v>
      </c>
      <c r="C193" s="18">
        <v>42804</v>
      </c>
      <c r="D193" s="3" t="s">
        <v>17</v>
      </c>
      <c r="E193" s="9">
        <v>0.72916666666666696</v>
      </c>
      <c r="F193" s="9">
        <v>0.79166666666666696</v>
      </c>
      <c r="G193" s="37"/>
      <c r="H193" s="6">
        <v>1.4999999999999947</v>
      </c>
      <c r="I193" s="37"/>
      <c r="J193" s="32" t="s">
        <v>9</v>
      </c>
      <c r="K193" s="41" t="s">
        <v>155</v>
      </c>
      <c r="L193" s="58" t="str">
        <f t="shared" si="4"/>
        <v/>
      </c>
      <c r="M193" s="8" t="str">
        <f t="shared" si="5"/>
        <v>Mar_2017</v>
      </c>
    </row>
    <row r="194" spans="1:13" ht="15.75" x14ac:dyDescent="0.25">
      <c r="A194" s="10" t="s">
        <v>0</v>
      </c>
      <c r="B194" s="13" t="s">
        <v>12</v>
      </c>
      <c r="C194" s="18">
        <v>42806</v>
      </c>
      <c r="D194" s="3" t="s">
        <v>23</v>
      </c>
      <c r="E194" s="9">
        <v>0.41666666666666702</v>
      </c>
      <c r="F194" s="9">
        <v>0.54166666666666696</v>
      </c>
      <c r="G194" s="37"/>
      <c r="H194" s="6">
        <v>2.9999999999999987</v>
      </c>
      <c r="I194" s="37"/>
      <c r="J194" s="32" t="s">
        <v>46</v>
      </c>
      <c r="K194" s="41" t="s">
        <v>159</v>
      </c>
      <c r="L194" s="58">
        <f t="shared" si="4"/>
        <v>1</v>
      </c>
      <c r="M194" s="8" t="str">
        <f t="shared" si="5"/>
        <v>Mar_2017</v>
      </c>
    </row>
    <row r="195" spans="1:13" ht="15.75" x14ac:dyDescent="0.25">
      <c r="A195" s="2" t="s">
        <v>0</v>
      </c>
      <c r="B195" s="8" t="s">
        <v>12</v>
      </c>
      <c r="C195" s="18">
        <v>42810</v>
      </c>
      <c r="D195" s="3" t="s">
        <v>18</v>
      </c>
      <c r="E195" s="9">
        <v>0.72916666666666696</v>
      </c>
      <c r="F195" s="9">
        <v>0.91666666666666696</v>
      </c>
      <c r="G195" s="37"/>
      <c r="H195" s="6">
        <v>4.4999999999999964</v>
      </c>
      <c r="I195" s="37"/>
      <c r="J195" s="32" t="s">
        <v>9</v>
      </c>
      <c r="K195" s="41" t="s">
        <v>38</v>
      </c>
      <c r="L195" s="58">
        <f t="shared" ref="L195:L258" si="6">IF(AND($A195="Perm Staff Onsite",$H195&gt;=2),1,"")</f>
        <v>1</v>
      </c>
      <c r="M195" s="8" t="str">
        <f t="shared" ref="M195:M258" si="7">IF($C195="","",TEXT(DATE(YEAR($C195),MONTH($C195),DAY($C195)),"MMM")&amp;"_"&amp;YEAR($C195))</f>
        <v>Mar_2017</v>
      </c>
    </row>
    <row r="196" spans="1:13" ht="15.75" x14ac:dyDescent="0.25">
      <c r="A196" s="2" t="s">
        <v>0</v>
      </c>
      <c r="B196" s="8" t="s">
        <v>12</v>
      </c>
      <c r="C196" s="18">
        <v>42814</v>
      </c>
      <c r="D196" s="3" t="s">
        <v>21</v>
      </c>
      <c r="E196" s="9">
        <v>0.70833333333333304</v>
      </c>
      <c r="F196" s="9">
        <v>0.78125</v>
      </c>
      <c r="G196" s="37"/>
      <c r="H196" s="6">
        <v>1.7500000000000053</v>
      </c>
      <c r="I196" s="37"/>
      <c r="J196" s="32" t="s">
        <v>9</v>
      </c>
      <c r="K196" s="41" t="s">
        <v>156</v>
      </c>
      <c r="L196" s="58" t="str">
        <f t="shared" si="6"/>
        <v/>
      </c>
      <c r="M196" s="8" t="str">
        <f t="shared" si="7"/>
        <v>Mar_2017</v>
      </c>
    </row>
    <row r="197" spans="1:13" ht="15.75" x14ac:dyDescent="0.25">
      <c r="A197" s="2" t="s">
        <v>0</v>
      </c>
      <c r="B197" s="8" t="s">
        <v>12</v>
      </c>
      <c r="C197" s="18">
        <v>42815</v>
      </c>
      <c r="D197" s="3" t="s">
        <v>16</v>
      </c>
      <c r="E197" s="9">
        <v>0.70833333333333304</v>
      </c>
      <c r="F197" s="9">
        <v>0.89583333333333304</v>
      </c>
      <c r="G197" s="37"/>
      <c r="H197" s="6">
        <v>4.4999999999999964</v>
      </c>
      <c r="I197" s="37"/>
      <c r="J197" s="32" t="s">
        <v>9</v>
      </c>
      <c r="K197" s="41" t="s">
        <v>39</v>
      </c>
      <c r="L197" s="58">
        <f t="shared" si="6"/>
        <v>1</v>
      </c>
      <c r="M197" s="8" t="str">
        <f t="shared" si="7"/>
        <v>Mar_2017</v>
      </c>
    </row>
    <row r="198" spans="1:13" ht="15.75" x14ac:dyDescent="0.25">
      <c r="A198" s="2" t="s">
        <v>0</v>
      </c>
      <c r="B198" s="8" t="s">
        <v>12</v>
      </c>
      <c r="C198" s="18">
        <v>42816</v>
      </c>
      <c r="D198" s="3" t="s">
        <v>19</v>
      </c>
      <c r="E198" s="9">
        <v>0.70833333333333304</v>
      </c>
      <c r="F198" s="9">
        <v>0.77083333333333304</v>
      </c>
      <c r="G198" s="37"/>
      <c r="H198" s="6">
        <v>1.4999999999999982</v>
      </c>
      <c r="I198" s="37"/>
      <c r="J198" s="32" t="s">
        <v>9</v>
      </c>
      <c r="K198" s="41" t="s">
        <v>44</v>
      </c>
      <c r="L198" s="58" t="str">
        <f t="shared" si="6"/>
        <v/>
      </c>
      <c r="M198" s="8" t="str">
        <f t="shared" si="7"/>
        <v>Mar_2017</v>
      </c>
    </row>
    <row r="199" spans="1:13" ht="15.75" x14ac:dyDescent="0.25">
      <c r="A199" s="2" t="s">
        <v>0</v>
      </c>
      <c r="B199" s="8" t="s">
        <v>12</v>
      </c>
      <c r="C199" s="18">
        <v>42817</v>
      </c>
      <c r="D199" s="3" t="s">
        <v>18</v>
      </c>
      <c r="E199" s="9">
        <v>0.70833333333333304</v>
      </c>
      <c r="F199" s="9">
        <v>0.77083333333333304</v>
      </c>
      <c r="G199" s="37"/>
      <c r="H199" s="6">
        <v>1.4999999999999982</v>
      </c>
      <c r="I199" s="37"/>
      <c r="J199" s="32" t="s">
        <v>9</v>
      </c>
      <c r="K199" s="41" t="s">
        <v>157</v>
      </c>
      <c r="L199" s="58" t="str">
        <f t="shared" si="6"/>
        <v/>
      </c>
      <c r="M199" s="8" t="str">
        <f t="shared" si="7"/>
        <v>Mar_2017</v>
      </c>
    </row>
    <row r="200" spans="1:13" ht="15.75" x14ac:dyDescent="0.25">
      <c r="A200" s="2" t="s">
        <v>0</v>
      </c>
      <c r="B200" s="8" t="s">
        <v>12</v>
      </c>
      <c r="C200" s="18">
        <v>42819</v>
      </c>
      <c r="D200" s="3" t="s">
        <v>24</v>
      </c>
      <c r="E200" s="9">
        <v>0.35416666666666702</v>
      </c>
      <c r="F200" s="9">
        <v>0.72916666666666696</v>
      </c>
      <c r="G200" s="37"/>
      <c r="H200" s="6">
        <v>7.9999999999999982</v>
      </c>
      <c r="I200" s="37"/>
      <c r="J200" s="32" t="s">
        <v>46</v>
      </c>
      <c r="K200" s="41" t="s">
        <v>158</v>
      </c>
      <c r="L200" s="58">
        <f t="shared" si="6"/>
        <v>1</v>
      </c>
      <c r="M200" s="8" t="str">
        <f t="shared" si="7"/>
        <v>Mar_2017</v>
      </c>
    </row>
    <row r="201" spans="1:13" ht="15.75" x14ac:dyDescent="0.25">
      <c r="A201" s="2" t="s">
        <v>0</v>
      </c>
      <c r="B201" s="8" t="s">
        <v>12</v>
      </c>
      <c r="C201" s="18">
        <v>42821</v>
      </c>
      <c r="D201" s="3" t="s">
        <v>21</v>
      </c>
      <c r="E201" s="9">
        <v>0.72916666666666696</v>
      </c>
      <c r="F201" s="9">
        <v>0.89583333333333304</v>
      </c>
      <c r="G201" s="37"/>
      <c r="H201" s="6">
        <v>3.9999999999999822</v>
      </c>
      <c r="I201" s="37"/>
      <c r="J201" s="32" t="s">
        <v>9</v>
      </c>
      <c r="K201" s="41" t="s">
        <v>40</v>
      </c>
      <c r="L201" s="58">
        <f t="shared" si="6"/>
        <v>1</v>
      </c>
      <c r="M201" s="8" t="str">
        <f t="shared" si="7"/>
        <v>Mar_2017</v>
      </c>
    </row>
    <row r="202" spans="1:13" ht="15.75" x14ac:dyDescent="0.25">
      <c r="A202" s="2" t="s">
        <v>0</v>
      </c>
      <c r="B202" s="8" t="s">
        <v>12</v>
      </c>
      <c r="C202" s="18">
        <v>42823</v>
      </c>
      <c r="D202" s="3" t="s">
        <v>19</v>
      </c>
      <c r="E202" s="9">
        <v>0.72916666666666696</v>
      </c>
      <c r="F202" s="9">
        <v>0.89583333333333304</v>
      </c>
      <c r="G202" s="37"/>
      <c r="H202" s="6">
        <v>3.9999999999999822</v>
      </c>
      <c r="I202" s="37"/>
      <c r="J202" s="32" t="s">
        <v>9</v>
      </c>
      <c r="K202" s="41" t="s">
        <v>42</v>
      </c>
      <c r="L202" s="58">
        <f t="shared" si="6"/>
        <v>1</v>
      </c>
      <c r="M202" s="8" t="str">
        <f t="shared" si="7"/>
        <v>Mar_2017</v>
      </c>
    </row>
    <row r="203" spans="1:13" ht="15.75" x14ac:dyDescent="0.25">
      <c r="A203" s="2" t="s">
        <v>0</v>
      </c>
      <c r="B203" s="8" t="s">
        <v>12</v>
      </c>
      <c r="C203" s="18">
        <v>42824</v>
      </c>
      <c r="D203" s="3" t="s">
        <v>18</v>
      </c>
      <c r="E203" s="9">
        <v>0.72916666666666696</v>
      </c>
      <c r="F203" s="9">
        <v>0.89583333333333304</v>
      </c>
      <c r="G203" s="37"/>
      <c r="H203" s="6">
        <v>3.9999999999999822</v>
      </c>
      <c r="I203" s="37"/>
      <c r="J203" s="32" t="s">
        <v>9</v>
      </c>
      <c r="K203" s="41" t="s">
        <v>41</v>
      </c>
      <c r="L203" s="58">
        <f t="shared" si="6"/>
        <v>1</v>
      </c>
      <c r="M203" s="8" t="str">
        <f t="shared" si="7"/>
        <v>Mar_2017</v>
      </c>
    </row>
    <row r="204" spans="1:13" ht="15.75" x14ac:dyDescent="0.25">
      <c r="A204" s="2" t="s">
        <v>0</v>
      </c>
      <c r="B204" s="8" t="s">
        <v>12</v>
      </c>
      <c r="C204" s="18">
        <v>42825</v>
      </c>
      <c r="D204" s="3" t="s">
        <v>17</v>
      </c>
      <c r="E204" s="9">
        <v>0.72916666666666696</v>
      </c>
      <c r="F204" s="9">
        <v>0.89583333333333304</v>
      </c>
      <c r="G204" s="37"/>
      <c r="H204" s="6">
        <v>3.9999999999999822</v>
      </c>
      <c r="I204" s="37"/>
      <c r="J204" s="32" t="s">
        <v>9</v>
      </c>
      <c r="K204" s="41" t="s">
        <v>43</v>
      </c>
      <c r="L204" s="58">
        <f t="shared" si="6"/>
        <v>1</v>
      </c>
      <c r="M204" s="8" t="str">
        <f t="shared" si="7"/>
        <v>Mar_2017</v>
      </c>
    </row>
    <row r="205" spans="1:13" ht="15.75" x14ac:dyDescent="0.25">
      <c r="A205" s="2" t="s">
        <v>0</v>
      </c>
      <c r="B205" s="8" t="s">
        <v>13</v>
      </c>
      <c r="C205" s="18">
        <v>42795</v>
      </c>
      <c r="D205" s="3" t="s">
        <v>19</v>
      </c>
      <c r="E205" s="9">
        <v>0.70833333333333304</v>
      </c>
      <c r="F205" s="9">
        <v>0.85416666666666696</v>
      </c>
      <c r="G205" s="37"/>
      <c r="H205" s="6">
        <v>3.5000000000000107</v>
      </c>
      <c r="I205" s="37"/>
      <c r="J205" s="32" t="s">
        <v>9</v>
      </c>
      <c r="K205" s="41" t="s">
        <v>35</v>
      </c>
      <c r="L205" s="58">
        <f t="shared" si="6"/>
        <v>1</v>
      </c>
      <c r="M205" s="8" t="str">
        <f t="shared" si="7"/>
        <v>Mar_2017</v>
      </c>
    </row>
    <row r="206" spans="1:13" ht="15.75" x14ac:dyDescent="0.25">
      <c r="A206" s="2" t="s">
        <v>0</v>
      </c>
      <c r="B206" s="8" t="s">
        <v>13</v>
      </c>
      <c r="C206" s="18">
        <v>42796</v>
      </c>
      <c r="D206" s="3" t="s">
        <v>18</v>
      </c>
      <c r="E206" s="9">
        <v>0.72916666666666696</v>
      </c>
      <c r="F206" s="9">
        <v>0.875</v>
      </c>
      <c r="G206" s="37"/>
      <c r="H206" s="6">
        <v>3.4999999999999893</v>
      </c>
      <c r="I206" s="37"/>
      <c r="J206" s="32" t="s">
        <v>9</v>
      </c>
      <c r="K206" s="41" t="s">
        <v>36</v>
      </c>
      <c r="L206" s="58">
        <f t="shared" si="6"/>
        <v>1</v>
      </c>
      <c r="M206" s="8" t="str">
        <f t="shared" si="7"/>
        <v>Mar_2017</v>
      </c>
    </row>
    <row r="207" spans="1:13" ht="15.75" x14ac:dyDescent="0.25">
      <c r="A207" s="2" t="s">
        <v>0</v>
      </c>
      <c r="B207" s="8" t="s">
        <v>13</v>
      </c>
      <c r="C207" s="18">
        <v>42797</v>
      </c>
      <c r="D207" s="3" t="s">
        <v>17</v>
      </c>
      <c r="E207" s="9">
        <v>0.72916666666666696</v>
      </c>
      <c r="F207" s="9">
        <v>0.85416666666666696</v>
      </c>
      <c r="G207" s="37"/>
      <c r="H207" s="6">
        <v>2.9999999999999947</v>
      </c>
      <c r="I207" s="37"/>
      <c r="J207" s="32" t="s">
        <v>9</v>
      </c>
      <c r="K207" s="41" t="s">
        <v>37</v>
      </c>
      <c r="L207" s="58">
        <f t="shared" si="6"/>
        <v>1</v>
      </c>
      <c r="M207" s="8" t="str">
        <f t="shared" si="7"/>
        <v>Mar_2017</v>
      </c>
    </row>
    <row r="208" spans="1:13" ht="15.75" x14ac:dyDescent="0.25">
      <c r="A208" s="2" t="s">
        <v>0</v>
      </c>
      <c r="B208" s="8" t="s">
        <v>13</v>
      </c>
      <c r="C208" s="18">
        <v>42804</v>
      </c>
      <c r="D208" s="3" t="s">
        <v>17</v>
      </c>
      <c r="E208" s="9">
        <v>0.72916666666666696</v>
      </c>
      <c r="F208" s="9">
        <v>0.79166666666666696</v>
      </c>
      <c r="G208" s="37"/>
      <c r="H208" s="6">
        <v>1.4999999999999947</v>
      </c>
      <c r="I208" s="37"/>
      <c r="J208" s="32" t="s">
        <v>9</v>
      </c>
      <c r="K208" s="41" t="s">
        <v>155</v>
      </c>
      <c r="L208" s="58" t="str">
        <f t="shared" si="6"/>
        <v/>
      </c>
      <c r="M208" s="8" t="str">
        <f t="shared" si="7"/>
        <v>Mar_2017</v>
      </c>
    </row>
    <row r="209" spans="1:13" ht="15.75" x14ac:dyDescent="0.25">
      <c r="A209" s="2" t="s">
        <v>0</v>
      </c>
      <c r="B209" s="8" t="s">
        <v>13</v>
      </c>
      <c r="C209" s="18">
        <v>42810</v>
      </c>
      <c r="D209" s="3" t="s">
        <v>18</v>
      </c>
      <c r="E209" s="9">
        <v>0.70833333333333304</v>
      </c>
      <c r="F209" s="9">
        <v>0.91666666666666696</v>
      </c>
      <c r="G209" s="37"/>
      <c r="H209" s="6">
        <v>5.0000000000000107</v>
      </c>
      <c r="I209" s="37"/>
      <c r="J209" s="32" t="s">
        <v>9</v>
      </c>
      <c r="K209" s="41" t="s">
        <v>38</v>
      </c>
      <c r="L209" s="58">
        <f t="shared" si="6"/>
        <v>1</v>
      </c>
      <c r="M209" s="8" t="str">
        <f t="shared" si="7"/>
        <v>Mar_2017</v>
      </c>
    </row>
    <row r="210" spans="1:13" ht="15.75" x14ac:dyDescent="0.25">
      <c r="A210" s="2" t="s">
        <v>0</v>
      </c>
      <c r="B210" s="8" t="s">
        <v>13</v>
      </c>
      <c r="C210" s="18">
        <v>42815</v>
      </c>
      <c r="D210" s="3" t="s">
        <v>16</v>
      </c>
      <c r="E210" s="9">
        <v>0.72916666666666696</v>
      </c>
      <c r="F210" s="9">
        <v>0.85416666666666696</v>
      </c>
      <c r="G210" s="37"/>
      <c r="H210" s="6">
        <v>2.9999999999999947</v>
      </c>
      <c r="I210" s="37"/>
      <c r="J210" s="32" t="s">
        <v>9</v>
      </c>
      <c r="K210" s="41" t="s">
        <v>39</v>
      </c>
      <c r="L210" s="58">
        <f t="shared" si="6"/>
        <v>1</v>
      </c>
      <c r="M210" s="8" t="str">
        <f t="shared" si="7"/>
        <v>Mar_2017</v>
      </c>
    </row>
    <row r="211" spans="1:13" ht="15.75" x14ac:dyDescent="0.25">
      <c r="A211" s="2" t="s">
        <v>0</v>
      </c>
      <c r="B211" s="8" t="s">
        <v>13</v>
      </c>
      <c r="C211" s="18">
        <v>42816</v>
      </c>
      <c r="D211" s="3" t="s">
        <v>19</v>
      </c>
      <c r="E211" s="9">
        <v>0.72916666666666696</v>
      </c>
      <c r="F211" s="9">
        <v>0.75</v>
      </c>
      <c r="G211" s="37"/>
      <c r="H211" s="6">
        <v>0.49999999999998757</v>
      </c>
      <c r="I211" s="37"/>
      <c r="J211" s="32" t="s">
        <v>9</v>
      </c>
      <c r="K211" s="41" t="s">
        <v>44</v>
      </c>
      <c r="L211" s="58" t="str">
        <f t="shared" si="6"/>
        <v/>
      </c>
      <c r="M211" s="8" t="str">
        <f t="shared" si="7"/>
        <v>Mar_2017</v>
      </c>
    </row>
    <row r="212" spans="1:13" ht="15.75" x14ac:dyDescent="0.25">
      <c r="A212" s="2" t="s">
        <v>0</v>
      </c>
      <c r="B212" s="8" t="s">
        <v>13</v>
      </c>
      <c r="C212" s="18">
        <v>42817</v>
      </c>
      <c r="D212" s="3" t="s">
        <v>18</v>
      </c>
      <c r="E212" s="9">
        <v>0.72916666666666696</v>
      </c>
      <c r="F212" s="9">
        <v>0.77083333333333304</v>
      </c>
      <c r="G212" s="37"/>
      <c r="H212" s="6">
        <v>0.99999999999998046</v>
      </c>
      <c r="I212" s="37"/>
      <c r="J212" s="32" t="s">
        <v>9</v>
      </c>
      <c r="K212" s="41" t="s">
        <v>157</v>
      </c>
      <c r="L212" s="58" t="str">
        <f t="shared" si="6"/>
        <v/>
      </c>
      <c r="M212" s="8" t="str">
        <f t="shared" si="7"/>
        <v>Mar_2017</v>
      </c>
    </row>
    <row r="213" spans="1:13" ht="15.75" x14ac:dyDescent="0.25">
      <c r="A213" s="2" t="s">
        <v>0</v>
      </c>
      <c r="B213" s="8" t="s">
        <v>13</v>
      </c>
      <c r="C213" s="18">
        <v>42821</v>
      </c>
      <c r="D213" s="3" t="s">
        <v>21</v>
      </c>
      <c r="E213" s="9">
        <v>0.72916666666666696</v>
      </c>
      <c r="F213" s="9">
        <v>0.85416666666666696</v>
      </c>
      <c r="G213" s="37"/>
      <c r="H213" s="6">
        <v>2.9999999999999947</v>
      </c>
      <c r="I213" s="37"/>
      <c r="J213" s="32" t="s">
        <v>9</v>
      </c>
      <c r="K213" s="41" t="s">
        <v>40</v>
      </c>
      <c r="L213" s="58">
        <f t="shared" si="6"/>
        <v>1</v>
      </c>
      <c r="M213" s="8" t="str">
        <f t="shared" si="7"/>
        <v>Mar_2017</v>
      </c>
    </row>
    <row r="214" spans="1:13" ht="15.75" x14ac:dyDescent="0.25">
      <c r="A214" s="2" t="s">
        <v>0</v>
      </c>
      <c r="B214" s="8" t="s">
        <v>13</v>
      </c>
      <c r="C214" s="18">
        <v>42822</v>
      </c>
      <c r="D214" s="3" t="s">
        <v>16</v>
      </c>
      <c r="E214" s="9">
        <v>0.72916666666666696</v>
      </c>
      <c r="F214" s="9">
        <v>0.77083333333333304</v>
      </c>
      <c r="G214" s="37"/>
      <c r="H214" s="6">
        <v>0.99999999999998046</v>
      </c>
      <c r="I214" s="37"/>
      <c r="J214" s="32" t="s">
        <v>9</v>
      </c>
      <c r="K214" s="41" t="s">
        <v>45</v>
      </c>
      <c r="L214" s="58" t="str">
        <f t="shared" si="6"/>
        <v/>
      </c>
      <c r="M214" s="8" t="str">
        <f t="shared" si="7"/>
        <v>Mar_2017</v>
      </c>
    </row>
    <row r="215" spans="1:13" ht="15.75" x14ac:dyDescent="0.25">
      <c r="A215" s="2" t="s">
        <v>0</v>
      </c>
      <c r="B215" s="8" t="s">
        <v>13</v>
      </c>
      <c r="C215" s="18">
        <v>42823</v>
      </c>
      <c r="D215" s="3" t="s">
        <v>19</v>
      </c>
      <c r="E215" s="9">
        <v>0.72916666666666696</v>
      </c>
      <c r="F215" s="9">
        <v>0.85416666666666696</v>
      </c>
      <c r="G215" s="37"/>
      <c r="H215" s="6">
        <v>2.9999999999999947</v>
      </c>
      <c r="I215" s="37"/>
      <c r="J215" s="32" t="s">
        <v>9</v>
      </c>
      <c r="K215" s="41" t="s">
        <v>42</v>
      </c>
      <c r="L215" s="58">
        <f t="shared" si="6"/>
        <v>1</v>
      </c>
      <c r="M215" s="8" t="str">
        <f t="shared" si="7"/>
        <v>Mar_2017</v>
      </c>
    </row>
    <row r="216" spans="1:13" ht="15.75" x14ac:dyDescent="0.25">
      <c r="A216" s="2" t="s">
        <v>0</v>
      </c>
      <c r="B216" s="8" t="s">
        <v>13</v>
      </c>
      <c r="C216" s="18">
        <v>42824</v>
      </c>
      <c r="D216" s="3" t="s">
        <v>18</v>
      </c>
      <c r="E216" s="9">
        <v>0.72916666666666696</v>
      </c>
      <c r="F216" s="9">
        <v>0.85416666666666696</v>
      </c>
      <c r="G216" s="37"/>
      <c r="H216" s="6">
        <v>2.9999999999999947</v>
      </c>
      <c r="I216" s="37"/>
      <c r="J216" s="32" t="s">
        <v>9</v>
      </c>
      <c r="K216" s="41" t="s">
        <v>41</v>
      </c>
      <c r="L216" s="58">
        <f t="shared" si="6"/>
        <v>1</v>
      </c>
      <c r="M216" s="8" t="str">
        <f t="shared" si="7"/>
        <v>Mar_2017</v>
      </c>
    </row>
    <row r="217" spans="1:13" ht="15.75" x14ac:dyDescent="0.25">
      <c r="A217" s="2" t="s">
        <v>0</v>
      </c>
      <c r="B217" s="8" t="s">
        <v>14</v>
      </c>
      <c r="C217" s="18">
        <v>42795</v>
      </c>
      <c r="D217" s="3" t="s">
        <v>19</v>
      </c>
      <c r="E217" s="9">
        <v>0.70833333333333304</v>
      </c>
      <c r="F217" s="9">
        <v>0.875</v>
      </c>
      <c r="G217" s="37"/>
      <c r="H217" s="6">
        <v>4.0000000000000036</v>
      </c>
      <c r="I217" s="37"/>
      <c r="J217" s="32" t="s">
        <v>9</v>
      </c>
      <c r="K217" s="41" t="s">
        <v>35</v>
      </c>
      <c r="L217" s="58">
        <f t="shared" si="6"/>
        <v>1</v>
      </c>
      <c r="M217" s="8" t="str">
        <f t="shared" si="7"/>
        <v>Mar_2017</v>
      </c>
    </row>
    <row r="218" spans="1:13" ht="15.75" x14ac:dyDescent="0.25">
      <c r="A218" s="2" t="s">
        <v>0</v>
      </c>
      <c r="B218" s="8" t="s">
        <v>14</v>
      </c>
      <c r="C218" s="18">
        <v>42796</v>
      </c>
      <c r="D218" s="3" t="s">
        <v>18</v>
      </c>
      <c r="E218" s="9">
        <v>0.72916666666666696</v>
      </c>
      <c r="F218" s="9">
        <v>0.89583333333333304</v>
      </c>
      <c r="G218" s="37"/>
      <c r="H218" s="6">
        <v>3.9999999999999822</v>
      </c>
      <c r="I218" s="37"/>
      <c r="J218" s="32" t="s">
        <v>9</v>
      </c>
      <c r="K218" s="41" t="s">
        <v>36</v>
      </c>
      <c r="L218" s="58">
        <f t="shared" si="6"/>
        <v>1</v>
      </c>
      <c r="M218" s="8" t="str">
        <f t="shared" si="7"/>
        <v>Mar_2017</v>
      </c>
    </row>
    <row r="219" spans="1:13" ht="15.75" x14ac:dyDescent="0.25">
      <c r="A219" s="2" t="s">
        <v>0</v>
      </c>
      <c r="B219" s="8" t="s">
        <v>14</v>
      </c>
      <c r="C219" s="18">
        <v>42797</v>
      </c>
      <c r="D219" s="3" t="s">
        <v>17</v>
      </c>
      <c r="E219" s="9">
        <v>0.72916666666666696</v>
      </c>
      <c r="F219" s="9">
        <v>0.85416666666666696</v>
      </c>
      <c r="G219" s="37"/>
      <c r="H219" s="6">
        <v>2.9999999999999947</v>
      </c>
      <c r="I219" s="37"/>
      <c r="J219" s="32" t="s">
        <v>9</v>
      </c>
      <c r="K219" s="41" t="s">
        <v>37</v>
      </c>
      <c r="L219" s="58">
        <f t="shared" si="6"/>
        <v>1</v>
      </c>
      <c r="M219" s="8" t="str">
        <f t="shared" si="7"/>
        <v>Mar_2017</v>
      </c>
    </row>
    <row r="220" spans="1:13" ht="15.75" x14ac:dyDescent="0.25">
      <c r="A220" s="2" t="s">
        <v>0</v>
      </c>
      <c r="B220" s="8" t="s">
        <v>14</v>
      </c>
      <c r="C220" s="18">
        <v>42798</v>
      </c>
      <c r="D220" s="3" t="s">
        <v>24</v>
      </c>
      <c r="E220" s="9">
        <v>0.41666666666666702</v>
      </c>
      <c r="F220" s="9">
        <v>0.72916666666666696</v>
      </c>
      <c r="G220" s="37"/>
      <c r="H220" s="6">
        <v>7.4999999999999982</v>
      </c>
      <c r="I220" s="37"/>
      <c r="J220" s="32" t="s">
        <v>46</v>
      </c>
      <c r="K220" s="41" t="s">
        <v>154</v>
      </c>
      <c r="L220" s="58">
        <f t="shared" si="6"/>
        <v>1</v>
      </c>
      <c r="M220" s="8" t="str">
        <f t="shared" si="7"/>
        <v>Mar_2017</v>
      </c>
    </row>
    <row r="221" spans="1:13" ht="15.75" x14ac:dyDescent="0.25">
      <c r="A221" s="2" t="s">
        <v>0</v>
      </c>
      <c r="B221" s="8" t="s">
        <v>14</v>
      </c>
      <c r="C221" s="18">
        <v>42810</v>
      </c>
      <c r="D221" s="3" t="s">
        <v>18</v>
      </c>
      <c r="E221" s="9">
        <v>0.72916666666666696</v>
      </c>
      <c r="F221" s="9">
        <v>0.91666666666666696</v>
      </c>
      <c r="G221" s="37"/>
      <c r="H221" s="6">
        <v>4.4999999999999964</v>
      </c>
      <c r="I221" s="37"/>
      <c r="J221" s="32" t="s">
        <v>9</v>
      </c>
      <c r="K221" s="41" t="s">
        <v>38</v>
      </c>
      <c r="L221" s="58">
        <f t="shared" si="6"/>
        <v>1</v>
      </c>
      <c r="M221" s="8" t="str">
        <f t="shared" si="7"/>
        <v>Mar_2017</v>
      </c>
    </row>
    <row r="222" spans="1:13" ht="15.75" x14ac:dyDescent="0.25">
      <c r="A222" s="2" t="s">
        <v>0</v>
      </c>
      <c r="B222" s="8" t="s">
        <v>14</v>
      </c>
      <c r="C222" s="18">
        <v>42814</v>
      </c>
      <c r="D222" s="3" t="s">
        <v>21</v>
      </c>
      <c r="E222" s="9">
        <v>0.72916666666666696</v>
      </c>
      <c r="F222" s="9">
        <v>0.78125</v>
      </c>
      <c r="G222" s="37"/>
      <c r="H222" s="6">
        <v>1.2499999999999876</v>
      </c>
      <c r="I222" s="37"/>
      <c r="J222" s="32" t="s">
        <v>9</v>
      </c>
      <c r="K222" s="41" t="s">
        <v>156</v>
      </c>
      <c r="L222" s="58" t="str">
        <f t="shared" si="6"/>
        <v/>
      </c>
      <c r="M222" s="8" t="str">
        <f t="shared" si="7"/>
        <v>Mar_2017</v>
      </c>
    </row>
    <row r="223" spans="1:13" ht="15.75" x14ac:dyDescent="0.25">
      <c r="A223" s="2" t="s">
        <v>0</v>
      </c>
      <c r="B223" s="8" t="s">
        <v>14</v>
      </c>
      <c r="C223" s="18">
        <v>42815</v>
      </c>
      <c r="D223" s="3" t="s">
        <v>16</v>
      </c>
      <c r="E223" s="9">
        <v>0.72916666666666696</v>
      </c>
      <c r="F223" s="9">
        <v>0.89583333333333304</v>
      </c>
      <c r="G223" s="37"/>
      <c r="H223" s="6">
        <v>3.9999999999999822</v>
      </c>
      <c r="I223" s="37"/>
      <c r="J223" s="32" t="s">
        <v>9</v>
      </c>
      <c r="K223" s="41" t="s">
        <v>39</v>
      </c>
      <c r="L223" s="58">
        <f t="shared" si="6"/>
        <v>1</v>
      </c>
      <c r="M223" s="8" t="str">
        <f t="shared" si="7"/>
        <v>Mar_2017</v>
      </c>
    </row>
    <row r="224" spans="1:13" ht="15.75" x14ac:dyDescent="0.25">
      <c r="A224" s="2" t="s">
        <v>0</v>
      </c>
      <c r="B224" s="8" t="s">
        <v>14</v>
      </c>
      <c r="C224" s="18">
        <v>42816</v>
      </c>
      <c r="D224" s="3" t="s">
        <v>19</v>
      </c>
      <c r="E224" s="9">
        <v>0.72916666666666696</v>
      </c>
      <c r="F224" s="9">
        <v>0.8125</v>
      </c>
      <c r="G224" s="37"/>
      <c r="H224" s="6">
        <v>1.9999999999999876</v>
      </c>
      <c r="I224" s="37"/>
      <c r="J224" s="32" t="s">
        <v>9</v>
      </c>
      <c r="K224" s="41" t="s">
        <v>44</v>
      </c>
      <c r="L224" s="58" t="str">
        <f t="shared" si="6"/>
        <v/>
      </c>
      <c r="M224" s="8" t="str">
        <f t="shared" si="7"/>
        <v>Mar_2017</v>
      </c>
    </row>
    <row r="225" spans="1:13" ht="15.75" x14ac:dyDescent="0.25">
      <c r="A225" s="2" t="s">
        <v>0</v>
      </c>
      <c r="B225" s="8" t="s">
        <v>14</v>
      </c>
      <c r="C225" s="18">
        <v>42817</v>
      </c>
      <c r="D225" s="3" t="s">
        <v>18</v>
      </c>
      <c r="E225" s="9">
        <v>0.72916666666666696</v>
      </c>
      <c r="F225" s="9">
        <v>0.77083333333333304</v>
      </c>
      <c r="G225" s="37"/>
      <c r="H225" s="6">
        <v>0.99999999999998046</v>
      </c>
      <c r="I225" s="37"/>
      <c r="J225" s="32" t="s">
        <v>9</v>
      </c>
      <c r="K225" s="41" t="s">
        <v>157</v>
      </c>
      <c r="L225" s="58" t="str">
        <f t="shared" si="6"/>
        <v/>
      </c>
      <c r="M225" s="8" t="str">
        <f t="shared" si="7"/>
        <v>Mar_2017</v>
      </c>
    </row>
    <row r="226" spans="1:13" ht="15.75" x14ac:dyDescent="0.25">
      <c r="A226" s="2" t="s">
        <v>0</v>
      </c>
      <c r="B226" s="8" t="s">
        <v>14</v>
      </c>
      <c r="C226" s="18">
        <v>42819</v>
      </c>
      <c r="D226" s="3" t="s">
        <v>24</v>
      </c>
      <c r="E226" s="9">
        <v>0.375</v>
      </c>
      <c r="F226" s="9">
        <v>0.72916666666666696</v>
      </c>
      <c r="G226" s="37"/>
      <c r="H226" s="6">
        <v>7.5000000000000071</v>
      </c>
      <c r="I226" s="37"/>
      <c r="J226" s="32" t="s">
        <v>46</v>
      </c>
      <c r="K226" s="41" t="s">
        <v>158</v>
      </c>
      <c r="L226" s="58">
        <f t="shared" si="6"/>
        <v>1</v>
      </c>
      <c r="M226" s="8" t="str">
        <f t="shared" si="7"/>
        <v>Mar_2017</v>
      </c>
    </row>
    <row r="227" spans="1:13" ht="15.75" x14ac:dyDescent="0.25">
      <c r="A227" s="2" t="s">
        <v>0</v>
      </c>
      <c r="B227" s="8" t="s">
        <v>14</v>
      </c>
      <c r="C227" s="18">
        <v>42821</v>
      </c>
      <c r="D227" s="3" t="s">
        <v>21</v>
      </c>
      <c r="E227" s="9">
        <v>0.70833333333333304</v>
      </c>
      <c r="F227" s="9">
        <v>0.89583333333333304</v>
      </c>
      <c r="G227" s="37"/>
      <c r="H227" s="6">
        <v>4.4999999999999964</v>
      </c>
      <c r="I227" s="37"/>
      <c r="J227" s="32" t="s">
        <v>9</v>
      </c>
      <c r="K227" s="41" t="s">
        <v>40</v>
      </c>
      <c r="L227" s="58">
        <f t="shared" si="6"/>
        <v>1</v>
      </c>
      <c r="M227" s="8" t="str">
        <f t="shared" si="7"/>
        <v>Mar_2017</v>
      </c>
    </row>
    <row r="228" spans="1:13" ht="15.75" x14ac:dyDescent="0.25">
      <c r="A228" s="2" t="s">
        <v>0</v>
      </c>
      <c r="B228" s="8" t="s">
        <v>14</v>
      </c>
      <c r="C228" s="18">
        <v>42822</v>
      </c>
      <c r="D228" s="3" t="s">
        <v>16</v>
      </c>
      <c r="E228" s="9">
        <v>0.72916666666666696</v>
      </c>
      <c r="F228" s="9">
        <v>0.79166666666666696</v>
      </c>
      <c r="G228" s="37"/>
      <c r="H228" s="6">
        <v>1.4999999999999947</v>
      </c>
      <c r="I228" s="37"/>
      <c r="J228" s="32" t="s">
        <v>9</v>
      </c>
      <c r="K228" s="41" t="s">
        <v>45</v>
      </c>
      <c r="L228" s="58" t="str">
        <f t="shared" si="6"/>
        <v/>
      </c>
      <c r="M228" s="8" t="str">
        <f t="shared" si="7"/>
        <v>Mar_2017</v>
      </c>
    </row>
    <row r="229" spans="1:13" ht="15.75" x14ac:dyDescent="0.25">
      <c r="A229" s="2" t="s">
        <v>0</v>
      </c>
      <c r="B229" s="8" t="s">
        <v>14</v>
      </c>
      <c r="C229" s="18">
        <v>42823</v>
      </c>
      <c r="D229" s="3" t="s">
        <v>19</v>
      </c>
      <c r="E229" s="9">
        <v>0.72916666666666696</v>
      </c>
      <c r="F229" s="9">
        <v>0.89583333333333304</v>
      </c>
      <c r="G229" s="37"/>
      <c r="H229" s="6">
        <v>3.9999999999999822</v>
      </c>
      <c r="I229" s="37"/>
      <c r="J229" s="32" t="s">
        <v>9</v>
      </c>
      <c r="K229" s="41" t="s">
        <v>42</v>
      </c>
      <c r="L229" s="58">
        <f t="shared" si="6"/>
        <v>1</v>
      </c>
      <c r="M229" s="8" t="str">
        <f t="shared" si="7"/>
        <v>Mar_2017</v>
      </c>
    </row>
    <row r="230" spans="1:13" ht="15.75" x14ac:dyDescent="0.25">
      <c r="A230" s="2" t="s">
        <v>0</v>
      </c>
      <c r="B230" s="8" t="s">
        <v>14</v>
      </c>
      <c r="C230" s="18">
        <v>42824</v>
      </c>
      <c r="D230" s="3" t="s">
        <v>18</v>
      </c>
      <c r="E230" s="9">
        <v>0.72916666666666696</v>
      </c>
      <c r="F230" s="9">
        <v>0.89583333333333304</v>
      </c>
      <c r="G230" s="37"/>
      <c r="H230" s="6">
        <v>3.9999999999999822</v>
      </c>
      <c r="I230" s="37"/>
      <c r="J230" s="32" t="s">
        <v>9</v>
      </c>
      <c r="K230" s="41" t="s">
        <v>41</v>
      </c>
      <c r="L230" s="58">
        <f t="shared" si="6"/>
        <v>1</v>
      </c>
      <c r="M230" s="8" t="str">
        <f t="shared" si="7"/>
        <v>Mar_2017</v>
      </c>
    </row>
    <row r="231" spans="1:13" ht="15.75" x14ac:dyDescent="0.25">
      <c r="A231" s="2" t="s">
        <v>0</v>
      </c>
      <c r="B231" s="8" t="s">
        <v>14</v>
      </c>
      <c r="C231" s="18">
        <v>42825</v>
      </c>
      <c r="D231" s="3" t="s">
        <v>17</v>
      </c>
      <c r="E231" s="9">
        <v>0.72916666666666696</v>
      </c>
      <c r="F231" s="9">
        <v>0.89583333333333304</v>
      </c>
      <c r="G231" s="37"/>
      <c r="H231" s="6">
        <v>3.9999999999999822</v>
      </c>
      <c r="I231" s="37"/>
      <c r="J231" s="32" t="s">
        <v>9</v>
      </c>
      <c r="K231" s="41" t="s">
        <v>43</v>
      </c>
      <c r="L231" s="58">
        <f t="shared" si="6"/>
        <v>1</v>
      </c>
      <c r="M231" s="8" t="str">
        <f t="shared" si="7"/>
        <v>Mar_2017</v>
      </c>
    </row>
    <row r="232" spans="1:13" ht="15.75" x14ac:dyDescent="0.25">
      <c r="A232" s="8" t="s">
        <v>117</v>
      </c>
      <c r="B232" s="8" t="s">
        <v>118</v>
      </c>
      <c r="C232" s="18">
        <v>42795</v>
      </c>
      <c r="D232" s="3" t="s">
        <v>19</v>
      </c>
      <c r="E232" s="9">
        <v>0.33333333333333298</v>
      </c>
      <c r="F232" s="9">
        <v>0.91666666666666696</v>
      </c>
      <c r="G232" s="37"/>
      <c r="H232" s="6">
        <v>13.000000000000014</v>
      </c>
      <c r="I232" s="37"/>
      <c r="J232" s="32" t="s">
        <v>9</v>
      </c>
      <c r="K232" s="41" t="s">
        <v>35</v>
      </c>
      <c r="L232" s="58" t="str">
        <f t="shared" si="6"/>
        <v/>
      </c>
      <c r="M232" s="8" t="str">
        <f t="shared" si="7"/>
        <v>Mar_2017</v>
      </c>
    </row>
    <row r="233" spans="1:13" ht="15.75" x14ac:dyDescent="0.25">
      <c r="A233" s="8" t="s">
        <v>117</v>
      </c>
      <c r="B233" s="8" t="s">
        <v>118</v>
      </c>
      <c r="C233" s="18">
        <v>42796</v>
      </c>
      <c r="D233" s="3" t="s">
        <v>18</v>
      </c>
      <c r="E233" s="9">
        <v>0.35416666666666702</v>
      </c>
      <c r="F233" s="9">
        <v>0.91666666666666696</v>
      </c>
      <c r="G233" s="37"/>
      <c r="H233" s="6">
        <v>12.5</v>
      </c>
      <c r="I233" s="37"/>
      <c r="J233" s="32" t="s">
        <v>9</v>
      </c>
      <c r="K233" s="41" t="s">
        <v>36</v>
      </c>
      <c r="L233" s="58" t="str">
        <f t="shared" si="6"/>
        <v/>
      </c>
      <c r="M233" s="8" t="str">
        <f t="shared" si="7"/>
        <v>Mar_2017</v>
      </c>
    </row>
    <row r="234" spans="1:13" ht="15.75" x14ac:dyDescent="0.25">
      <c r="A234" s="8" t="s">
        <v>117</v>
      </c>
      <c r="B234" s="8" t="s">
        <v>118</v>
      </c>
      <c r="C234" s="18">
        <v>42797</v>
      </c>
      <c r="D234" s="3" t="s">
        <v>17</v>
      </c>
      <c r="E234" s="9">
        <v>0.35416666666666702</v>
      </c>
      <c r="F234" s="9">
        <v>0.85416666666666696</v>
      </c>
      <c r="G234" s="37"/>
      <c r="H234" s="6">
        <v>10.999999999999998</v>
      </c>
      <c r="I234" s="37"/>
      <c r="J234" s="32" t="s">
        <v>9</v>
      </c>
      <c r="K234" s="41" t="s">
        <v>37</v>
      </c>
      <c r="L234" s="58" t="str">
        <f t="shared" si="6"/>
        <v/>
      </c>
      <c r="M234" s="8" t="str">
        <f t="shared" si="7"/>
        <v>Mar_2017</v>
      </c>
    </row>
    <row r="235" spans="1:13" ht="15.75" x14ac:dyDescent="0.25">
      <c r="A235" s="8" t="s">
        <v>117</v>
      </c>
      <c r="B235" s="8" t="s">
        <v>118</v>
      </c>
      <c r="C235" s="18">
        <v>42800</v>
      </c>
      <c r="D235" s="3" t="s">
        <v>21</v>
      </c>
      <c r="E235" s="9">
        <v>0.41666666666666702</v>
      </c>
      <c r="F235" s="9">
        <v>0.72916666666666696</v>
      </c>
      <c r="G235" s="37"/>
      <c r="H235" s="6">
        <v>6.4999999999999982</v>
      </c>
      <c r="I235" s="37"/>
      <c r="J235" s="32" t="s">
        <v>9</v>
      </c>
      <c r="K235" s="41" t="s">
        <v>160</v>
      </c>
      <c r="L235" s="58" t="str">
        <f t="shared" si="6"/>
        <v/>
      </c>
      <c r="M235" s="8" t="str">
        <f t="shared" si="7"/>
        <v>Mar_2017</v>
      </c>
    </row>
    <row r="236" spans="1:13" ht="15.75" x14ac:dyDescent="0.25">
      <c r="A236" s="8" t="s">
        <v>117</v>
      </c>
      <c r="B236" s="8" t="s">
        <v>118</v>
      </c>
      <c r="C236" s="18">
        <v>42801</v>
      </c>
      <c r="D236" s="3" t="s">
        <v>16</v>
      </c>
      <c r="E236" s="9">
        <v>0.35416666666666702</v>
      </c>
      <c r="F236" s="9">
        <v>0.72916666666666696</v>
      </c>
      <c r="G236" s="37"/>
      <c r="H236" s="6">
        <v>7.9999999999999982</v>
      </c>
      <c r="I236" s="37"/>
      <c r="J236" s="32" t="s">
        <v>9</v>
      </c>
      <c r="K236" s="41" t="s">
        <v>161</v>
      </c>
      <c r="L236" s="58" t="str">
        <f t="shared" si="6"/>
        <v/>
      </c>
      <c r="M236" s="8" t="str">
        <f t="shared" si="7"/>
        <v>Mar_2017</v>
      </c>
    </row>
    <row r="237" spans="1:13" ht="15.75" x14ac:dyDescent="0.25">
      <c r="A237" s="8" t="s">
        <v>117</v>
      </c>
      <c r="B237" s="8" t="s">
        <v>118</v>
      </c>
      <c r="C237" s="18">
        <v>42802</v>
      </c>
      <c r="D237" s="3" t="s">
        <v>19</v>
      </c>
      <c r="E237" s="9">
        <v>0.35416666666666702</v>
      </c>
      <c r="F237" s="9">
        <v>0.72916666666666696</v>
      </c>
      <c r="G237" s="37"/>
      <c r="H237" s="6">
        <v>7.9999999999999982</v>
      </c>
      <c r="I237" s="37"/>
      <c r="J237" s="32" t="s">
        <v>9</v>
      </c>
      <c r="K237" s="41" t="s">
        <v>162</v>
      </c>
      <c r="L237" s="58" t="str">
        <f t="shared" si="6"/>
        <v/>
      </c>
      <c r="M237" s="8" t="str">
        <f t="shared" si="7"/>
        <v>Mar_2017</v>
      </c>
    </row>
    <row r="238" spans="1:13" ht="15.75" x14ac:dyDescent="0.25">
      <c r="A238" s="8" t="s">
        <v>117</v>
      </c>
      <c r="B238" s="8" t="s">
        <v>118</v>
      </c>
      <c r="C238" s="18">
        <v>42803</v>
      </c>
      <c r="D238" s="3" t="s">
        <v>18</v>
      </c>
      <c r="E238" s="9">
        <v>0.35416666666666702</v>
      </c>
      <c r="F238" s="9">
        <v>0.72916666666666696</v>
      </c>
      <c r="G238" s="37"/>
      <c r="H238" s="6">
        <v>7.9999999999999982</v>
      </c>
      <c r="I238" s="37"/>
      <c r="J238" s="32" t="s">
        <v>9</v>
      </c>
      <c r="K238" s="41" t="s">
        <v>163</v>
      </c>
      <c r="L238" s="58" t="str">
        <f t="shared" si="6"/>
        <v/>
      </c>
      <c r="M238" s="8" t="str">
        <f t="shared" si="7"/>
        <v>Mar_2017</v>
      </c>
    </row>
    <row r="239" spans="1:13" ht="15.75" x14ac:dyDescent="0.25">
      <c r="A239" s="8" t="s">
        <v>117</v>
      </c>
      <c r="B239" s="8" t="s">
        <v>118</v>
      </c>
      <c r="C239" s="18">
        <v>42804</v>
      </c>
      <c r="D239" s="3" t="s">
        <v>17</v>
      </c>
      <c r="E239" s="9">
        <v>0.35416666666666702</v>
      </c>
      <c r="F239" s="9">
        <v>0.79166666666666696</v>
      </c>
      <c r="G239" s="37"/>
      <c r="H239" s="6">
        <v>9.4999999999999982</v>
      </c>
      <c r="I239" s="37"/>
      <c r="J239" s="32" t="s">
        <v>9</v>
      </c>
      <c r="K239" s="41" t="s">
        <v>155</v>
      </c>
      <c r="L239" s="58" t="str">
        <f t="shared" si="6"/>
        <v/>
      </c>
      <c r="M239" s="8" t="str">
        <f t="shared" si="7"/>
        <v>Mar_2017</v>
      </c>
    </row>
    <row r="240" spans="1:13" ht="15.75" x14ac:dyDescent="0.25">
      <c r="A240" s="8" t="s">
        <v>117</v>
      </c>
      <c r="B240" s="8" t="s">
        <v>118</v>
      </c>
      <c r="C240" s="18">
        <v>42807</v>
      </c>
      <c r="D240" s="3" t="s">
        <v>21</v>
      </c>
      <c r="E240" s="9">
        <v>0.35416666666666702</v>
      </c>
      <c r="F240" s="9">
        <v>0.72916666666666696</v>
      </c>
      <c r="G240" s="37"/>
      <c r="H240" s="6">
        <v>7.9999999999999982</v>
      </c>
      <c r="I240" s="37"/>
      <c r="J240" s="32" t="s">
        <v>9</v>
      </c>
      <c r="K240" s="41" t="s">
        <v>164</v>
      </c>
      <c r="L240" s="58" t="str">
        <f t="shared" si="6"/>
        <v/>
      </c>
      <c r="M240" s="8" t="str">
        <f t="shared" si="7"/>
        <v>Mar_2017</v>
      </c>
    </row>
    <row r="241" spans="1:13" ht="15.75" x14ac:dyDescent="0.25">
      <c r="A241" s="8" t="s">
        <v>117</v>
      </c>
      <c r="B241" s="8" t="s">
        <v>118</v>
      </c>
      <c r="C241" s="18">
        <v>42808</v>
      </c>
      <c r="D241" s="3" t="s">
        <v>16</v>
      </c>
      <c r="E241" s="9">
        <v>0.35416666666666702</v>
      </c>
      <c r="F241" s="9">
        <v>0.72916666666666696</v>
      </c>
      <c r="G241" s="37"/>
      <c r="H241" s="6">
        <v>7.9999999999999982</v>
      </c>
      <c r="I241" s="37"/>
      <c r="J241" s="32" t="s">
        <v>9</v>
      </c>
      <c r="K241" s="41" t="s">
        <v>165</v>
      </c>
      <c r="L241" s="58" t="str">
        <f t="shared" si="6"/>
        <v/>
      </c>
      <c r="M241" s="8" t="str">
        <f t="shared" si="7"/>
        <v>Mar_2017</v>
      </c>
    </row>
    <row r="242" spans="1:13" ht="15.75" x14ac:dyDescent="0.25">
      <c r="A242" s="8" t="s">
        <v>117</v>
      </c>
      <c r="B242" s="8" t="s">
        <v>118</v>
      </c>
      <c r="C242" s="18">
        <v>42809</v>
      </c>
      <c r="D242" s="3" t="s">
        <v>19</v>
      </c>
      <c r="E242" s="9">
        <v>0.35416666666666702</v>
      </c>
      <c r="F242" s="9">
        <v>0.72916666666666696</v>
      </c>
      <c r="G242" s="37"/>
      <c r="H242" s="6">
        <v>7.9999999999999982</v>
      </c>
      <c r="I242" s="37"/>
      <c r="J242" s="32" t="s">
        <v>9</v>
      </c>
      <c r="K242" s="41" t="s">
        <v>166</v>
      </c>
      <c r="L242" s="58" t="str">
        <f t="shared" si="6"/>
        <v/>
      </c>
      <c r="M242" s="8" t="str">
        <f t="shared" si="7"/>
        <v>Mar_2017</v>
      </c>
    </row>
    <row r="243" spans="1:13" ht="15.75" x14ac:dyDescent="0.25">
      <c r="A243" s="8" t="s">
        <v>117</v>
      </c>
      <c r="B243" s="8" t="s">
        <v>118</v>
      </c>
      <c r="C243" s="18">
        <v>42810</v>
      </c>
      <c r="D243" s="3" t="s">
        <v>18</v>
      </c>
      <c r="E243" s="9">
        <v>0.35416666666666702</v>
      </c>
      <c r="F243" s="9">
        <v>0.91666666666666696</v>
      </c>
      <c r="G243" s="37"/>
      <c r="H243" s="6">
        <v>12.5</v>
      </c>
      <c r="I243" s="37"/>
      <c r="J243" s="32" t="s">
        <v>9</v>
      </c>
      <c r="K243" s="41" t="s">
        <v>38</v>
      </c>
      <c r="L243" s="58" t="str">
        <f t="shared" si="6"/>
        <v/>
      </c>
      <c r="M243" s="8" t="str">
        <f t="shared" si="7"/>
        <v>Mar_2017</v>
      </c>
    </row>
    <row r="244" spans="1:13" ht="15.75" x14ac:dyDescent="0.25">
      <c r="A244" s="8" t="s">
        <v>117</v>
      </c>
      <c r="B244" s="8" t="s">
        <v>118</v>
      </c>
      <c r="C244" s="18">
        <v>42811</v>
      </c>
      <c r="D244" s="3" t="s">
        <v>17</v>
      </c>
      <c r="E244" s="9">
        <v>0.35416666666666702</v>
      </c>
      <c r="F244" s="9">
        <v>0.72916666666666696</v>
      </c>
      <c r="G244" s="37"/>
      <c r="H244" s="6">
        <v>7.9999999999999982</v>
      </c>
      <c r="I244" s="37"/>
      <c r="J244" s="32" t="s">
        <v>9</v>
      </c>
      <c r="K244" s="41" t="s">
        <v>167</v>
      </c>
      <c r="L244" s="58" t="str">
        <f t="shared" si="6"/>
        <v/>
      </c>
      <c r="M244" s="8" t="str">
        <f t="shared" si="7"/>
        <v>Mar_2017</v>
      </c>
    </row>
    <row r="245" spans="1:13" ht="15.75" x14ac:dyDescent="0.25">
      <c r="A245" s="8" t="s">
        <v>117</v>
      </c>
      <c r="B245" s="8" t="s">
        <v>118</v>
      </c>
      <c r="C245" s="18">
        <v>42814</v>
      </c>
      <c r="D245" s="3" t="s">
        <v>21</v>
      </c>
      <c r="E245" s="9">
        <v>0.35416666666666702</v>
      </c>
      <c r="F245" s="9">
        <v>0.72916666666666696</v>
      </c>
      <c r="G245" s="37"/>
      <c r="H245" s="6">
        <v>7.9999999999999982</v>
      </c>
      <c r="I245" s="37"/>
      <c r="J245" s="32" t="s">
        <v>9</v>
      </c>
      <c r="K245" s="41" t="s">
        <v>156</v>
      </c>
      <c r="L245" s="58" t="str">
        <f t="shared" si="6"/>
        <v/>
      </c>
      <c r="M245" s="8" t="str">
        <f t="shared" si="7"/>
        <v>Mar_2017</v>
      </c>
    </row>
    <row r="246" spans="1:13" ht="15.75" x14ac:dyDescent="0.25">
      <c r="A246" s="8" t="s">
        <v>117</v>
      </c>
      <c r="B246" s="8" t="s">
        <v>118</v>
      </c>
      <c r="C246" s="18">
        <v>42815</v>
      </c>
      <c r="D246" s="3" t="s">
        <v>16</v>
      </c>
      <c r="E246" s="9">
        <v>0.35416666666666702</v>
      </c>
      <c r="F246" s="9">
        <v>0.89583333333333304</v>
      </c>
      <c r="G246" s="37"/>
      <c r="H246" s="6">
        <v>11.999999999999986</v>
      </c>
      <c r="I246" s="37"/>
      <c r="J246" s="32" t="s">
        <v>9</v>
      </c>
      <c r="K246" s="41" t="s">
        <v>39</v>
      </c>
      <c r="L246" s="58" t="str">
        <f t="shared" si="6"/>
        <v/>
      </c>
      <c r="M246" s="8" t="str">
        <f t="shared" si="7"/>
        <v>Mar_2017</v>
      </c>
    </row>
    <row r="247" spans="1:13" ht="15.75" x14ac:dyDescent="0.25">
      <c r="A247" s="8" t="s">
        <v>117</v>
      </c>
      <c r="B247" s="8" t="s">
        <v>118</v>
      </c>
      <c r="C247" s="18">
        <v>42816</v>
      </c>
      <c r="D247" s="3" t="s">
        <v>19</v>
      </c>
      <c r="E247" s="9">
        <v>0.35416666666666702</v>
      </c>
      <c r="F247" s="9">
        <v>0.8125</v>
      </c>
      <c r="G247" s="37"/>
      <c r="H247" s="6">
        <v>9.9999999999999911</v>
      </c>
      <c r="I247" s="37"/>
      <c r="J247" s="32" t="s">
        <v>9</v>
      </c>
      <c r="K247" s="41" t="s">
        <v>44</v>
      </c>
      <c r="L247" s="58" t="str">
        <f t="shared" si="6"/>
        <v/>
      </c>
      <c r="M247" s="8" t="str">
        <f t="shared" si="7"/>
        <v>Mar_2017</v>
      </c>
    </row>
    <row r="248" spans="1:13" ht="15.75" x14ac:dyDescent="0.25">
      <c r="A248" s="8" t="s">
        <v>117</v>
      </c>
      <c r="B248" s="8" t="s">
        <v>118</v>
      </c>
      <c r="C248" s="18">
        <v>42817</v>
      </c>
      <c r="D248" s="3" t="s">
        <v>18</v>
      </c>
      <c r="E248" s="9">
        <v>0.35416666666666702</v>
      </c>
      <c r="F248" s="9">
        <v>0.77083333333333304</v>
      </c>
      <c r="G248" s="37"/>
      <c r="H248" s="6">
        <v>8.999999999999984</v>
      </c>
      <c r="I248" s="37"/>
      <c r="J248" s="32" t="s">
        <v>9</v>
      </c>
      <c r="K248" s="41" t="s">
        <v>157</v>
      </c>
      <c r="L248" s="58" t="str">
        <f t="shared" si="6"/>
        <v/>
      </c>
      <c r="M248" s="8" t="str">
        <f t="shared" si="7"/>
        <v>Mar_2017</v>
      </c>
    </row>
    <row r="249" spans="1:13" ht="15.75" x14ac:dyDescent="0.25">
      <c r="A249" s="8" t="s">
        <v>117</v>
      </c>
      <c r="B249" s="8" t="s">
        <v>118</v>
      </c>
      <c r="C249" s="18">
        <v>42818</v>
      </c>
      <c r="D249" s="3" t="s">
        <v>17</v>
      </c>
      <c r="E249" s="9">
        <v>0.35416666666666702</v>
      </c>
      <c r="F249" s="9">
        <v>0.72916666666666696</v>
      </c>
      <c r="G249" s="37"/>
      <c r="H249" s="6">
        <v>7.9999999999999982</v>
      </c>
      <c r="I249" s="37"/>
      <c r="J249" s="32" t="s">
        <v>9</v>
      </c>
      <c r="K249" s="41" t="s">
        <v>168</v>
      </c>
      <c r="L249" s="58" t="str">
        <f t="shared" si="6"/>
        <v/>
      </c>
      <c r="M249" s="8" t="str">
        <f t="shared" si="7"/>
        <v>Mar_2017</v>
      </c>
    </row>
    <row r="250" spans="1:13" ht="15.75" x14ac:dyDescent="0.25">
      <c r="A250" s="8" t="s">
        <v>117</v>
      </c>
      <c r="B250" s="8" t="s">
        <v>118</v>
      </c>
      <c r="C250" s="18">
        <v>42821</v>
      </c>
      <c r="D250" s="3" t="s">
        <v>21</v>
      </c>
      <c r="E250" s="9">
        <v>0.35416666666666702</v>
      </c>
      <c r="F250" s="9">
        <v>0.89583333333333304</v>
      </c>
      <c r="G250" s="37"/>
      <c r="H250" s="6">
        <v>11.999999999999986</v>
      </c>
      <c r="I250" s="37"/>
      <c r="J250" s="32" t="s">
        <v>9</v>
      </c>
      <c r="K250" s="41" t="s">
        <v>40</v>
      </c>
      <c r="L250" s="58" t="str">
        <f t="shared" si="6"/>
        <v/>
      </c>
      <c r="M250" s="8" t="str">
        <f t="shared" si="7"/>
        <v>Mar_2017</v>
      </c>
    </row>
    <row r="251" spans="1:13" ht="15.75" x14ac:dyDescent="0.25">
      <c r="A251" s="8" t="s">
        <v>117</v>
      </c>
      <c r="B251" s="8" t="s">
        <v>118</v>
      </c>
      <c r="C251" s="18">
        <v>42822</v>
      </c>
      <c r="D251" s="3" t="s">
        <v>16</v>
      </c>
      <c r="E251" s="9">
        <v>0.35416666666666702</v>
      </c>
      <c r="F251" s="9">
        <v>0.79166666666666696</v>
      </c>
      <c r="G251" s="37"/>
      <c r="H251" s="6">
        <v>9.4999999999999982</v>
      </c>
      <c r="I251" s="37"/>
      <c r="J251" s="32" t="s">
        <v>9</v>
      </c>
      <c r="K251" s="41" t="s">
        <v>45</v>
      </c>
      <c r="L251" s="58" t="str">
        <f t="shared" si="6"/>
        <v/>
      </c>
      <c r="M251" s="8" t="str">
        <f t="shared" si="7"/>
        <v>Mar_2017</v>
      </c>
    </row>
    <row r="252" spans="1:13" ht="15.75" x14ac:dyDescent="0.25">
      <c r="A252" s="8" t="s">
        <v>117</v>
      </c>
      <c r="B252" s="8" t="s">
        <v>118</v>
      </c>
      <c r="C252" s="18">
        <v>42823</v>
      </c>
      <c r="D252" s="3" t="s">
        <v>19</v>
      </c>
      <c r="E252" s="9">
        <v>0.35416666666666702</v>
      </c>
      <c r="F252" s="9">
        <v>0.89583333333333304</v>
      </c>
      <c r="G252" s="37"/>
      <c r="H252" s="6">
        <v>11.999999999999986</v>
      </c>
      <c r="I252" s="37"/>
      <c r="J252" s="32" t="s">
        <v>9</v>
      </c>
      <c r="K252" s="41" t="s">
        <v>42</v>
      </c>
      <c r="L252" s="58" t="str">
        <f t="shared" si="6"/>
        <v/>
      </c>
      <c r="M252" s="8" t="str">
        <f t="shared" si="7"/>
        <v>Mar_2017</v>
      </c>
    </row>
    <row r="253" spans="1:13" ht="15.75" x14ac:dyDescent="0.25">
      <c r="A253" s="8" t="s">
        <v>117</v>
      </c>
      <c r="B253" s="8" t="s">
        <v>118</v>
      </c>
      <c r="C253" s="18">
        <v>42824</v>
      </c>
      <c r="D253" s="3" t="s">
        <v>18</v>
      </c>
      <c r="E253" s="9">
        <v>0.35416666666666702</v>
      </c>
      <c r="F253" s="9">
        <v>0.89583333333333304</v>
      </c>
      <c r="G253" s="37"/>
      <c r="H253" s="6">
        <v>11.999999999999986</v>
      </c>
      <c r="I253" s="37"/>
      <c r="J253" s="32" t="s">
        <v>9</v>
      </c>
      <c r="K253" s="41" t="s">
        <v>41</v>
      </c>
      <c r="L253" s="58" t="str">
        <f t="shared" si="6"/>
        <v/>
      </c>
      <c r="M253" s="8" t="str">
        <f t="shared" si="7"/>
        <v>Mar_2017</v>
      </c>
    </row>
    <row r="254" spans="1:13" ht="15.75" x14ac:dyDescent="0.25">
      <c r="A254" s="8" t="s">
        <v>117</v>
      </c>
      <c r="B254" s="8" t="s">
        <v>118</v>
      </c>
      <c r="C254" s="18">
        <v>42825</v>
      </c>
      <c r="D254" s="3" t="s">
        <v>17</v>
      </c>
      <c r="E254" s="9">
        <v>0.35416666666666702</v>
      </c>
      <c r="F254" s="9">
        <v>0.89583333333333304</v>
      </c>
      <c r="G254" s="37"/>
      <c r="H254" s="6">
        <v>11.999999999999986</v>
      </c>
      <c r="I254" s="37"/>
      <c r="J254" s="32" t="s">
        <v>9</v>
      </c>
      <c r="K254" s="41" t="s">
        <v>43</v>
      </c>
      <c r="L254" s="58" t="str">
        <f t="shared" si="6"/>
        <v/>
      </c>
      <c r="M254" s="8" t="str">
        <f t="shared" si="7"/>
        <v>Mar_2017</v>
      </c>
    </row>
    <row r="255" spans="1:13" ht="15.75" x14ac:dyDescent="0.25">
      <c r="A255" s="2" t="s">
        <v>0</v>
      </c>
      <c r="B255" s="8" t="s">
        <v>34</v>
      </c>
      <c r="C255" s="18">
        <v>42795</v>
      </c>
      <c r="D255" s="3" t="s">
        <v>19</v>
      </c>
      <c r="E255" s="9">
        <v>0.70833333333333304</v>
      </c>
      <c r="F255" s="9">
        <v>0.79166666666666696</v>
      </c>
      <c r="G255" s="37"/>
      <c r="H255" s="6">
        <v>2.0000000000000124</v>
      </c>
      <c r="I255" s="37"/>
      <c r="J255" s="32" t="s">
        <v>9</v>
      </c>
      <c r="K255" s="41" t="s">
        <v>35</v>
      </c>
      <c r="L255" s="58">
        <f t="shared" si="6"/>
        <v>1</v>
      </c>
      <c r="M255" s="8" t="str">
        <f t="shared" si="7"/>
        <v>Mar_2017</v>
      </c>
    </row>
    <row r="256" spans="1:13" ht="15.75" x14ac:dyDescent="0.25">
      <c r="A256" s="2" t="s">
        <v>0</v>
      </c>
      <c r="B256" s="8" t="s">
        <v>34</v>
      </c>
      <c r="C256" s="18">
        <v>42796</v>
      </c>
      <c r="D256" s="3" t="s">
        <v>18</v>
      </c>
      <c r="E256" s="9">
        <v>0.70833333333333304</v>
      </c>
      <c r="F256" s="9">
        <v>0.89583333333333304</v>
      </c>
      <c r="G256" s="37"/>
      <c r="H256" s="6">
        <v>4.4999999999999964</v>
      </c>
      <c r="I256" s="37"/>
      <c r="J256" s="32" t="s">
        <v>9</v>
      </c>
      <c r="K256" s="41" t="s">
        <v>36</v>
      </c>
      <c r="L256" s="58">
        <f t="shared" si="6"/>
        <v>1</v>
      </c>
      <c r="M256" s="8" t="str">
        <f t="shared" si="7"/>
        <v>Mar_2017</v>
      </c>
    </row>
    <row r="257" spans="1:13" ht="15.75" x14ac:dyDescent="0.25">
      <c r="A257" s="2" t="s">
        <v>0</v>
      </c>
      <c r="B257" s="8" t="s">
        <v>34</v>
      </c>
      <c r="C257" s="18">
        <v>42797</v>
      </c>
      <c r="D257" s="3" t="s">
        <v>17</v>
      </c>
      <c r="E257" s="9">
        <v>0.70833333333333304</v>
      </c>
      <c r="F257" s="9">
        <v>0.85416666666666696</v>
      </c>
      <c r="G257" s="37"/>
      <c r="H257" s="6">
        <v>3.5000000000000107</v>
      </c>
      <c r="I257" s="37"/>
      <c r="J257" s="32" t="s">
        <v>9</v>
      </c>
      <c r="K257" s="41" t="s">
        <v>37</v>
      </c>
      <c r="L257" s="58">
        <f t="shared" si="6"/>
        <v>1</v>
      </c>
      <c r="M257" s="8" t="str">
        <f t="shared" si="7"/>
        <v>Mar_2017</v>
      </c>
    </row>
    <row r="258" spans="1:13" ht="15.75" x14ac:dyDescent="0.25">
      <c r="A258" s="2" t="s">
        <v>0</v>
      </c>
      <c r="B258" s="8" t="s">
        <v>34</v>
      </c>
      <c r="C258" s="18">
        <v>42810</v>
      </c>
      <c r="D258" s="3" t="s">
        <v>18</v>
      </c>
      <c r="E258" s="9">
        <v>0.72916666666666696</v>
      </c>
      <c r="F258" s="9">
        <v>0.91666666666666696</v>
      </c>
      <c r="G258" s="37"/>
      <c r="H258" s="6">
        <v>4.4999999999999964</v>
      </c>
      <c r="I258" s="37"/>
      <c r="J258" s="32" t="s">
        <v>9</v>
      </c>
      <c r="K258" s="41" t="s">
        <v>38</v>
      </c>
      <c r="L258" s="58">
        <f t="shared" si="6"/>
        <v>1</v>
      </c>
      <c r="M258" s="8" t="str">
        <f t="shared" si="7"/>
        <v>Mar_2017</v>
      </c>
    </row>
    <row r="259" spans="1:13" ht="15.75" x14ac:dyDescent="0.25">
      <c r="A259" s="2" t="s">
        <v>0</v>
      </c>
      <c r="B259" s="8" t="s">
        <v>34</v>
      </c>
      <c r="C259" s="18">
        <v>42814</v>
      </c>
      <c r="D259" s="3" t="s">
        <v>21</v>
      </c>
      <c r="E259" s="9">
        <v>0.70833333333333304</v>
      </c>
      <c r="F259" s="9">
        <v>0.78125</v>
      </c>
      <c r="G259" s="37"/>
      <c r="H259" s="6">
        <v>1.7500000000000053</v>
      </c>
      <c r="I259" s="37"/>
      <c r="J259" s="32" t="s">
        <v>9</v>
      </c>
      <c r="K259" s="41" t="s">
        <v>156</v>
      </c>
      <c r="L259" s="58" t="str">
        <f t="shared" ref="L259:L322" si="8">IF(AND($A259="Perm Staff Onsite",$H259&gt;=2),1,"")</f>
        <v/>
      </c>
      <c r="M259" s="8" t="str">
        <f t="shared" ref="M259:M322" si="9">IF($C259="","",TEXT(DATE(YEAR($C259),MONTH($C259),DAY($C259)),"MMM")&amp;"_"&amp;YEAR($C259))</f>
        <v>Mar_2017</v>
      </c>
    </row>
    <row r="260" spans="1:13" ht="15.75" x14ac:dyDescent="0.25">
      <c r="A260" s="2" t="s">
        <v>0</v>
      </c>
      <c r="B260" s="8" t="s">
        <v>34</v>
      </c>
      <c r="C260" s="18">
        <v>42815</v>
      </c>
      <c r="D260" s="3" t="s">
        <v>16</v>
      </c>
      <c r="E260" s="9">
        <v>0.70833333333333304</v>
      </c>
      <c r="F260" s="9">
        <v>0.89583333333333304</v>
      </c>
      <c r="G260" s="37"/>
      <c r="H260" s="6">
        <v>4.4999999999999964</v>
      </c>
      <c r="I260" s="37"/>
      <c r="J260" s="32" t="s">
        <v>9</v>
      </c>
      <c r="K260" s="41" t="s">
        <v>39</v>
      </c>
      <c r="L260" s="58">
        <f t="shared" si="8"/>
        <v>1</v>
      </c>
      <c r="M260" s="8" t="str">
        <f t="shared" si="9"/>
        <v>Mar_2017</v>
      </c>
    </row>
    <row r="261" spans="1:13" ht="15.75" x14ac:dyDescent="0.25">
      <c r="A261" s="2" t="s">
        <v>0</v>
      </c>
      <c r="B261" s="8" t="s">
        <v>34</v>
      </c>
      <c r="C261" s="18">
        <v>42816</v>
      </c>
      <c r="D261" s="3" t="s">
        <v>19</v>
      </c>
      <c r="E261" s="9">
        <v>0.70833333333333304</v>
      </c>
      <c r="F261" s="9">
        <v>0.8125</v>
      </c>
      <c r="G261" s="37"/>
      <c r="H261" s="6">
        <v>2.5000000000000053</v>
      </c>
      <c r="I261" s="37"/>
      <c r="J261" s="32" t="s">
        <v>9</v>
      </c>
      <c r="K261" s="41" t="s">
        <v>44</v>
      </c>
      <c r="L261" s="58">
        <f t="shared" si="8"/>
        <v>1</v>
      </c>
      <c r="M261" s="8" t="str">
        <f t="shared" si="9"/>
        <v>Mar_2017</v>
      </c>
    </row>
    <row r="262" spans="1:13" ht="15.75" x14ac:dyDescent="0.25">
      <c r="A262" s="2" t="s">
        <v>0</v>
      </c>
      <c r="B262" s="8" t="s">
        <v>34</v>
      </c>
      <c r="C262" s="18">
        <v>42817</v>
      </c>
      <c r="D262" s="3" t="s">
        <v>18</v>
      </c>
      <c r="E262" s="9">
        <v>0.70833333333333304</v>
      </c>
      <c r="F262" s="9">
        <v>0.77083333333333304</v>
      </c>
      <c r="G262" s="37"/>
      <c r="H262" s="6">
        <v>1.4999999999999982</v>
      </c>
      <c r="I262" s="37"/>
      <c r="J262" s="32" t="s">
        <v>9</v>
      </c>
      <c r="K262" s="41" t="s">
        <v>157</v>
      </c>
      <c r="L262" s="58" t="str">
        <f t="shared" si="8"/>
        <v/>
      </c>
      <c r="M262" s="8" t="str">
        <f t="shared" si="9"/>
        <v>Mar_2017</v>
      </c>
    </row>
    <row r="263" spans="1:13" ht="15.75" x14ac:dyDescent="0.25">
      <c r="A263" s="2" t="s">
        <v>0</v>
      </c>
      <c r="B263" s="8" t="s">
        <v>34</v>
      </c>
      <c r="C263" s="18">
        <v>42819</v>
      </c>
      <c r="D263" s="3" t="s">
        <v>24</v>
      </c>
      <c r="E263" s="9">
        <v>0.35416666666666702</v>
      </c>
      <c r="F263" s="9">
        <v>0.72916666666666696</v>
      </c>
      <c r="G263" s="37"/>
      <c r="H263" s="6">
        <v>7.9999999999999982</v>
      </c>
      <c r="I263" s="37"/>
      <c r="J263" s="32" t="s">
        <v>46</v>
      </c>
      <c r="K263" s="41" t="s">
        <v>158</v>
      </c>
      <c r="L263" s="58">
        <f t="shared" si="8"/>
        <v>1</v>
      </c>
      <c r="M263" s="8" t="str">
        <f t="shared" si="9"/>
        <v>Mar_2017</v>
      </c>
    </row>
    <row r="264" spans="1:13" ht="15.75" x14ac:dyDescent="0.25">
      <c r="A264" s="2" t="s">
        <v>0</v>
      </c>
      <c r="B264" s="8" t="s">
        <v>34</v>
      </c>
      <c r="C264" s="18">
        <v>42822</v>
      </c>
      <c r="D264" s="3" t="s">
        <v>16</v>
      </c>
      <c r="E264" s="9">
        <v>0.70833333333333304</v>
      </c>
      <c r="F264" s="9">
        <v>0.79166666666666696</v>
      </c>
      <c r="G264" s="37"/>
      <c r="H264" s="6">
        <v>2.0000000000000124</v>
      </c>
      <c r="I264" s="37"/>
      <c r="J264" s="32" t="s">
        <v>9</v>
      </c>
      <c r="K264" s="41" t="s">
        <v>45</v>
      </c>
      <c r="L264" s="58">
        <f t="shared" si="8"/>
        <v>1</v>
      </c>
      <c r="M264" s="8" t="str">
        <f t="shared" si="9"/>
        <v>Mar_2017</v>
      </c>
    </row>
    <row r="265" spans="1:13" ht="15.75" x14ac:dyDescent="0.25">
      <c r="A265" s="2" t="s">
        <v>0</v>
      </c>
      <c r="B265" s="8" t="s">
        <v>34</v>
      </c>
      <c r="C265" s="18">
        <v>42823</v>
      </c>
      <c r="D265" s="3" t="s">
        <v>19</v>
      </c>
      <c r="E265" s="9">
        <v>0.70833333333333304</v>
      </c>
      <c r="F265" s="9">
        <v>0.71875</v>
      </c>
      <c r="G265" s="37"/>
      <c r="H265" s="6">
        <v>0.25000000000000533</v>
      </c>
      <c r="I265" s="37"/>
      <c r="J265" s="32" t="s">
        <v>9</v>
      </c>
      <c r="K265" s="41" t="s">
        <v>42</v>
      </c>
      <c r="L265" s="58" t="str">
        <f t="shared" si="8"/>
        <v/>
      </c>
      <c r="M265" s="8" t="str">
        <f t="shared" si="9"/>
        <v>Mar_2017</v>
      </c>
    </row>
    <row r="266" spans="1:13" ht="15.75" x14ac:dyDescent="0.25">
      <c r="A266" s="2" t="s">
        <v>0</v>
      </c>
      <c r="B266" s="8" t="s">
        <v>34</v>
      </c>
      <c r="C266" s="18">
        <v>42824</v>
      </c>
      <c r="D266" s="3" t="s">
        <v>18</v>
      </c>
      <c r="E266" s="9">
        <v>0.71875</v>
      </c>
      <c r="F266" s="9">
        <v>0.89583333333333304</v>
      </c>
      <c r="G266" s="37"/>
      <c r="H266" s="6">
        <v>4.2499999999999893</v>
      </c>
      <c r="I266" s="37"/>
      <c r="J266" s="32" t="s">
        <v>9</v>
      </c>
      <c r="K266" s="41" t="s">
        <v>41</v>
      </c>
      <c r="L266" s="58">
        <f t="shared" si="8"/>
        <v>1</v>
      </c>
      <c r="M266" s="8" t="str">
        <f t="shared" si="9"/>
        <v>Mar_2017</v>
      </c>
    </row>
    <row r="267" spans="1:13" ht="15.75" x14ac:dyDescent="0.25">
      <c r="A267" s="8" t="s">
        <v>117</v>
      </c>
      <c r="B267" s="8" t="s">
        <v>128</v>
      </c>
      <c r="C267" s="18">
        <v>42795</v>
      </c>
      <c r="D267" s="3" t="s">
        <v>19</v>
      </c>
      <c r="E267" s="9">
        <v>0.54166666666666696</v>
      </c>
      <c r="F267" s="9">
        <v>0.89583333333333304</v>
      </c>
      <c r="G267" s="37"/>
      <c r="H267" s="6">
        <v>7.4999999999999858</v>
      </c>
      <c r="I267" s="37"/>
      <c r="J267" s="32" t="s">
        <v>9</v>
      </c>
      <c r="K267" s="41" t="s">
        <v>35</v>
      </c>
      <c r="L267" s="58" t="str">
        <f t="shared" si="8"/>
        <v/>
      </c>
      <c r="M267" s="8" t="str">
        <f t="shared" si="9"/>
        <v>Mar_2017</v>
      </c>
    </row>
    <row r="268" spans="1:13" ht="15.75" x14ac:dyDescent="0.25">
      <c r="A268" s="8" t="s">
        <v>117</v>
      </c>
      <c r="B268" s="8" t="s">
        <v>128</v>
      </c>
      <c r="C268" s="18">
        <v>42796</v>
      </c>
      <c r="D268" s="3" t="s">
        <v>18</v>
      </c>
      <c r="E268" s="9">
        <v>0.54166666666666696</v>
      </c>
      <c r="F268" s="9">
        <v>0.91666666666666696</v>
      </c>
      <c r="G268" s="37"/>
      <c r="H268" s="6">
        <v>8</v>
      </c>
      <c r="I268" s="37"/>
      <c r="J268" s="32" t="s">
        <v>9</v>
      </c>
      <c r="K268" s="41" t="s">
        <v>36</v>
      </c>
      <c r="L268" s="58" t="str">
        <f t="shared" si="8"/>
        <v/>
      </c>
      <c r="M268" s="8" t="str">
        <f t="shared" si="9"/>
        <v>Mar_2017</v>
      </c>
    </row>
    <row r="269" spans="1:13" ht="15.75" x14ac:dyDescent="0.25">
      <c r="A269" s="8" t="s">
        <v>117</v>
      </c>
      <c r="B269" s="8" t="s">
        <v>128</v>
      </c>
      <c r="C269" s="18">
        <v>42809</v>
      </c>
      <c r="D269" s="3" t="s">
        <v>19</v>
      </c>
      <c r="E269" s="9">
        <v>0.4375</v>
      </c>
      <c r="F269" s="9">
        <v>0.70833333333333304</v>
      </c>
      <c r="G269" s="37"/>
      <c r="H269" s="6">
        <v>5.4999999999999929</v>
      </c>
      <c r="I269" s="37"/>
      <c r="J269" s="32" t="s">
        <v>9</v>
      </c>
      <c r="K269" s="41" t="s">
        <v>166</v>
      </c>
      <c r="L269" s="58" t="str">
        <f t="shared" si="8"/>
        <v/>
      </c>
      <c r="M269" s="8" t="str">
        <f t="shared" si="9"/>
        <v>Mar_2017</v>
      </c>
    </row>
    <row r="270" spans="1:13" ht="15.75" x14ac:dyDescent="0.25">
      <c r="A270" s="8" t="s">
        <v>117</v>
      </c>
      <c r="B270" s="8" t="s">
        <v>128</v>
      </c>
      <c r="C270" s="18">
        <v>42810</v>
      </c>
      <c r="D270" s="3" t="s">
        <v>18</v>
      </c>
      <c r="E270" s="9">
        <v>0.77083333333333304</v>
      </c>
      <c r="F270" s="9">
        <v>0.91666666666666696</v>
      </c>
      <c r="G270" s="37"/>
      <c r="H270" s="6">
        <v>3.5000000000000142</v>
      </c>
      <c r="I270" s="37"/>
      <c r="J270" s="32" t="s">
        <v>9</v>
      </c>
      <c r="K270" s="41" t="s">
        <v>38</v>
      </c>
      <c r="L270" s="58" t="str">
        <f t="shared" si="8"/>
        <v/>
      </c>
      <c r="M270" s="8" t="str">
        <f t="shared" si="9"/>
        <v>Mar_2017</v>
      </c>
    </row>
    <row r="271" spans="1:13" ht="15.75" x14ac:dyDescent="0.25">
      <c r="A271" s="8" t="s">
        <v>117</v>
      </c>
      <c r="B271" s="8" t="s">
        <v>128</v>
      </c>
      <c r="C271" s="18">
        <v>42815</v>
      </c>
      <c r="D271" s="3" t="s">
        <v>16</v>
      </c>
      <c r="E271" s="9">
        <v>0.77083333333333304</v>
      </c>
      <c r="F271" s="9">
        <v>0.89583333333333304</v>
      </c>
      <c r="G271" s="37"/>
      <c r="H271" s="6">
        <v>3</v>
      </c>
      <c r="I271" s="37"/>
      <c r="J271" s="32" t="s">
        <v>9</v>
      </c>
      <c r="K271" s="41" t="s">
        <v>39</v>
      </c>
      <c r="L271" s="58" t="str">
        <f t="shared" si="8"/>
        <v/>
      </c>
      <c r="M271" s="8" t="str">
        <f t="shared" si="9"/>
        <v>Mar_2017</v>
      </c>
    </row>
    <row r="272" spans="1:13" ht="15.75" x14ac:dyDescent="0.25">
      <c r="A272" s="8" t="s">
        <v>117</v>
      </c>
      <c r="B272" s="8" t="s">
        <v>128</v>
      </c>
      <c r="C272" s="18">
        <v>42819</v>
      </c>
      <c r="D272" s="3" t="s">
        <v>24</v>
      </c>
      <c r="E272" s="9">
        <v>0.35416666666666702</v>
      </c>
      <c r="F272" s="9">
        <v>0.66666666666666696</v>
      </c>
      <c r="G272" s="37"/>
      <c r="H272" s="6">
        <v>6.4999999999999982</v>
      </c>
      <c r="I272" s="37"/>
      <c r="J272" s="32" t="s">
        <v>46</v>
      </c>
      <c r="K272" s="41" t="s">
        <v>169</v>
      </c>
      <c r="L272" s="58" t="str">
        <f t="shared" si="8"/>
        <v/>
      </c>
      <c r="M272" s="8" t="str">
        <f t="shared" si="9"/>
        <v>Mar_2017</v>
      </c>
    </row>
    <row r="273" spans="1:13" ht="15.75" x14ac:dyDescent="0.25">
      <c r="A273" s="8" t="s">
        <v>117</v>
      </c>
      <c r="B273" s="8" t="s">
        <v>129</v>
      </c>
      <c r="C273" s="18">
        <v>42795</v>
      </c>
      <c r="D273" s="3" t="s">
        <v>19</v>
      </c>
      <c r="E273" s="9">
        <v>0.33333333333333298</v>
      </c>
      <c r="F273" s="9">
        <v>0.91666666666666696</v>
      </c>
      <c r="G273" s="37"/>
      <c r="H273" s="6">
        <v>13.000000000000014</v>
      </c>
      <c r="I273" s="37"/>
      <c r="J273" s="32" t="s">
        <v>9</v>
      </c>
      <c r="K273" s="41" t="s">
        <v>35</v>
      </c>
      <c r="L273" s="58" t="str">
        <f t="shared" si="8"/>
        <v/>
      </c>
      <c r="M273" s="8" t="str">
        <f t="shared" si="9"/>
        <v>Mar_2017</v>
      </c>
    </row>
    <row r="274" spans="1:13" ht="15.75" x14ac:dyDescent="0.25">
      <c r="A274" s="8" t="s">
        <v>117</v>
      </c>
      <c r="B274" s="8" t="s">
        <v>129</v>
      </c>
      <c r="C274" s="18">
        <v>42796</v>
      </c>
      <c r="D274" s="3" t="s">
        <v>18</v>
      </c>
      <c r="E274" s="9">
        <v>0.35416666666666702</v>
      </c>
      <c r="F274" s="9">
        <v>0.91666666666666696</v>
      </c>
      <c r="G274" s="37"/>
      <c r="H274" s="6">
        <v>12.5</v>
      </c>
      <c r="I274" s="37"/>
      <c r="J274" s="32" t="s">
        <v>9</v>
      </c>
      <c r="K274" s="41" t="s">
        <v>36</v>
      </c>
      <c r="L274" s="58" t="str">
        <f t="shared" si="8"/>
        <v/>
      </c>
      <c r="M274" s="8" t="str">
        <f t="shared" si="9"/>
        <v>Mar_2017</v>
      </c>
    </row>
    <row r="275" spans="1:13" ht="15.75" x14ac:dyDescent="0.25">
      <c r="A275" s="8" t="s">
        <v>117</v>
      </c>
      <c r="B275" s="8" t="s">
        <v>129</v>
      </c>
      <c r="C275" s="18">
        <v>42797</v>
      </c>
      <c r="D275" s="3" t="s">
        <v>17</v>
      </c>
      <c r="E275" s="9">
        <v>0.35416666666666702</v>
      </c>
      <c r="F275" s="9">
        <v>0.85416666666666696</v>
      </c>
      <c r="G275" s="37"/>
      <c r="H275" s="6">
        <v>10.999999999999998</v>
      </c>
      <c r="I275" s="37"/>
      <c r="J275" s="32" t="s">
        <v>9</v>
      </c>
      <c r="K275" s="41" t="s">
        <v>37</v>
      </c>
      <c r="L275" s="58" t="str">
        <f t="shared" si="8"/>
        <v/>
      </c>
      <c r="M275" s="8" t="str">
        <f t="shared" si="9"/>
        <v>Mar_2017</v>
      </c>
    </row>
    <row r="276" spans="1:13" ht="15.75" x14ac:dyDescent="0.25">
      <c r="A276" s="8" t="s">
        <v>117</v>
      </c>
      <c r="B276" s="8" t="s">
        <v>130</v>
      </c>
      <c r="C276" s="18">
        <v>42796</v>
      </c>
      <c r="D276" s="3" t="s">
        <v>18</v>
      </c>
      <c r="E276" s="9">
        <v>0.75</v>
      </c>
      <c r="F276" s="9">
        <v>0.91666666666666696</v>
      </c>
      <c r="G276" s="37"/>
      <c r="H276" s="6">
        <v>3.0000000000000071</v>
      </c>
      <c r="I276" s="37"/>
      <c r="J276" s="32" t="s">
        <v>9</v>
      </c>
      <c r="K276" s="41" t="s">
        <v>36</v>
      </c>
      <c r="L276" s="58" t="str">
        <f t="shared" si="8"/>
        <v/>
      </c>
      <c r="M276" s="8" t="str">
        <f t="shared" si="9"/>
        <v>Mar_2017</v>
      </c>
    </row>
    <row r="277" spans="1:13" ht="15.75" x14ac:dyDescent="0.25">
      <c r="A277" s="8" t="s">
        <v>117</v>
      </c>
      <c r="B277" s="8" t="s">
        <v>130</v>
      </c>
      <c r="C277" s="18">
        <v>42815</v>
      </c>
      <c r="D277" s="3" t="s">
        <v>16</v>
      </c>
      <c r="E277" s="9">
        <v>0.77083333333333304</v>
      </c>
      <c r="F277" s="9">
        <v>0.90625</v>
      </c>
      <c r="G277" s="37"/>
      <c r="H277" s="6">
        <v>3.2500000000000071</v>
      </c>
      <c r="I277" s="37"/>
      <c r="J277" s="32" t="s">
        <v>9</v>
      </c>
      <c r="K277" s="41" t="s">
        <v>39</v>
      </c>
      <c r="L277" s="58" t="str">
        <f t="shared" si="8"/>
        <v/>
      </c>
      <c r="M277" s="8" t="str">
        <f t="shared" si="9"/>
        <v>Mar_2017</v>
      </c>
    </row>
    <row r="278" spans="1:13" ht="15.75" x14ac:dyDescent="0.25">
      <c r="A278" s="8" t="s">
        <v>117</v>
      </c>
      <c r="B278" s="8" t="s">
        <v>130</v>
      </c>
      <c r="C278" s="18">
        <v>42825</v>
      </c>
      <c r="D278" s="3" t="s">
        <v>17</v>
      </c>
      <c r="E278" s="9">
        <v>0.625</v>
      </c>
      <c r="F278" s="9">
        <v>0.89583333333333304</v>
      </c>
      <c r="G278" s="37"/>
      <c r="H278" s="6">
        <v>6.4999999999999929</v>
      </c>
      <c r="I278" s="37"/>
      <c r="J278" s="32" t="s">
        <v>9</v>
      </c>
      <c r="K278" s="41" t="s">
        <v>43</v>
      </c>
      <c r="L278" s="58" t="str">
        <f t="shared" si="8"/>
        <v/>
      </c>
      <c r="M278" s="8" t="str">
        <f t="shared" si="9"/>
        <v>Mar_2017</v>
      </c>
    </row>
    <row r="279" spans="1:13" ht="15.75" x14ac:dyDescent="0.25">
      <c r="A279" s="8" t="s">
        <v>117</v>
      </c>
      <c r="B279" s="8" t="s">
        <v>170</v>
      </c>
      <c r="C279" s="18">
        <v>42814</v>
      </c>
      <c r="D279" s="3" t="s">
        <v>21</v>
      </c>
      <c r="E279" s="9">
        <v>0.35416666666666702</v>
      </c>
      <c r="F279" s="9">
        <v>0.78125</v>
      </c>
      <c r="G279" s="37"/>
      <c r="H279" s="6">
        <v>9.7499999999999911</v>
      </c>
      <c r="I279" s="37"/>
      <c r="J279" s="32" t="s">
        <v>9</v>
      </c>
      <c r="K279" s="41" t="s">
        <v>169</v>
      </c>
      <c r="L279" s="58" t="str">
        <f t="shared" si="8"/>
        <v/>
      </c>
      <c r="M279" s="8" t="str">
        <f t="shared" si="9"/>
        <v>Mar_2017</v>
      </c>
    </row>
    <row r="280" spans="1:13" ht="15.75" x14ac:dyDescent="0.25">
      <c r="A280" s="8" t="s">
        <v>117</v>
      </c>
      <c r="B280" s="8" t="s">
        <v>170</v>
      </c>
      <c r="C280" s="18">
        <v>42815</v>
      </c>
      <c r="D280" s="3" t="s">
        <v>16</v>
      </c>
      <c r="E280" s="9">
        <v>0.35416666666666702</v>
      </c>
      <c r="F280" s="9">
        <v>0.72916666666666696</v>
      </c>
      <c r="G280" s="37"/>
      <c r="H280" s="6">
        <v>7.9999999999999982</v>
      </c>
      <c r="I280" s="37"/>
      <c r="J280" s="32" t="s">
        <v>9</v>
      </c>
      <c r="K280" s="41" t="s">
        <v>169</v>
      </c>
      <c r="L280" s="58" t="str">
        <f t="shared" si="8"/>
        <v/>
      </c>
      <c r="M280" s="8" t="str">
        <f t="shared" si="9"/>
        <v>Mar_2017</v>
      </c>
    </row>
    <row r="281" spans="1:13" ht="15.75" x14ac:dyDescent="0.25">
      <c r="A281" s="8" t="s">
        <v>117</v>
      </c>
      <c r="B281" s="8" t="s">
        <v>170</v>
      </c>
      <c r="C281" s="18">
        <v>42816</v>
      </c>
      <c r="D281" s="3" t="s">
        <v>19</v>
      </c>
      <c r="E281" s="9">
        <v>0.35416666666666702</v>
      </c>
      <c r="F281" s="9">
        <v>0.77083333333333304</v>
      </c>
      <c r="G281" s="37"/>
      <c r="H281" s="6">
        <v>8.999999999999984</v>
      </c>
      <c r="I281" s="37"/>
      <c r="J281" s="32" t="s">
        <v>9</v>
      </c>
      <c r="K281" s="41" t="s">
        <v>169</v>
      </c>
      <c r="L281" s="58" t="str">
        <f t="shared" si="8"/>
        <v/>
      </c>
      <c r="M281" s="8" t="str">
        <f t="shared" si="9"/>
        <v>Mar_2017</v>
      </c>
    </row>
    <row r="282" spans="1:13" ht="15.75" x14ac:dyDescent="0.25">
      <c r="A282" s="8" t="s">
        <v>117</v>
      </c>
      <c r="B282" s="8" t="s">
        <v>170</v>
      </c>
      <c r="C282" s="18">
        <v>42817</v>
      </c>
      <c r="D282" s="3" t="s">
        <v>18</v>
      </c>
      <c r="E282" s="9">
        <v>0.53125</v>
      </c>
      <c r="F282" s="9">
        <v>0.73958333333333304</v>
      </c>
      <c r="G282" s="37"/>
      <c r="H282" s="6">
        <v>4.9999999999999929</v>
      </c>
      <c r="I282" s="37"/>
      <c r="J282" s="32" t="s">
        <v>9</v>
      </c>
      <c r="K282" s="41" t="s">
        <v>169</v>
      </c>
      <c r="L282" s="58" t="str">
        <f t="shared" si="8"/>
        <v/>
      </c>
      <c r="M282" s="8" t="str">
        <f t="shared" si="9"/>
        <v>Mar_2017</v>
      </c>
    </row>
    <row r="283" spans="1:13" ht="15.75" x14ac:dyDescent="0.25">
      <c r="A283" s="8" t="s">
        <v>117</v>
      </c>
      <c r="B283" s="8" t="s">
        <v>170</v>
      </c>
      <c r="C283" s="18">
        <v>42818</v>
      </c>
      <c r="D283" s="3" t="s">
        <v>17</v>
      </c>
      <c r="E283" s="9">
        <v>0.35416666666666702</v>
      </c>
      <c r="F283" s="9">
        <v>0.72916666666666696</v>
      </c>
      <c r="G283" s="37"/>
      <c r="H283" s="6">
        <v>7.9999999999999982</v>
      </c>
      <c r="I283" s="37"/>
      <c r="J283" s="32" t="s">
        <v>9</v>
      </c>
      <c r="K283" s="41" t="s">
        <v>169</v>
      </c>
      <c r="L283" s="58" t="str">
        <f t="shared" si="8"/>
        <v/>
      </c>
      <c r="M283" s="8" t="str">
        <f t="shared" si="9"/>
        <v>Mar_2017</v>
      </c>
    </row>
    <row r="284" spans="1:13" ht="15.75" x14ac:dyDescent="0.25">
      <c r="A284" s="8" t="s">
        <v>117</v>
      </c>
      <c r="B284" s="8" t="s">
        <v>171</v>
      </c>
      <c r="C284" s="18">
        <v>42814</v>
      </c>
      <c r="D284" s="3" t="s">
        <v>21</v>
      </c>
      <c r="E284" s="9">
        <v>0.35416666666666702</v>
      </c>
      <c r="F284" s="9">
        <v>0.72916666666666696</v>
      </c>
      <c r="G284" s="37"/>
      <c r="H284" s="6">
        <v>8.4999999999999982</v>
      </c>
      <c r="I284" s="37"/>
      <c r="J284" s="32" t="s">
        <v>9</v>
      </c>
      <c r="K284" s="41" t="s">
        <v>169</v>
      </c>
      <c r="L284" s="58" t="str">
        <f t="shared" si="8"/>
        <v/>
      </c>
      <c r="M284" s="8" t="str">
        <f t="shared" si="9"/>
        <v>Mar_2017</v>
      </c>
    </row>
    <row r="285" spans="1:13" ht="15.75" x14ac:dyDescent="0.25">
      <c r="A285" s="8" t="s">
        <v>117</v>
      </c>
      <c r="B285" s="8" t="s">
        <v>171</v>
      </c>
      <c r="C285" s="18">
        <v>42815</v>
      </c>
      <c r="D285" s="3" t="s">
        <v>16</v>
      </c>
      <c r="E285" s="9">
        <v>0.35416666666666702</v>
      </c>
      <c r="F285" s="9">
        <v>0.72916666666666696</v>
      </c>
      <c r="G285" s="37"/>
      <c r="H285" s="6">
        <v>7.9999999999999982</v>
      </c>
      <c r="I285" s="37"/>
      <c r="J285" s="32" t="s">
        <v>9</v>
      </c>
      <c r="K285" s="41" t="s">
        <v>169</v>
      </c>
      <c r="L285" s="58" t="str">
        <f t="shared" si="8"/>
        <v/>
      </c>
      <c r="M285" s="8" t="str">
        <f t="shared" si="9"/>
        <v>Mar_2017</v>
      </c>
    </row>
    <row r="286" spans="1:13" ht="15.75" x14ac:dyDescent="0.25">
      <c r="A286" s="8" t="s">
        <v>117</v>
      </c>
      <c r="B286" s="8" t="s">
        <v>171</v>
      </c>
      <c r="C286" s="18">
        <v>42816</v>
      </c>
      <c r="D286" s="3" t="s">
        <v>19</v>
      </c>
      <c r="E286" s="9">
        <v>0.375</v>
      </c>
      <c r="F286" s="9">
        <v>0.77083333333333304</v>
      </c>
      <c r="G286" s="37"/>
      <c r="H286" s="6">
        <v>8.4999999999999929</v>
      </c>
      <c r="I286" s="37"/>
      <c r="J286" s="32" t="s">
        <v>9</v>
      </c>
      <c r="K286" s="41" t="s">
        <v>169</v>
      </c>
      <c r="L286" s="58" t="str">
        <f t="shared" si="8"/>
        <v/>
      </c>
      <c r="M286" s="8" t="str">
        <f t="shared" si="9"/>
        <v>Mar_2017</v>
      </c>
    </row>
    <row r="287" spans="1:13" ht="15.75" x14ac:dyDescent="0.25">
      <c r="A287" s="8" t="s">
        <v>117</v>
      </c>
      <c r="B287" s="8" t="s">
        <v>171</v>
      </c>
      <c r="C287" s="18">
        <v>42817</v>
      </c>
      <c r="D287" s="3" t="s">
        <v>18</v>
      </c>
      <c r="E287" s="9">
        <v>0.35416666666666702</v>
      </c>
      <c r="F287" s="9">
        <v>0.73958333333333304</v>
      </c>
      <c r="G287" s="37"/>
      <c r="H287" s="6">
        <v>8.249999999999984</v>
      </c>
      <c r="I287" s="37"/>
      <c r="J287" s="32" t="s">
        <v>9</v>
      </c>
      <c r="K287" s="41" t="s">
        <v>169</v>
      </c>
      <c r="L287" s="58" t="str">
        <f t="shared" si="8"/>
        <v/>
      </c>
      <c r="M287" s="8" t="str">
        <f t="shared" si="9"/>
        <v>Mar_2017</v>
      </c>
    </row>
    <row r="288" spans="1:13" ht="15.75" x14ac:dyDescent="0.25">
      <c r="A288" s="8" t="s">
        <v>117</v>
      </c>
      <c r="B288" s="8" t="s">
        <v>171</v>
      </c>
      <c r="C288" s="18">
        <v>42818</v>
      </c>
      <c r="D288" s="3" t="s">
        <v>17</v>
      </c>
      <c r="E288" s="9">
        <v>0.35416666666666702</v>
      </c>
      <c r="F288" s="9">
        <v>0.72916666666666696</v>
      </c>
      <c r="G288" s="37"/>
      <c r="H288" s="6">
        <v>7.9999999999999982</v>
      </c>
      <c r="I288" s="37"/>
      <c r="J288" s="32" t="s">
        <v>9</v>
      </c>
      <c r="K288" s="41" t="s">
        <v>169</v>
      </c>
      <c r="L288" s="58" t="str">
        <f t="shared" si="8"/>
        <v/>
      </c>
      <c r="M288" s="8" t="str">
        <f t="shared" si="9"/>
        <v>Mar_2017</v>
      </c>
    </row>
    <row r="289" spans="1:13" ht="15.75" x14ac:dyDescent="0.25">
      <c r="A289" s="8" t="s">
        <v>117</v>
      </c>
      <c r="B289" s="8" t="s">
        <v>171</v>
      </c>
      <c r="C289" s="18">
        <v>42819</v>
      </c>
      <c r="D289" s="3" t="s">
        <v>24</v>
      </c>
      <c r="E289" s="9">
        <v>0.38541666666666702</v>
      </c>
      <c r="F289" s="9">
        <v>0.6875</v>
      </c>
      <c r="G289" s="37"/>
      <c r="H289" s="6">
        <v>6.2499999999999911</v>
      </c>
      <c r="I289" s="37"/>
      <c r="J289" s="32" t="s">
        <v>46</v>
      </c>
      <c r="K289" s="41" t="s">
        <v>169</v>
      </c>
      <c r="L289" s="58" t="str">
        <f t="shared" si="8"/>
        <v/>
      </c>
      <c r="M289" s="8" t="str">
        <f t="shared" si="9"/>
        <v>Mar_2017</v>
      </c>
    </row>
    <row r="290" spans="1:13" ht="15.75" x14ac:dyDescent="0.25">
      <c r="A290" s="8" t="s">
        <v>117</v>
      </c>
      <c r="B290" s="8" t="s">
        <v>171</v>
      </c>
      <c r="C290" s="18">
        <v>42821</v>
      </c>
      <c r="D290" s="3" t="s">
        <v>21</v>
      </c>
      <c r="E290" s="9">
        <v>0.35416666666666702</v>
      </c>
      <c r="F290" s="9">
        <v>0.5</v>
      </c>
      <c r="G290" s="37"/>
      <c r="H290" s="6">
        <v>3.4999999999999916</v>
      </c>
      <c r="I290" s="37"/>
      <c r="J290" s="32" t="s">
        <v>9</v>
      </c>
      <c r="K290" s="41" t="s">
        <v>172</v>
      </c>
      <c r="L290" s="58" t="str">
        <f t="shared" si="8"/>
        <v/>
      </c>
      <c r="M290" s="8" t="str">
        <f t="shared" si="9"/>
        <v>Mar_2017</v>
      </c>
    </row>
    <row r="291" spans="1:13" ht="15.75" x14ac:dyDescent="0.25">
      <c r="A291" s="8" t="s">
        <v>117</v>
      </c>
      <c r="B291" s="8" t="s">
        <v>171</v>
      </c>
      <c r="C291" s="18">
        <v>42822</v>
      </c>
      <c r="D291" s="3" t="s">
        <v>16</v>
      </c>
      <c r="E291" s="9">
        <v>0.35416666666666702</v>
      </c>
      <c r="F291" s="9">
        <v>0.72916666666666696</v>
      </c>
      <c r="G291" s="37"/>
      <c r="H291" s="6">
        <v>7.9999999999999982</v>
      </c>
      <c r="I291" s="37"/>
      <c r="J291" s="32" t="s">
        <v>9</v>
      </c>
      <c r="K291" s="41" t="s">
        <v>173</v>
      </c>
      <c r="L291" s="58" t="str">
        <f t="shared" si="8"/>
        <v/>
      </c>
      <c r="M291" s="8" t="str">
        <f t="shared" si="9"/>
        <v>Mar_2017</v>
      </c>
    </row>
    <row r="292" spans="1:13" ht="15.75" x14ac:dyDescent="0.25">
      <c r="A292" s="8" t="s">
        <v>117</v>
      </c>
      <c r="B292" s="8" t="s">
        <v>171</v>
      </c>
      <c r="C292" s="18">
        <v>42823</v>
      </c>
      <c r="D292" s="3" t="s">
        <v>19</v>
      </c>
      <c r="E292" s="9">
        <v>0.38541666666666702</v>
      </c>
      <c r="F292" s="9">
        <v>0.89583333333333304</v>
      </c>
      <c r="G292" s="37"/>
      <c r="H292" s="6">
        <v>11.249999999999986</v>
      </c>
      <c r="I292" s="37"/>
      <c r="J292" s="32" t="s">
        <v>9</v>
      </c>
      <c r="K292" s="41" t="s">
        <v>174</v>
      </c>
      <c r="L292" s="58" t="str">
        <f t="shared" si="8"/>
        <v/>
      </c>
      <c r="M292" s="8" t="str">
        <f t="shared" si="9"/>
        <v>Mar_2017</v>
      </c>
    </row>
    <row r="293" spans="1:13" ht="15.75" x14ac:dyDescent="0.25">
      <c r="A293" s="8" t="s">
        <v>117</v>
      </c>
      <c r="B293" s="8" t="s">
        <v>171</v>
      </c>
      <c r="C293" s="18">
        <v>42824</v>
      </c>
      <c r="D293" s="3" t="s">
        <v>18</v>
      </c>
      <c r="E293" s="9">
        <v>0.35416666666666702</v>
      </c>
      <c r="F293" s="9">
        <v>0.89583333333333304</v>
      </c>
      <c r="G293" s="37"/>
      <c r="H293" s="6">
        <v>11.999999999999986</v>
      </c>
      <c r="I293" s="37"/>
      <c r="J293" s="32" t="s">
        <v>9</v>
      </c>
      <c r="K293" s="41" t="s">
        <v>41</v>
      </c>
      <c r="L293" s="58" t="str">
        <f t="shared" si="8"/>
        <v/>
      </c>
      <c r="M293" s="8" t="str">
        <f t="shared" si="9"/>
        <v>Mar_2017</v>
      </c>
    </row>
    <row r="294" spans="1:13" ht="15.75" x14ac:dyDescent="0.25">
      <c r="A294" s="8" t="s">
        <v>117</v>
      </c>
      <c r="B294" s="8" t="s">
        <v>171</v>
      </c>
      <c r="C294" s="18">
        <v>42825</v>
      </c>
      <c r="D294" s="3" t="s">
        <v>17</v>
      </c>
      <c r="E294" s="9">
        <v>0.35416666666666702</v>
      </c>
      <c r="F294" s="9">
        <v>0.89583333333333304</v>
      </c>
      <c r="G294" s="37"/>
      <c r="H294" s="6">
        <v>11.999999999999986</v>
      </c>
      <c r="I294" s="37"/>
      <c r="J294" s="32" t="s">
        <v>9</v>
      </c>
      <c r="K294" s="41" t="s">
        <v>43</v>
      </c>
      <c r="L294" s="58" t="str">
        <f t="shared" si="8"/>
        <v/>
      </c>
      <c r="M294" s="8" t="str">
        <f t="shared" si="9"/>
        <v>Mar_2017</v>
      </c>
    </row>
    <row r="295" spans="1:13" ht="15.75" x14ac:dyDescent="0.25">
      <c r="A295" s="8" t="s">
        <v>117</v>
      </c>
      <c r="B295" s="8" t="s">
        <v>175</v>
      </c>
      <c r="C295" s="18">
        <v>42814</v>
      </c>
      <c r="D295" s="3" t="s">
        <v>21</v>
      </c>
      <c r="E295" s="9">
        <v>0.35416666666666702</v>
      </c>
      <c r="F295" s="9">
        <v>0.72916666666666696</v>
      </c>
      <c r="G295" s="37"/>
      <c r="H295" s="6">
        <v>8.4999999999999982</v>
      </c>
      <c r="I295" s="37"/>
      <c r="J295" s="32" t="s">
        <v>9</v>
      </c>
      <c r="K295" s="41" t="s">
        <v>169</v>
      </c>
      <c r="L295" s="58" t="str">
        <f t="shared" si="8"/>
        <v/>
      </c>
      <c r="M295" s="8" t="str">
        <f t="shared" si="9"/>
        <v>Mar_2017</v>
      </c>
    </row>
    <row r="296" spans="1:13" ht="15.75" x14ac:dyDescent="0.25">
      <c r="A296" s="8" t="s">
        <v>117</v>
      </c>
      <c r="B296" s="8" t="s">
        <v>175</v>
      </c>
      <c r="C296" s="18">
        <v>42815</v>
      </c>
      <c r="D296" s="3" t="s">
        <v>16</v>
      </c>
      <c r="E296" s="9">
        <v>0.35416666666666702</v>
      </c>
      <c r="F296" s="9">
        <v>0.72916666666666696</v>
      </c>
      <c r="G296" s="37"/>
      <c r="H296" s="6">
        <v>7.9999999999999982</v>
      </c>
      <c r="I296" s="37"/>
      <c r="J296" s="32" t="s">
        <v>9</v>
      </c>
      <c r="K296" s="41" t="s">
        <v>169</v>
      </c>
      <c r="L296" s="58" t="str">
        <f t="shared" si="8"/>
        <v/>
      </c>
      <c r="M296" s="8" t="str">
        <f t="shared" si="9"/>
        <v>Mar_2017</v>
      </c>
    </row>
    <row r="297" spans="1:13" ht="15.75" x14ac:dyDescent="0.25">
      <c r="A297" s="8" t="s">
        <v>117</v>
      </c>
      <c r="B297" s="8" t="s">
        <v>175</v>
      </c>
      <c r="C297" s="18">
        <v>42817</v>
      </c>
      <c r="D297" s="3" t="s">
        <v>18</v>
      </c>
      <c r="E297" s="9">
        <v>0.35416666666666702</v>
      </c>
      <c r="F297" s="9">
        <v>0.73958333333333304</v>
      </c>
      <c r="G297" s="37"/>
      <c r="H297" s="6">
        <v>8.249999999999984</v>
      </c>
      <c r="I297" s="37"/>
      <c r="J297" s="32" t="s">
        <v>9</v>
      </c>
      <c r="K297" s="41" t="s">
        <v>169</v>
      </c>
      <c r="L297" s="58" t="str">
        <f t="shared" si="8"/>
        <v/>
      </c>
      <c r="M297" s="8" t="str">
        <f t="shared" si="9"/>
        <v>Mar_2017</v>
      </c>
    </row>
    <row r="298" spans="1:13" ht="15.75" x14ac:dyDescent="0.25">
      <c r="A298" s="8" t="s">
        <v>117</v>
      </c>
      <c r="B298" s="8" t="s">
        <v>175</v>
      </c>
      <c r="C298" s="18">
        <v>42818</v>
      </c>
      <c r="D298" s="3" t="s">
        <v>17</v>
      </c>
      <c r="E298" s="9">
        <v>0.35416666666666702</v>
      </c>
      <c r="F298" s="9">
        <v>0.72916666666666696</v>
      </c>
      <c r="G298" s="37"/>
      <c r="H298" s="6">
        <v>7.9999999999999982</v>
      </c>
      <c r="I298" s="37"/>
      <c r="J298" s="32" t="s">
        <v>9</v>
      </c>
      <c r="K298" s="41" t="s">
        <v>169</v>
      </c>
      <c r="L298" s="58" t="str">
        <f t="shared" si="8"/>
        <v/>
      </c>
      <c r="M298" s="8" t="str">
        <f t="shared" si="9"/>
        <v>Mar_2017</v>
      </c>
    </row>
    <row r="299" spans="1:13" ht="15.75" x14ac:dyDescent="0.25">
      <c r="A299" s="8" t="s">
        <v>117</v>
      </c>
      <c r="B299" s="8" t="s">
        <v>176</v>
      </c>
      <c r="C299" s="18">
        <v>42815</v>
      </c>
      <c r="D299" s="3" t="s">
        <v>16</v>
      </c>
      <c r="E299" s="9">
        <v>0.35416666666666702</v>
      </c>
      <c r="F299" s="9">
        <v>0.72916666666666696</v>
      </c>
      <c r="G299" s="37"/>
      <c r="H299" s="6">
        <v>7.9999999999999982</v>
      </c>
      <c r="I299" s="37"/>
      <c r="J299" s="32" t="s">
        <v>9</v>
      </c>
      <c r="K299" s="41" t="s">
        <v>169</v>
      </c>
      <c r="L299" s="58" t="str">
        <f t="shared" si="8"/>
        <v/>
      </c>
      <c r="M299" s="8" t="str">
        <f t="shared" si="9"/>
        <v>Mar_2017</v>
      </c>
    </row>
    <row r="300" spans="1:13" ht="15.75" x14ac:dyDescent="0.25">
      <c r="A300" s="8" t="s">
        <v>117</v>
      </c>
      <c r="B300" s="8" t="s">
        <v>176</v>
      </c>
      <c r="C300" s="18">
        <v>42816</v>
      </c>
      <c r="D300" s="3" t="s">
        <v>19</v>
      </c>
      <c r="E300" s="9">
        <v>0.35416666666666702</v>
      </c>
      <c r="F300" s="9">
        <v>0.77083333333333304</v>
      </c>
      <c r="G300" s="37"/>
      <c r="H300" s="6">
        <v>8.999999999999984</v>
      </c>
      <c r="I300" s="37"/>
      <c r="J300" s="32" t="s">
        <v>9</v>
      </c>
      <c r="K300" s="41" t="s">
        <v>169</v>
      </c>
      <c r="L300" s="58" t="str">
        <f t="shared" si="8"/>
        <v/>
      </c>
      <c r="M300" s="8" t="str">
        <f t="shared" si="9"/>
        <v>Mar_2017</v>
      </c>
    </row>
    <row r="301" spans="1:13" ht="15.75" x14ac:dyDescent="0.25">
      <c r="A301" s="8" t="s">
        <v>117</v>
      </c>
      <c r="B301" s="8" t="s">
        <v>176</v>
      </c>
      <c r="C301" s="18">
        <v>42817</v>
      </c>
      <c r="D301" s="3" t="s">
        <v>18</v>
      </c>
      <c r="E301" s="9">
        <v>0.35416666666666702</v>
      </c>
      <c r="F301" s="9">
        <v>0.73958333333333304</v>
      </c>
      <c r="G301" s="37"/>
      <c r="H301" s="6">
        <v>8.249999999999984</v>
      </c>
      <c r="I301" s="37"/>
      <c r="J301" s="32" t="s">
        <v>9</v>
      </c>
      <c r="K301" s="41" t="s">
        <v>169</v>
      </c>
      <c r="L301" s="58" t="str">
        <f t="shared" si="8"/>
        <v/>
      </c>
      <c r="M301" s="8" t="str">
        <f t="shared" si="9"/>
        <v>Mar_2017</v>
      </c>
    </row>
    <row r="302" spans="1:13" ht="15.75" x14ac:dyDescent="0.25">
      <c r="A302" s="8" t="s">
        <v>117</v>
      </c>
      <c r="B302" s="8" t="s">
        <v>176</v>
      </c>
      <c r="C302" s="18">
        <v>42818</v>
      </c>
      <c r="D302" s="3" t="s">
        <v>17</v>
      </c>
      <c r="E302" s="9">
        <v>0.35416666666666702</v>
      </c>
      <c r="F302" s="9">
        <v>0.72916666666666696</v>
      </c>
      <c r="G302" s="37"/>
      <c r="H302" s="6">
        <v>7.9999999999999982</v>
      </c>
      <c r="I302" s="37"/>
      <c r="J302" s="32" t="s">
        <v>9</v>
      </c>
      <c r="K302" s="41" t="s">
        <v>169</v>
      </c>
      <c r="L302" s="58" t="str">
        <f t="shared" si="8"/>
        <v/>
      </c>
      <c r="M302" s="8" t="str">
        <f t="shared" si="9"/>
        <v>Mar_2017</v>
      </c>
    </row>
    <row r="303" spans="1:13" ht="15.75" x14ac:dyDescent="0.25">
      <c r="A303" s="8" t="s">
        <v>117</v>
      </c>
      <c r="B303" s="8" t="s">
        <v>177</v>
      </c>
      <c r="C303" s="18">
        <v>42816</v>
      </c>
      <c r="D303" s="3" t="s">
        <v>19</v>
      </c>
      <c r="E303" s="9">
        <v>0.35416666666666702</v>
      </c>
      <c r="F303" s="9">
        <v>0.72916666666666696</v>
      </c>
      <c r="G303" s="37"/>
      <c r="H303" s="6">
        <v>7.9999999999999982</v>
      </c>
      <c r="I303" s="37"/>
      <c r="J303" s="32" t="s">
        <v>9</v>
      </c>
      <c r="K303" s="41" t="s">
        <v>169</v>
      </c>
      <c r="L303" s="58" t="str">
        <f t="shared" si="8"/>
        <v/>
      </c>
      <c r="M303" s="8" t="str">
        <f t="shared" si="9"/>
        <v>Mar_2017</v>
      </c>
    </row>
    <row r="304" spans="1:13" ht="15.75" x14ac:dyDescent="0.25">
      <c r="A304" s="8" t="s">
        <v>117</v>
      </c>
      <c r="B304" s="8" t="s">
        <v>177</v>
      </c>
      <c r="C304" s="18">
        <v>42817</v>
      </c>
      <c r="D304" s="3" t="s">
        <v>18</v>
      </c>
      <c r="E304" s="9">
        <v>0.35416666666666702</v>
      </c>
      <c r="F304" s="9">
        <v>0.73958333333333304</v>
      </c>
      <c r="G304" s="37"/>
      <c r="H304" s="6">
        <v>8.249999999999984</v>
      </c>
      <c r="I304" s="37"/>
      <c r="J304" s="32" t="s">
        <v>9</v>
      </c>
      <c r="K304" s="41" t="s">
        <v>169</v>
      </c>
      <c r="L304" s="58" t="str">
        <f t="shared" si="8"/>
        <v/>
      </c>
      <c r="M304" s="8" t="str">
        <f t="shared" si="9"/>
        <v>Mar_2017</v>
      </c>
    </row>
    <row r="305" spans="1:13" ht="15.75" x14ac:dyDescent="0.25">
      <c r="A305" s="8" t="s">
        <v>117</v>
      </c>
      <c r="B305" s="8" t="s">
        <v>177</v>
      </c>
      <c r="C305" s="18">
        <v>42818</v>
      </c>
      <c r="D305" s="3" t="s">
        <v>17</v>
      </c>
      <c r="E305" s="9">
        <v>0.35416666666666702</v>
      </c>
      <c r="F305" s="9">
        <v>0.72916666666666696</v>
      </c>
      <c r="G305" s="37"/>
      <c r="H305" s="6">
        <v>7.9999999999999982</v>
      </c>
      <c r="I305" s="37"/>
      <c r="J305" s="32" t="s">
        <v>9</v>
      </c>
      <c r="K305" s="41" t="s">
        <v>169</v>
      </c>
      <c r="L305" s="58" t="str">
        <f t="shared" si="8"/>
        <v/>
      </c>
      <c r="M305" s="8" t="str">
        <f t="shared" si="9"/>
        <v>Mar_2017</v>
      </c>
    </row>
    <row r="306" spans="1:13" ht="15.75" x14ac:dyDescent="0.25">
      <c r="A306" s="8" t="s">
        <v>117</v>
      </c>
      <c r="B306" s="8" t="s">
        <v>177</v>
      </c>
      <c r="C306" s="18">
        <v>42819</v>
      </c>
      <c r="D306" s="3" t="s">
        <v>24</v>
      </c>
      <c r="E306" s="9">
        <v>0.35416666666666702</v>
      </c>
      <c r="F306" s="9">
        <v>0.6875</v>
      </c>
      <c r="G306" s="37"/>
      <c r="H306" s="6">
        <v>6.9999999999999911</v>
      </c>
      <c r="I306" s="37"/>
      <c r="J306" s="32" t="s">
        <v>46</v>
      </c>
      <c r="K306" s="41" t="s">
        <v>169</v>
      </c>
      <c r="L306" s="58" t="str">
        <f t="shared" si="8"/>
        <v/>
      </c>
      <c r="M306" s="8" t="str">
        <f t="shared" si="9"/>
        <v>Mar_2017</v>
      </c>
    </row>
    <row r="307" spans="1:13" ht="15.75" x14ac:dyDescent="0.25">
      <c r="A307" s="8" t="s">
        <v>117</v>
      </c>
      <c r="B307" s="8" t="s">
        <v>177</v>
      </c>
      <c r="C307" s="18">
        <v>42822</v>
      </c>
      <c r="D307" s="3" t="s">
        <v>16</v>
      </c>
      <c r="E307" s="9">
        <v>0.35416666666666702</v>
      </c>
      <c r="F307" s="9">
        <v>0.72916666666666696</v>
      </c>
      <c r="G307" s="37"/>
      <c r="H307" s="6">
        <v>7.9999999999999982</v>
      </c>
      <c r="I307" s="37"/>
      <c r="J307" s="32" t="s">
        <v>9</v>
      </c>
      <c r="K307" s="41" t="s">
        <v>173</v>
      </c>
      <c r="L307" s="58" t="str">
        <f t="shared" si="8"/>
        <v/>
      </c>
      <c r="M307" s="8" t="str">
        <f t="shared" si="9"/>
        <v>Mar_2017</v>
      </c>
    </row>
    <row r="308" spans="1:13" ht="15.75" x14ac:dyDescent="0.25">
      <c r="A308" s="8" t="s">
        <v>117</v>
      </c>
      <c r="B308" s="8" t="s">
        <v>177</v>
      </c>
      <c r="C308" s="18">
        <v>42823</v>
      </c>
      <c r="D308" s="3" t="s">
        <v>19</v>
      </c>
      <c r="E308" s="9">
        <v>0.35416666666666702</v>
      </c>
      <c r="F308" s="9">
        <v>0.85416666666666696</v>
      </c>
      <c r="G308" s="37"/>
      <c r="H308" s="6">
        <v>10.999999999999998</v>
      </c>
      <c r="I308" s="37"/>
      <c r="J308" s="32" t="s">
        <v>9</v>
      </c>
      <c r="K308" s="41" t="s">
        <v>174</v>
      </c>
      <c r="L308" s="58" t="str">
        <f t="shared" si="8"/>
        <v/>
      </c>
      <c r="M308" s="8" t="str">
        <f t="shared" si="9"/>
        <v>Mar_2017</v>
      </c>
    </row>
    <row r="309" spans="1:13" ht="15.75" x14ac:dyDescent="0.25">
      <c r="A309" s="8" t="s">
        <v>117</v>
      </c>
      <c r="B309" s="8" t="s">
        <v>177</v>
      </c>
      <c r="C309" s="18">
        <v>42824</v>
      </c>
      <c r="D309" s="3" t="s">
        <v>18</v>
      </c>
      <c r="E309" s="9">
        <v>0.35416666666666702</v>
      </c>
      <c r="F309" s="9">
        <v>0.72916666666666696</v>
      </c>
      <c r="G309" s="37"/>
      <c r="H309" s="6">
        <v>7.9999999999999982</v>
      </c>
      <c r="I309" s="37"/>
      <c r="J309" s="32" t="s">
        <v>9</v>
      </c>
      <c r="K309" s="41" t="s">
        <v>41</v>
      </c>
      <c r="L309" s="58" t="str">
        <f t="shared" si="8"/>
        <v/>
      </c>
      <c r="M309" s="8" t="str">
        <f t="shared" si="9"/>
        <v>Mar_2017</v>
      </c>
    </row>
    <row r="310" spans="1:13" ht="15.75" x14ac:dyDescent="0.25">
      <c r="A310" s="8" t="s">
        <v>117</v>
      </c>
      <c r="B310" s="8" t="s">
        <v>177</v>
      </c>
      <c r="C310" s="18">
        <v>42825</v>
      </c>
      <c r="D310" s="3" t="s">
        <v>17</v>
      </c>
      <c r="E310" s="9">
        <v>0.35416666666666702</v>
      </c>
      <c r="F310" s="9">
        <v>0.89583333333333304</v>
      </c>
      <c r="G310" s="37"/>
      <c r="H310" s="6">
        <v>11.999999999999986</v>
      </c>
      <c r="I310" s="37"/>
      <c r="J310" s="32" t="s">
        <v>9</v>
      </c>
      <c r="K310" s="41" t="s">
        <v>43</v>
      </c>
      <c r="L310" s="58" t="str">
        <f t="shared" si="8"/>
        <v/>
      </c>
      <c r="M310" s="8" t="str">
        <f t="shared" si="9"/>
        <v>Mar_2017</v>
      </c>
    </row>
    <row r="311" spans="1:13" ht="15.75" x14ac:dyDescent="0.25">
      <c r="A311" s="2" t="s">
        <v>0</v>
      </c>
      <c r="B311" s="8" t="s">
        <v>10</v>
      </c>
      <c r="C311" s="18">
        <v>42826</v>
      </c>
      <c r="D311" s="3" t="s">
        <v>24</v>
      </c>
      <c r="E311" s="9">
        <v>0.72916666666666696</v>
      </c>
      <c r="F311" s="9">
        <v>0.89583333333333304</v>
      </c>
      <c r="G311" s="6">
        <v>3.9999999999999822</v>
      </c>
      <c r="H311" s="6">
        <v>11.999999999999986</v>
      </c>
      <c r="I311" s="37"/>
      <c r="J311" s="41" t="s">
        <v>46</v>
      </c>
      <c r="K311" s="41" t="s">
        <v>47</v>
      </c>
      <c r="L311" s="58">
        <f t="shared" si="8"/>
        <v>1</v>
      </c>
      <c r="M311" s="8" t="str">
        <f t="shared" si="9"/>
        <v>Apr_2017</v>
      </c>
    </row>
    <row r="312" spans="1:13" ht="15.75" x14ac:dyDescent="0.25">
      <c r="A312" s="2" t="s">
        <v>0</v>
      </c>
      <c r="B312" s="8" t="s">
        <v>14</v>
      </c>
      <c r="C312" s="18">
        <v>42826</v>
      </c>
      <c r="D312" s="3" t="s">
        <v>24</v>
      </c>
      <c r="E312" s="9">
        <v>0.72916666666666696</v>
      </c>
      <c r="F312" s="9">
        <v>0.85416666666666696</v>
      </c>
      <c r="G312" s="6">
        <v>2.9999999999999947</v>
      </c>
      <c r="H312" s="6">
        <v>10.999999999999998</v>
      </c>
      <c r="I312" s="37"/>
      <c r="J312" s="41" t="s">
        <v>46</v>
      </c>
      <c r="K312" s="41" t="s">
        <v>47</v>
      </c>
      <c r="L312" s="58">
        <f t="shared" si="8"/>
        <v>1</v>
      </c>
      <c r="M312" s="8" t="str">
        <f t="shared" si="9"/>
        <v>Apr_2017</v>
      </c>
    </row>
    <row r="313" spans="1:13" ht="15.75" x14ac:dyDescent="0.25">
      <c r="A313" s="2" t="s">
        <v>117</v>
      </c>
      <c r="B313" s="8" t="s">
        <v>118</v>
      </c>
      <c r="C313" s="18">
        <v>42826</v>
      </c>
      <c r="D313" s="3" t="s">
        <v>24</v>
      </c>
      <c r="E313" s="9">
        <v>0.35416666666666702</v>
      </c>
      <c r="F313" s="9">
        <v>0.89583333333333304</v>
      </c>
      <c r="G313" s="6">
        <v>11.999999999999986</v>
      </c>
      <c r="H313" s="6">
        <v>11.999999999999986</v>
      </c>
      <c r="I313" s="37"/>
      <c r="J313" s="41" t="s">
        <v>46</v>
      </c>
      <c r="K313" s="41" t="s">
        <v>47</v>
      </c>
      <c r="L313" s="58" t="str">
        <f t="shared" si="8"/>
        <v/>
      </c>
      <c r="M313" s="8" t="str">
        <f t="shared" si="9"/>
        <v>Apr_2017</v>
      </c>
    </row>
    <row r="314" spans="1:13" ht="15.75" x14ac:dyDescent="0.25">
      <c r="A314" s="2" t="s">
        <v>117</v>
      </c>
      <c r="B314" s="8" t="s">
        <v>130</v>
      </c>
      <c r="C314" s="18">
        <v>42826</v>
      </c>
      <c r="D314" s="3" t="s">
        <v>24</v>
      </c>
      <c r="E314" s="9">
        <v>0.54166666666666696</v>
      </c>
      <c r="F314" s="9">
        <v>0.89583333333333304</v>
      </c>
      <c r="G314" s="6">
        <v>8.4999999999999858</v>
      </c>
      <c r="H314" s="6">
        <v>8.4999999999999858</v>
      </c>
      <c r="I314" s="37"/>
      <c r="J314" s="41" t="s">
        <v>46</v>
      </c>
      <c r="K314" s="41" t="s">
        <v>47</v>
      </c>
      <c r="L314" s="58" t="str">
        <f t="shared" si="8"/>
        <v/>
      </c>
      <c r="M314" s="8" t="str">
        <f t="shared" si="9"/>
        <v>Apr_2017</v>
      </c>
    </row>
    <row r="315" spans="1:13" ht="15.75" x14ac:dyDescent="0.25">
      <c r="A315" s="2" t="s">
        <v>117</v>
      </c>
      <c r="B315" s="8" t="s">
        <v>171</v>
      </c>
      <c r="C315" s="18">
        <v>42826</v>
      </c>
      <c r="D315" s="3" t="s">
        <v>24</v>
      </c>
      <c r="E315" s="9">
        <v>0.35416666666666702</v>
      </c>
      <c r="F315" s="9">
        <v>0.66666666666666696</v>
      </c>
      <c r="G315" s="6">
        <v>6.4999999999999982</v>
      </c>
      <c r="H315" s="6">
        <v>6.4999999999999982</v>
      </c>
      <c r="I315" s="37"/>
      <c r="J315" s="41" t="s">
        <v>46</v>
      </c>
      <c r="K315" s="41" t="s">
        <v>47</v>
      </c>
      <c r="L315" s="58" t="str">
        <f t="shared" si="8"/>
        <v/>
      </c>
      <c r="M315" s="8" t="str">
        <f t="shared" si="9"/>
        <v>Apr_2017</v>
      </c>
    </row>
    <row r="316" spans="1:13" ht="15.75" x14ac:dyDescent="0.25">
      <c r="A316" s="2" t="s">
        <v>117</v>
      </c>
      <c r="B316" s="8" t="s">
        <v>177</v>
      </c>
      <c r="C316" s="18">
        <v>42826</v>
      </c>
      <c r="D316" s="3" t="s">
        <v>24</v>
      </c>
      <c r="E316" s="9">
        <v>0.35416666666666702</v>
      </c>
      <c r="F316" s="9">
        <v>0.89583333333333304</v>
      </c>
      <c r="G316" s="6">
        <v>11.999999999999986</v>
      </c>
      <c r="H316" s="6">
        <v>11.999999999999986</v>
      </c>
      <c r="I316" s="37"/>
      <c r="J316" s="41" t="s">
        <v>46</v>
      </c>
      <c r="K316" s="41" t="s">
        <v>47</v>
      </c>
      <c r="L316" s="58" t="str">
        <f t="shared" si="8"/>
        <v/>
      </c>
      <c r="M316" s="8" t="str">
        <f t="shared" si="9"/>
        <v>Apr_2017</v>
      </c>
    </row>
    <row r="317" spans="1:13" ht="15.75" x14ac:dyDescent="0.25">
      <c r="A317" s="2" t="s">
        <v>0</v>
      </c>
      <c r="B317" s="8" t="s">
        <v>10</v>
      </c>
      <c r="C317" s="18">
        <v>42827</v>
      </c>
      <c r="D317" s="3" t="s">
        <v>23</v>
      </c>
      <c r="E317" s="9">
        <v>0.33333333333333298</v>
      </c>
      <c r="F317" s="9">
        <v>0.77083333333333304</v>
      </c>
      <c r="G317" s="6">
        <v>9.5000000000000018</v>
      </c>
      <c r="H317" s="6">
        <v>9.5000000000000018</v>
      </c>
      <c r="I317" s="37"/>
      <c r="J317" s="41" t="s">
        <v>46</v>
      </c>
      <c r="K317" s="41" t="s">
        <v>178</v>
      </c>
      <c r="L317" s="58">
        <f t="shared" si="8"/>
        <v>1</v>
      </c>
      <c r="M317" s="8" t="str">
        <f t="shared" si="9"/>
        <v>Apr_2017</v>
      </c>
    </row>
    <row r="318" spans="1:13" ht="15.75" x14ac:dyDescent="0.25">
      <c r="A318" s="2" t="s">
        <v>0</v>
      </c>
      <c r="B318" s="8" t="s">
        <v>12</v>
      </c>
      <c r="C318" s="18">
        <v>42827</v>
      </c>
      <c r="D318" s="3" t="s">
        <v>23</v>
      </c>
      <c r="E318" s="9">
        <v>0.35416666666666702</v>
      </c>
      <c r="F318" s="9">
        <v>0.77083333333333304</v>
      </c>
      <c r="G318" s="6">
        <v>8.999999999999984</v>
      </c>
      <c r="H318" s="6">
        <v>8.999999999999984</v>
      </c>
      <c r="I318" s="37"/>
      <c r="J318" s="41" t="s">
        <v>46</v>
      </c>
      <c r="K318" s="41" t="s">
        <v>178</v>
      </c>
      <c r="L318" s="58">
        <f t="shared" si="8"/>
        <v>1</v>
      </c>
      <c r="M318" s="8" t="str">
        <f t="shared" si="9"/>
        <v>Apr_2017</v>
      </c>
    </row>
    <row r="319" spans="1:13" ht="15.75" x14ac:dyDescent="0.25">
      <c r="A319" s="2" t="s">
        <v>0</v>
      </c>
      <c r="B319" s="8" t="s">
        <v>14</v>
      </c>
      <c r="C319" s="18">
        <v>42827</v>
      </c>
      <c r="D319" s="3" t="s">
        <v>23</v>
      </c>
      <c r="E319" s="9">
        <v>0.33333333333333298</v>
      </c>
      <c r="F319" s="9">
        <v>0.77083333333333304</v>
      </c>
      <c r="G319" s="6">
        <v>9.5000000000000018</v>
      </c>
      <c r="H319" s="6">
        <v>9.5000000000000018</v>
      </c>
      <c r="I319" s="37"/>
      <c r="J319" s="41" t="s">
        <v>46</v>
      </c>
      <c r="K319" s="41" t="s">
        <v>178</v>
      </c>
      <c r="L319" s="58">
        <f t="shared" si="8"/>
        <v>1</v>
      </c>
      <c r="M319" s="8" t="str">
        <f t="shared" si="9"/>
        <v>Apr_2017</v>
      </c>
    </row>
    <row r="320" spans="1:13" ht="15.75" x14ac:dyDescent="0.25">
      <c r="A320" s="2" t="s">
        <v>117</v>
      </c>
      <c r="B320" s="8" t="s">
        <v>118</v>
      </c>
      <c r="C320" s="18">
        <v>42827</v>
      </c>
      <c r="D320" s="3" t="s">
        <v>23</v>
      </c>
      <c r="E320" s="9">
        <v>0.33333333333333298</v>
      </c>
      <c r="F320" s="9">
        <v>0.77083333333333304</v>
      </c>
      <c r="G320" s="6">
        <v>9.5000000000000018</v>
      </c>
      <c r="H320" s="6">
        <v>9.5000000000000018</v>
      </c>
      <c r="I320" s="37"/>
      <c r="J320" s="41" t="s">
        <v>46</v>
      </c>
      <c r="K320" s="41" t="s">
        <v>178</v>
      </c>
      <c r="L320" s="58" t="str">
        <f t="shared" si="8"/>
        <v/>
      </c>
      <c r="M320" s="8" t="str">
        <f t="shared" si="9"/>
        <v>Apr_2017</v>
      </c>
    </row>
    <row r="321" spans="1:13" ht="15.75" x14ac:dyDescent="0.25">
      <c r="A321" s="2" t="s">
        <v>0</v>
      </c>
      <c r="B321" s="8" t="s">
        <v>34</v>
      </c>
      <c r="C321" s="18">
        <v>42827</v>
      </c>
      <c r="D321" s="3" t="s">
        <v>23</v>
      </c>
      <c r="E321" s="9">
        <v>0.35416666666666702</v>
      </c>
      <c r="F321" s="9">
        <v>0.77083333333333304</v>
      </c>
      <c r="G321" s="6">
        <v>8.999999999999984</v>
      </c>
      <c r="H321" s="6">
        <v>8.999999999999984</v>
      </c>
      <c r="I321" s="37"/>
      <c r="J321" s="41" t="s">
        <v>46</v>
      </c>
      <c r="K321" s="41" t="s">
        <v>178</v>
      </c>
      <c r="L321" s="58">
        <f t="shared" si="8"/>
        <v>1</v>
      </c>
      <c r="M321" s="8" t="str">
        <f t="shared" si="9"/>
        <v>Apr_2017</v>
      </c>
    </row>
    <row r="322" spans="1:13" ht="15.75" x14ac:dyDescent="0.25">
      <c r="A322" s="2" t="s">
        <v>117</v>
      </c>
      <c r="B322" s="8" t="s">
        <v>130</v>
      </c>
      <c r="C322" s="18">
        <v>42827</v>
      </c>
      <c r="D322" s="3" t="s">
        <v>23</v>
      </c>
      <c r="E322" s="9">
        <v>0.33333333333333298</v>
      </c>
      <c r="F322" s="9">
        <v>0.77083333333333304</v>
      </c>
      <c r="G322" s="6">
        <v>9.5000000000000018</v>
      </c>
      <c r="H322" s="6">
        <v>9.5000000000000018</v>
      </c>
      <c r="I322" s="37"/>
      <c r="J322" s="41" t="s">
        <v>46</v>
      </c>
      <c r="K322" s="41" t="s">
        <v>178</v>
      </c>
      <c r="L322" s="58" t="str">
        <f t="shared" si="8"/>
        <v/>
      </c>
      <c r="M322" s="8" t="str">
        <f t="shared" si="9"/>
        <v>Apr_2017</v>
      </c>
    </row>
    <row r="323" spans="1:13" ht="15.75" x14ac:dyDescent="0.25">
      <c r="A323" s="2" t="s">
        <v>117</v>
      </c>
      <c r="B323" s="8" t="s">
        <v>171</v>
      </c>
      <c r="C323" s="18">
        <v>42827</v>
      </c>
      <c r="D323" s="3" t="s">
        <v>23</v>
      </c>
      <c r="E323" s="9">
        <v>0.33333333333333298</v>
      </c>
      <c r="F323" s="9">
        <v>0.70833333333333304</v>
      </c>
      <c r="G323" s="6">
        <v>8.0000000000000018</v>
      </c>
      <c r="H323" s="6">
        <v>8.0000000000000018</v>
      </c>
      <c r="I323" s="37"/>
      <c r="J323" s="41" t="s">
        <v>46</v>
      </c>
      <c r="K323" s="41" t="s">
        <v>178</v>
      </c>
      <c r="L323" s="58" t="str">
        <f t="shared" ref="L323:L386" si="10">IF(AND($A323="Perm Staff Onsite",$H323&gt;=2),1,"")</f>
        <v/>
      </c>
      <c r="M323" s="8" t="str">
        <f t="shared" ref="M323:M386" si="11">IF($C323="","",TEXT(DATE(YEAR($C323),MONTH($C323),DAY($C323)),"MMM")&amp;"_"&amp;YEAR($C323))</f>
        <v>Apr_2017</v>
      </c>
    </row>
    <row r="324" spans="1:13" ht="15.75" x14ac:dyDescent="0.25">
      <c r="A324" s="2" t="s">
        <v>0</v>
      </c>
      <c r="B324" s="8" t="s">
        <v>10</v>
      </c>
      <c r="C324" s="18">
        <v>42828</v>
      </c>
      <c r="D324" s="3" t="s">
        <v>21</v>
      </c>
      <c r="E324" s="9">
        <v>0.71875</v>
      </c>
      <c r="F324" s="9">
        <v>0.89583333333333304</v>
      </c>
      <c r="G324" s="6">
        <v>4.2499999999999893</v>
      </c>
      <c r="H324" s="6">
        <v>4.2499999999999893</v>
      </c>
      <c r="I324" s="37"/>
      <c r="J324" s="41" t="s">
        <v>9</v>
      </c>
      <c r="K324" s="41" t="s">
        <v>48</v>
      </c>
      <c r="L324" s="58">
        <f t="shared" si="10"/>
        <v>1</v>
      </c>
      <c r="M324" s="8" t="str">
        <f t="shared" si="11"/>
        <v>Apr_2017</v>
      </c>
    </row>
    <row r="325" spans="1:13" ht="15.75" x14ac:dyDescent="0.25">
      <c r="A325" s="2" t="s">
        <v>0</v>
      </c>
      <c r="B325" s="8" t="s">
        <v>12</v>
      </c>
      <c r="C325" s="18">
        <v>42828</v>
      </c>
      <c r="D325" s="3" t="s">
        <v>21</v>
      </c>
      <c r="E325" s="9">
        <v>0.72916666666666696</v>
      </c>
      <c r="F325" s="9">
        <v>0.89583333333333304</v>
      </c>
      <c r="G325" s="6">
        <v>3.9999999999999822</v>
      </c>
      <c r="H325" s="6">
        <v>3.9999999999999822</v>
      </c>
      <c r="I325" s="37"/>
      <c r="J325" s="41" t="s">
        <v>9</v>
      </c>
      <c r="K325" s="41" t="s">
        <v>49</v>
      </c>
      <c r="L325" s="58">
        <f t="shared" si="10"/>
        <v>1</v>
      </c>
      <c r="M325" s="8" t="str">
        <f t="shared" si="11"/>
        <v>Apr_2017</v>
      </c>
    </row>
    <row r="326" spans="1:13" ht="15.75" x14ac:dyDescent="0.25">
      <c r="A326" s="2" t="s">
        <v>0</v>
      </c>
      <c r="B326" s="8" t="s">
        <v>13</v>
      </c>
      <c r="C326" s="18">
        <v>42828</v>
      </c>
      <c r="D326" s="3" t="s">
        <v>21</v>
      </c>
      <c r="E326" s="9">
        <v>0.72916666666666696</v>
      </c>
      <c r="F326" s="9">
        <v>0.85416666666666696</v>
      </c>
      <c r="G326" s="6">
        <v>2.9999999999999947</v>
      </c>
      <c r="H326" s="6">
        <v>2.9999999999999947</v>
      </c>
      <c r="I326" s="37"/>
      <c r="J326" s="41" t="s">
        <v>9</v>
      </c>
      <c r="K326" s="41" t="s">
        <v>49</v>
      </c>
      <c r="L326" s="58">
        <f t="shared" si="10"/>
        <v>1</v>
      </c>
      <c r="M326" s="8" t="str">
        <f t="shared" si="11"/>
        <v>Apr_2017</v>
      </c>
    </row>
    <row r="327" spans="1:13" ht="15.75" x14ac:dyDescent="0.25">
      <c r="A327" s="2" t="s">
        <v>0</v>
      </c>
      <c r="B327" s="8" t="s">
        <v>14</v>
      </c>
      <c r="C327" s="18">
        <v>42828</v>
      </c>
      <c r="D327" s="3" t="s">
        <v>21</v>
      </c>
      <c r="E327" s="9">
        <v>0.72916666666666696</v>
      </c>
      <c r="F327" s="9">
        <v>0.89583333333333304</v>
      </c>
      <c r="G327" s="6">
        <v>3.9999999999999822</v>
      </c>
      <c r="H327" s="6">
        <v>3.9999999999999822</v>
      </c>
      <c r="I327" s="37"/>
      <c r="J327" s="41" t="s">
        <v>9</v>
      </c>
      <c r="K327" s="41" t="s">
        <v>49</v>
      </c>
      <c r="L327" s="58">
        <f t="shared" si="10"/>
        <v>1</v>
      </c>
      <c r="M327" s="8" t="str">
        <f t="shared" si="11"/>
        <v>Apr_2017</v>
      </c>
    </row>
    <row r="328" spans="1:13" ht="15.75" x14ac:dyDescent="0.25">
      <c r="A328" s="2" t="s">
        <v>117</v>
      </c>
      <c r="B328" s="8" t="s">
        <v>118</v>
      </c>
      <c r="C328" s="18">
        <v>42828</v>
      </c>
      <c r="D328" s="3" t="s">
        <v>21</v>
      </c>
      <c r="E328" s="9">
        <v>0.35416666666666702</v>
      </c>
      <c r="F328" s="9">
        <v>0.89583333333333304</v>
      </c>
      <c r="G328" s="6">
        <v>11.999999999999986</v>
      </c>
      <c r="H328" s="6">
        <v>11.999999999999986</v>
      </c>
      <c r="I328" s="37"/>
      <c r="J328" s="41" t="s">
        <v>9</v>
      </c>
      <c r="K328" s="41" t="s">
        <v>49</v>
      </c>
      <c r="L328" s="58" t="str">
        <f t="shared" si="10"/>
        <v/>
      </c>
      <c r="M328" s="8" t="str">
        <f t="shared" si="11"/>
        <v>Apr_2017</v>
      </c>
    </row>
    <row r="329" spans="1:13" ht="15.75" x14ac:dyDescent="0.25">
      <c r="A329" s="2" t="s">
        <v>0</v>
      </c>
      <c r="B329" s="8" t="s">
        <v>34</v>
      </c>
      <c r="C329" s="18">
        <v>42828</v>
      </c>
      <c r="D329" s="3" t="s">
        <v>21</v>
      </c>
      <c r="E329" s="9">
        <v>0.72916666666666696</v>
      </c>
      <c r="F329" s="9">
        <v>0.89583333333333304</v>
      </c>
      <c r="G329" s="6">
        <v>3.9999999999999822</v>
      </c>
      <c r="H329" s="6">
        <v>3.9999999999999822</v>
      </c>
      <c r="I329" s="37"/>
      <c r="J329" s="41" t="s">
        <v>9</v>
      </c>
      <c r="K329" s="41" t="s">
        <v>49</v>
      </c>
      <c r="L329" s="58">
        <f t="shared" si="10"/>
        <v>1</v>
      </c>
      <c r="M329" s="8" t="str">
        <f t="shared" si="11"/>
        <v>Apr_2017</v>
      </c>
    </row>
    <row r="330" spans="1:13" ht="15.75" x14ac:dyDescent="0.25">
      <c r="A330" s="2" t="s">
        <v>117</v>
      </c>
      <c r="B330" s="8" t="s">
        <v>130</v>
      </c>
      <c r="C330" s="18">
        <v>42828</v>
      </c>
      <c r="D330" s="3" t="s">
        <v>21</v>
      </c>
      <c r="E330" s="9">
        <v>0.77083333333333304</v>
      </c>
      <c r="F330" s="9">
        <v>0.89583333333333304</v>
      </c>
      <c r="G330" s="6">
        <v>3</v>
      </c>
      <c r="H330" s="6">
        <v>3</v>
      </c>
      <c r="I330" s="37"/>
      <c r="J330" s="41" t="s">
        <v>9</v>
      </c>
      <c r="K330" s="41" t="s">
        <v>49</v>
      </c>
      <c r="L330" s="58" t="str">
        <f t="shared" si="10"/>
        <v/>
      </c>
      <c r="M330" s="8" t="str">
        <f t="shared" si="11"/>
        <v>Apr_2017</v>
      </c>
    </row>
    <row r="331" spans="1:13" ht="15.75" x14ac:dyDescent="0.25">
      <c r="A331" s="2" t="s">
        <v>117</v>
      </c>
      <c r="B331" s="8" t="s">
        <v>171</v>
      </c>
      <c r="C331" s="18">
        <v>42828</v>
      </c>
      <c r="D331" s="3" t="s">
        <v>21</v>
      </c>
      <c r="E331" s="9">
        <v>0.35416666666666702</v>
      </c>
      <c r="F331" s="9">
        <v>0.89583333333333304</v>
      </c>
      <c r="G331" s="6">
        <v>11.999999999999986</v>
      </c>
      <c r="H331" s="6">
        <v>11.999999999999986</v>
      </c>
      <c r="I331" s="37"/>
      <c r="J331" s="41" t="s">
        <v>9</v>
      </c>
      <c r="K331" s="41" t="s">
        <v>49</v>
      </c>
      <c r="L331" s="58" t="str">
        <f t="shared" si="10"/>
        <v/>
      </c>
      <c r="M331" s="8" t="str">
        <f t="shared" si="11"/>
        <v>Apr_2017</v>
      </c>
    </row>
    <row r="332" spans="1:13" ht="15.75" x14ac:dyDescent="0.25">
      <c r="A332" s="2" t="s">
        <v>117</v>
      </c>
      <c r="B332" s="8" t="s">
        <v>177</v>
      </c>
      <c r="C332" s="18">
        <v>42828</v>
      </c>
      <c r="D332" s="3" t="s">
        <v>21</v>
      </c>
      <c r="E332" s="9">
        <v>0.35416666666666702</v>
      </c>
      <c r="F332" s="9">
        <v>0.72916666666666696</v>
      </c>
      <c r="G332" s="6">
        <v>7.9999999999999982</v>
      </c>
      <c r="H332" s="6">
        <v>7.9999999999999982</v>
      </c>
      <c r="I332" s="37"/>
      <c r="J332" s="41" t="s">
        <v>9</v>
      </c>
      <c r="K332" s="41" t="s">
        <v>49</v>
      </c>
      <c r="L332" s="58" t="str">
        <f t="shared" si="10"/>
        <v/>
      </c>
      <c r="M332" s="8" t="str">
        <f t="shared" si="11"/>
        <v>Apr_2017</v>
      </c>
    </row>
    <row r="333" spans="1:13" ht="15.75" x14ac:dyDescent="0.25">
      <c r="A333" s="2" t="s">
        <v>0</v>
      </c>
      <c r="B333" s="8" t="s">
        <v>10</v>
      </c>
      <c r="C333" s="18">
        <v>42829</v>
      </c>
      <c r="D333" s="3" t="s">
        <v>16</v>
      </c>
      <c r="E333" s="9">
        <v>0.75</v>
      </c>
      <c r="F333" s="9">
        <v>0.89583333333333304</v>
      </c>
      <c r="G333" s="6">
        <v>3.5</v>
      </c>
      <c r="H333" s="6">
        <v>3.5</v>
      </c>
      <c r="I333" s="37"/>
      <c r="J333" s="41" t="s">
        <v>9</v>
      </c>
      <c r="K333" s="41" t="s">
        <v>50</v>
      </c>
      <c r="L333" s="58">
        <f t="shared" si="10"/>
        <v>1</v>
      </c>
      <c r="M333" s="8" t="str">
        <f t="shared" si="11"/>
        <v>Apr_2017</v>
      </c>
    </row>
    <row r="334" spans="1:13" ht="15.75" x14ac:dyDescent="0.25">
      <c r="A334" s="2" t="s">
        <v>0</v>
      </c>
      <c r="B334" s="8" t="s">
        <v>13</v>
      </c>
      <c r="C334" s="18">
        <v>42829</v>
      </c>
      <c r="D334" s="3" t="s">
        <v>16</v>
      </c>
      <c r="E334" s="9">
        <v>0.6875</v>
      </c>
      <c r="F334" s="9">
        <v>0.72916666666666696</v>
      </c>
      <c r="G334" s="6">
        <v>1.0000000000000036</v>
      </c>
      <c r="H334" s="6">
        <v>1.0000000000000036</v>
      </c>
      <c r="I334" s="37"/>
      <c r="J334" s="41" t="s">
        <v>9</v>
      </c>
      <c r="K334" s="41" t="s">
        <v>50</v>
      </c>
      <c r="L334" s="58" t="str">
        <f t="shared" si="10"/>
        <v/>
      </c>
      <c r="M334" s="8" t="str">
        <f t="shared" si="11"/>
        <v>Apr_2017</v>
      </c>
    </row>
    <row r="335" spans="1:13" ht="15.75" x14ac:dyDescent="0.25">
      <c r="A335" s="2" t="s">
        <v>0</v>
      </c>
      <c r="B335" s="8" t="s">
        <v>14</v>
      </c>
      <c r="C335" s="18">
        <v>42829</v>
      </c>
      <c r="D335" s="3" t="s">
        <v>16</v>
      </c>
      <c r="E335" s="9">
        <v>0.6875</v>
      </c>
      <c r="F335" s="9">
        <v>0.875</v>
      </c>
      <c r="G335" s="6">
        <v>4.4999999999999964</v>
      </c>
      <c r="H335" s="6">
        <v>4.4999999999999964</v>
      </c>
      <c r="I335" s="37"/>
      <c r="J335" s="41" t="s">
        <v>9</v>
      </c>
      <c r="K335" s="41" t="s">
        <v>50</v>
      </c>
      <c r="L335" s="58">
        <f t="shared" si="10"/>
        <v>1</v>
      </c>
      <c r="M335" s="8" t="str">
        <f t="shared" si="11"/>
        <v>Apr_2017</v>
      </c>
    </row>
    <row r="336" spans="1:13" ht="15.75" x14ac:dyDescent="0.25">
      <c r="A336" s="2" t="s">
        <v>117</v>
      </c>
      <c r="B336" s="8" t="s">
        <v>118</v>
      </c>
      <c r="C336" s="18">
        <v>42829</v>
      </c>
      <c r="D336" s="3" t="s">
        <v>16</v>
      </c>
      <c r="E336" s="9">
        <v>0.3125</v>
      </c>
      <c r="F336" s="9">
        <v>0.89583333333333304</v>
      </c>
      <c r="G336" s="6">
        <v>12.999999999999993</v>
      </c>
      <c r="H336" s="6">
        <v>12.999999999999993</v>
      </c>
      <c r="I336" s="37"/>
      <c r="J336" s="41" t="s">
        <v>9</v>
      </c>
      <c r="K336" s="41" t="s">
        <v>50</v>
      </c>
      <c r="L336" s="58" t="str">
        <f t="shared" si="10"/>
        <v/>
      </c>
      <c r="M336" s="8" t="str">
        <f t="shared" si="11"/>
        <v>Apr_2017</v>
      </c>
    </row>
    <row r="337" spans="1:13" ht="15.75" x14ac:dyDescent="0.25">
      <c r="A337" s="2" t="s">
        <v>0</v>
      </c>
      <c r="B337" s="8" t="s">
        <v>34</v>
      </c>
      <c r="C337" s="18">
        <v>42829</v>
      </c>
      <c r="D337" s="3" t="s">
        <v>16</v>
      </c>
      <c r="E337" s="9">
        <v>0.6875</v>
      </c>
      <c r="F337" s="9">
        <v>0.875</v>
      </c>
      <c r="G337" s="6">
        <v>4.4999999999999964</v>
      </c>
      <c r="H337" s="6">
        <v>4.4999999999999964</v>
      </c>
      <c r="I337" s="37"/>
      <c r="J337" s="41" t="s">
        <v>9</v>
      </c>
      <c r="K337" s="41" t="s">
        <v>50</v>
      </c>
      <c r="L337" s="58">
        <f t="shared" si="10"/>
        <v>1</v>
      </c>
      <c r="M337" s="8" t="str">
        <f t="shared" si="11"/>
        <v>Apr_2017</v>
      </c>
    </row>
    <row r="338" spans="1:13" ht="15.75" x14ac:dyDescent="0.25">
      <c r="A338" s="2" t="s">
        <v>117</v>
      </c>
      <c r="B338" s="8" t="s">
        <v>130</v>
      </c>
      <c r="C338" s="18">
        <v>42829</v>
      </c>
      <c r="D338" s="3" t="s">
        <v>16</v>
      </c>
      <c r="E338" s="9">
        <v>0.75</v>
      </c>
      <c r="F338" s="9">
        <v>0.89583333333333304</v>
      </c>
      <c r="G338" s="6">
        <v>3.4999999999999929</v>
      </c>
      <c r="H338" s="6">
        <v>3.4999999999999929</v>
      </c>
      <c r="I338" s="37"/>
      <c r="J338" s="41" t="s">
        <v>9</v>
      </c>
      <c r="K338" s="41" t="s">
        <v>50</v>
      </c>
      <c r="L338" s="58" t="str">
        <f t="shared" si="10"/>
        <v/>
      </c>
      <c r="M338" s="8" t="str">
        <f t="shared" si="11"/>
        <v>Apr_2017</v>
      </c>
    </row>
    <row r="339" spans="1:13" ht="15.75" x14ac:dyDescent="0.25">
      <c r="A339" s="2" t="s">
        <v>117</v>
      </c>
      <c r="B339" s="8" t="s">
        <v>171</v>
      </c>
      <c r="C339" s="18">
        <v>42829</v>
      </c>
      <c r="D339" s="3" t="s">
        <v>16</v>
      </c>
      <c r="E339" s="9">
        <v>0.3125</v>
      </c>
      <c r="F339" s="9">
        <v>0.89583333333333304</v>
      </c>
      <c r="G339" s="6">
        <v>12.999999999999993</v>
      </c>
      <c r="H339" s="6">
        <v>12.999999999999993</v>
      </c>
      <c r="I339" s="37"/>
      <c r="J339" s="41" t="s">
        <v>9</v>
      </c>
      <c r="K339" s="41" t="s">
        <v>50</v>
      </c>
      <c r="L339" s="58" t="str">
        <f t="shared" si="10"/>
        <v/>
      </c>
      <c r="M339" s="8" t="str">
        <f t="shared" si="11"/>
        <v>Apr_2017</v>
      </c>
    </row>
    <row r="340" spans="1:13" ht="15.75" x14ac:dyDescent="0.25">
      <c r="A340" s="2" t="s">
        <v>117</v>
      </c>
      <c r="B340" s="8" t="s">
        <v>177</v>
      </c>
      <c r="C340" s="18">
        <v>42829</v>
      </c>
      <c r="D340" s="3" t="s">
        <v>16</v>
      </c>
      <c r="E340" s="9">
        <v>0.3125</v>
      </c>
      <c r="F340" s="9">
        <v>0.89583333333333304</v>
      </c>
      <c r="G340" s="6">
        <v>12.999999999999993</v>
      </c>
      <c r="H340" s="6">
        <v>12.999999999999993</v>
      </c>
      <c r="I340" s="37"/>
      <c r="J340" s="41" t="s">
        <v>9</v>
      </c>
      <c r="K340" s="41" t="s">
        <v>50</v>
      </c>
      <c r="L340" s="58" t="str">
        <f t="shared" si="10"/>
        <v/>
      </c>
      <c r="M340" s="8" t="str">
        <f t="shared" si="11"/>
        <v>Apr_2017</v>
      </c>
    </row>
    <row r="341" spans="1:13" ht="15.75" x14ac:dyDescent="0.25">
      <c r="A341" s="10" t="s">
        <v>117</v>
      </c>
      <c r="B341" s="13" t="s">
        <v>118</v>
      </c>
      <c r="C341" s="18">
        <v>42830</v>
      </c>
      <c r="D341" s="3" t="s">
        <v>19</v>
      </c>
      <c r="E341" s="9">
        <v>0.35416666666666702</v>
      </c>
      <c r="F341" s="9">
        <v>0.72916666666666696</v>
      </c>
      <c r="G341" s="6">
        <v>7.9999999999999982</v>
      </c>
      <c r="H341" s="6">
        <v>7.9999999999999982</v>
      </c>
      <c r="I341" s="37"/>
      <c r="J341" s="41" t="s">
        <v>9</v>
      </c>
      <c r="K341" s="41" t="s">
        <v>179</v>
      </c>
      <c r="L341" s="58" t="str">
        <f t="shared" si="10"/>
        <v/>
      </c>
      <c r="M341" s="8" t="str">
        <f t="shared" si="11"/>
        <v>Apr_2017</v>
      </c>
    </row>
    <row r="342" spans="1:13" ht="15.75" x14ac:dyDescent="0.25">
      <c r="A342" s="2" t="s">
        <v>117</v>
      </c>
      <c r="B342" s="8" t="s">
        <v>118</v>
      </c>
      <c r="C342" s="18">
        <v>42832</v>
      </c>
      <c r="D342" s="3" t="s">
        <v>17</v>
      </c>
      <c r="E342" s="9">
        <v>0.35416666666666702</v>
      </c>
      <c r="F342" s="9">
        <v>0.72916666666666696</v>
      </c>
      <c r="G342" s="6">
        <v>7.9999999999999982</v>
      </c>
      <c r="H342" s="6">
        <v>7.9999999999999982</v>
      </c>
      <c r="I342" s="37"/>
      <c r="J342" s="41" t="s">
        <v>9</v>
      </c>
      <c r="K342" s="41" t="s">
        <v>180</v>
      </c>
      <c r="L342" s="58" t="str">
        <f t="shared" si="10"/>
        <v/>
      </c>
      <c r="M342" s="8" t="str">
        <f t="shared" si="11"/>
        <v>Apr_2017</v>
      </c>
    </row>
    <row r="343" spans="1:13" ht="15.75" x14ac:dyDescent="0.25">
      <c r="A343" s="2" t="s">
        <v>117</v>
      </c>
      <c r="B343" s="8" t="s">
        <v>118</v>
      </c>
      <c r="C343" s="18">
        <v>42835</v>
      </c>
      <c r="D343" s="3" t="s">
        <v>21</v>
      </c>
      <c r="E343" s="9">
        <v>0.35416666666666702</v>
      </c>
      <c r="F343" s="9">
        <v>0.72916666666666696</v>
      </c>
      <c r="G343" s="6">
        <v>7.9999999999999982</v>
      </c>
      <c r="H343" s="6">
        <v>7.9999999999999982</v>
      </c>
      <c r="I343" s="37"/>
      <c r="J343" s="41" t="s">
        <v>9</v>
      </c>
      <c r="K343" s="41" t="s">
        <v>181</v>
      </c>
      <c r="L343" s="58" t="str">
        <f t="shared" si="10"/>
        <v/>
      </c>
      <c r="M343" s="8" t="str">
        <f t="shared" si="11"/>
        <v>Apr_2017</v>
      </c>
    </row>
    <row r="344" spans="1:13" ht="15.75" x14ac:dyDescent="0.25">
      <c r="A344" s="2" t="s">
        <v>0</v>
      </c>
      <c r="B344" s="8" t="s">
        <v>10</v>
      </c>
      <c r="C344" s="18">
        <v>42836</v>
      </c>
      <c r="D344" s="3" t="s">
        <v>16</v>
      </c>
      <c r="E344" s="9">
        <v>0.72916666666666696</v>
      </c>
      <c r="F344" s="9">
        <v>0.89583333333333304</v>
      </c>
      <c r="G344" s="6">
        <v>3.9999999999999822</v>
      </c>
      <c r="H344" s="6">
        <v>3.9999999999999822</v>
      </c>
      <c r="I344" s="37"/>
      <c r="J344" s="41" t="s">
        <v>9</v>
      </c>
      <c r="K344" s="41" t="s">
        <v>51</v>
      </c>
      <c r="L344" s="58">
        <f t="shared" si="10"/>
        <v>1</v>
      </c>
      <c r="M344" s="8" t="str">
        <f t="shared" si="11"/>
        <v>Apr_2017</v>
      </c>
    </row>
    <row r="345" spans="1:13" ht="15.75" x14ac:dyDescent="0.25">
      <c r="A345" s="2" t="s">
        <v>0</v>
      </c>
      <c r="B345" s="8" t="s">
        <v>12</v>
      </c>
      <c r="C345" s="18">
        <v>42836</v>
      </c>
      <c r="D345" s="3" t="s">
        <v>16</v>
      </c>
      <c r="E345" s="9">
        <v>0.72916666666666696</v>
      </c>
      <c r="F345" s="9">
        <v>0.89583333333333304</v>
      </c>
      <c r="G345" s="6">
        <v>3.9999999999999822</v>
      </c>
      <c r="H345" s="6">
        <v>3.9999999999999822</v>
      </c>
      <c r="I345" s="37"/>
      <c r="J345" s="41" t="s">
        <v>9</v>
      </c>
      <c r="K345" s="41" t="s">
        <v>51</v>
      </c>
      <c r="L345" s="58">
        <f t="shared" si="10"/>
        <v>1</v>
      </c>
      <c r="M345" s="8" t="str">
        <f t="shared" si="11"/>
        <v>Apr_2017</v>
      </c>
    </row>
    <row r="346" spans="1:13" ht="15.75" x14ac:dyDescent="0.25">
      <c r="A346" s="2" t="s">
        <v>0</v>
      </c>
      <c r="B346" s="8" t="s">
        <v>14</v>
      </c>
      <c r="C346" s="18">
        <v>42836</v>
      </c>
      <c r="D346" s="3" t="s">
        <v>16</v>
      </c>
      <c r="E346" s="9">
        <v>0.72916666666666696</v>
      </c>
      <c r="F346" s="9">
        <v>0.89583333333333304</v>
      </c>
      <c r="G346" s="6">
        <v>3.9999999999999822</v>
      </c>
      <c r="H346" s="6">
        <v>3.9999999999999822</v>
      </c>
      <c r="I346" s="37"/>
      <c r="J346" s="41" t="s">
        <v>9</v>
      </c>
      <c r="K346" s="41" t="s">
        <v>51</v>
      </c>
      <c r="L346" s="58">
        <f t="shared" si="10"/>
        <v>1</v>
      </c>
      <c r="M346" s="8" t="str">
        <f t="shared" si="11"/>
        <v>Apr_2017</v>
      </c>
    </row>
    <row r="347" spans="1:13" ht="15.75" x14ac:dyDescent="0.25">
      <c r="A347" s="2" t="s">
        <v>117</v>
      </c>
      <c r="B347" s="8" t="s">
        <v>118</v>
      </c>
      <c r="C347" s="18">
        <v>42836</v>
      </c>
      <c r="D347" s="3" t="s">
        <v>16</v>
      </c>
      <c r="E347" s="9">
        <v>0.35416666666666702</v>
      </c>
      <c r="F347" s="9">
        <v>0.89583333333333304</v>
      </c>
      <c r="G347" s="6">
        <v>11.999999999999986</v>
      </c>
      <c r="H347" s="6">
        <v>11.999999999999986</v>
      </c>
      <c r="I347" s="37"/>
      <c r="J347" s="41" t="s">
        <v>9</v>
      </c>
      <c r="K347" s="41" t="s">
        <v>51</v>
      </c>
      <c r="L347" s="58" t="str">
        <f t="shared" si="10"/>
        <v/>
      </c>
      <c r="M347" s="8" t="str">
        <f t="shared" si="11"/>
        <v>Apr_2017</v>
      </c>
    </row>
    <row r="348" spans="1:13" ht="15.75" x14ac:dyDescent="0.25">
      <c r="A348" s="2" t="s">
        <v>117</v>
      </c>
      <c r="B348" s="8" t="s">
        <v>171</v>
      </c>
      <c r="C348" s="18">
        <v>42836</v>
      </c>
      <c r="D348" s="3" t="s">
        <v>16</v>
      </c>
      <c r="E348" s="9">
        <v>0.75</v>
      </c>
      <c r="F348" s="9">
        <v>0.89583333333333304</v>
      </c>
      <c r="G348" s="6">
        <v>3.4999999999999929</v>
      </c>
      <c r="H348" s="6">
        <v>3.4999999999999929</v>
      </c>
      <c r="I348" s="37"/>
      <c r="J348" s="41" t="s">
        <v>9</v>
      </c>
      <c r="K348" s="41" t="s">
        <v>51</v>
      </c>
      <c r="L348" s="58" t="str">
        <f t="shared" si="10"/>
        <v/>
      </c>
      <c r="M348" s="8" t="str">
        <f t="shared" si="11"/>
        <v>Apr_2017</v>
      </c>
    </row>
    <row r="349" spans="1:13" ht="15.75" x14ac:dyDescent="0.25">
      <c r="A349" s="2" t="s">
        <v>117</v>
      </c>
      <c r="B349" s="8" t="s">
        <v>118</v>
      </c>
      <c r="C349" s="18">
        <v>42837</v>
      </c>
      <c r="D349" s="3" t="s">
        <v>19</v>
      </c>
      <c r="E349" s="9">
        <v>0.35416666666666702</v>
      </c>
      <c r="F349" s="9">
        <v>0.72916666666666696</v>
      </c>
      <c r="G349" s="6">
        <v>7.9999999999999982</v>
      </c>
      <c r="H349" s="6">
        <v>7.9999999999999982</v>
      </c>
      <c r="I349" s="37"/>
      <c r="J349" s="41" t="s">
        <v>9</v>
      </c>
      <c r="K349" s="41" t="s">
        <v>182</v>
      </c>
      <c r="L349" s="58" t="str">
        <f t="shared" si="10"/>
        <v/>
      </c>
      <c r="M349" s="8" t="str">
        <f t="shared" si="11"/>
        <v>Apr_2017</v>
      </c>
    </row>
    <row r="350" spans="1:13" ht="15.75" x14ac:dyDescent="0.25">
      <c r="A350" s="2" t="s">
        <v>117</v>
      </c>
      <c r="B350" s="8" t="s">
        <v>118</v>
      </c>
      <c r="C350" s="18">
        <v>42838</v>
      </c>
      <c r="D350" s="3" t="s">
        <v>18</v>
      </c>
      <c r="E350" s="9">
        <v>0.35416666666666702</v>
      </c>
      <c r="F350" s="9">
        <v>0.72916666666666696</v>
      </c>
      <c r="G350" s="6">
        <v>7.9999999999999982</v>
      </c>
      <c r="H350" s="6">
        <v>7.9999999999999982</v>
      </c>
      <c r="I350" s="37"/>
      <c r="J350" s="41" t="s">
        <v>9</v>
      </c>
      <c r="K350" s="41" t="s">
        <v>183</v>
      </c>
      <c r="L350" s="58" t="str">
        <f t="shared" si="10"/>
        <v/>
      </c>
      <c r="M350" s="8" t="str">
        <f t="shared" si="11"/>
        <v>Apr_2017</v>
      </c>
    </row>
    <row r="351" spans="1:13" ht="15.75" x14ac:dyDescent="0.25">
      <c r="A351" s="2" t="s">
        <v>117</v>
      </c>
      <c r="B351" s="8" t="s">
        <v>118</v>
      </c>
      <c r="C351" s="18">
        <v>42839</v>
      </c>
      <c r="D351" s="3" t="s">
        <v>17</v>
      </c>
      <c r="E351" s="9">
        <v>0.35416666666666702</v>
      </c>
      <c r="F351" s="9">
        <v>0.72916666666666696</v>
      </c>
      <c r="G351" s="6">
        <v>7.9999999999999982</v>
      </c>
      <c r="H351" s="6">
        <v>7.9999999999999982</v>
      </c>
      <c r="I351" s="37"/>
      <c r="J351" s="41" t="s">
        <v>9</v>
      </c>
      <c r="K351" s="41" t="s">
        <v>184</v>
      </c>
      <c r="L351" s="58" t="str">
        <f t="shared" si="10"/>
        <v/>
      </c>
      <c r="M351" s="8" t="str">
        <f t="shared" si="11"/>
        <v>Apr_2017</v>
      </c>
    </row>
    <row r="352" spans="1:13" ht="15.75" x14ac:dyDescent="0.25">
      <c r="A352" s="2" t="s">
        <v>117</v>
      </c>
      <c r="B352" s="8" t="s">
        <v>118</v>
      </c>
      <c r="C352" s="18">
        <v>42842</v>
      </c>
      <c r="D352" s="3" t="s">
        <v>21</v>
      </c>
      <c r="E352" s="9">
        <v>0.35416666666666702</v>
      </c>
      <c r="F352" s="9">
        <v>0.72916666666666696</v>
      </c>
      <c r="G352" s="6">
        <v>7.9999999999999982</v>
      </c>
      <c r="H352" s="6">
        <v>7.9999999999999982</v>
      </c>
      <c r="I352" s="37"/>
      <c r="J352" s="41" t="s">
        <v>9</v>
      </c>
      <c r="K352" s="41" t="s">
        <v>185</v>
      </c>
      <c r="L352" s="58" t="str">
        <f t="shared" si="10"/>
        <v/>
      </c>
      <c r="M352" s="8" t="str">
        <f t="shared" si="11"/>
        <v>Apr_2017</v>
      </c>
    </row>
    <row r="353" spans="1:13" ht="15.75" x14ac:dyDescent="0.25">
      <c r="A353" s="2" t="s">
        <v>117</v>
      </c>
      <c r="B353" s="8" t="s">
        <v>118</v>
      </c>
      <c r="C353" s="18">
        <v>42843</v>
      </c>
      <c r="D353" s="3" t="s">
        <v>16</v>
      </c>
      <c r="E353" s="9">
        <v>0.35416666666666702</v>
      </c>
      <c r="F353" s="9">
        <v>0.72916666666666696</v>
      </c>
      <c r="G353" s="6">
        <v>7.9999999999999982</v>
      </c>
      <c r="H353" s="6">
        <v>7.9999999999999982</v>
      </c>
      <c r="I353" s="37"/>
      <c r="J353" s="41" t="s">
        <v>9</v>
      </c>
      <c r="K353" s="41" t="s">
        <v>186</v>
      </c>
      <c r="L353" s="58" t="str">
        <f t="shared" si="10"/>
        <v/>
      </c>
      <c r="M353" s="8" t="str">
        <f t="shared" si="11"/>
        <v>Apr_2017</v>
      </c>
    </row>
    <row r="354" spans="1:13" ht="15.75" x14ac:dyDescent="0.25">
      <c r="A354" s="2" t="s">
        <v>0</v>
      </c>
      <c r="B354" s="8" t="s">
        <v>10</v>
      </c>
      <c r="C354" s="18">
        <v>42844</v>
      </c>
      <c r="D354" s="3" t="s">
        <v>19</v>
      </c>
      <c r="E354" s="9">
        <v>0.72916666666666696</v>
      </c>
      <c r="F354" s="9">
        <v>0.89583333333333304</v>
      </c>
      <c r="G354" s="6">
        <v>3.9999999999999822</v>
      </c>
      <c r="H354" s="6">
        <v>3.9999999999999822</v>
      </c>
      <c r="I354" s="37"/>
      <c r="J354" s="41" t="s">
        <v>9</v>
      </c>
      <c r="K354" s="41" t="s">
        <v>52</v>
      </c>
      <c r="L354" s="58">
        <f t="shared" si="10"/>
        <v>1</v>
      </c>
      <c r="M354" s="8" t="str">
        <f t="shared" si="11"/>
        <v>Apr_2017</v>
      </c>
    </row>
    <row r="355" spans="1:13" ht="15.75" x14ac:dyDescent="0.25">
      <c r="A355" s="2" t="s">
        <v>0</v>
      </c>
      <c r="B355" s="8" t="s">
        <v>12</v>
      </c>
      <c r="C355" s="18">
        <v>42844</v>
      </c>
      <c r="D355" s="3" t="s">
        <v>19</v>
      </c>
      <c r="E355" s="9">
        <v>0.72916666666666696</v>
      </c>
      <c r="F355" s="9">
        <v>0.89583333333333304</v>
      </c>
      <c r="G355" s="6">
        <v>3.9999999999999822</v>
      </c>
      <c r="H355" s="6">
        <v>3.9999999999999822</v>
      </c>
      <c r="I355" s="37"/>
      <c r="J355" s="41" t="s">
        <v>9</v>
      </c>
      <c r="K355" s="41" t="s">
        <v>52</v>
      </c>
      <c r="L355" s="58">
        <f t="shared" si="10"/>
        <v>1</v>
      </c>
      <c r="M355" s="8" t="str">
        <f t="shared" si="11"/>
        <v>Apr_2017</v>
      </c>
    </row>
    <row r="356" spans="1:13" ht="15.75" x14ac:dyDescent="0.25">
      <c r="A356" s="2" t="s">
        <v>0</v>
      </c>
      <c r="B356" s="8" t="s">
        <v>13</v>
      </c>
      <c r="C356" s="18">
        <v>42844</v>
      </c>
      <c r="D356" s="3" t="s">
        <v>19</v>
      </c>
      <c r="E356" s="9">
        <v>0.72916666666666696</v>
      </c>
      <c r="F356" s="9">
        <v>0.75</v>
      </c>
      <c r="G356" s="6">
        <v>0.49999999999998757</v>
      </c>
      <c r="H356" s="6">
        <v>0.49999999999998757</v>
      </c>
      <c r="I356" s="37"/>
      <c r="J356" s="41" t="s">
        <v>9</v>
      </c>
      <c r="K356" s="41" t="s">
        <v>52</v>
      </c>
      <c r="L356" s="58" t="str">
        <f t="shared" si="10"/>
        <v/>
      </c>
      <c r="M356" s="8" t="str">
        <f t="shared" si="11"/>
        <v>Apr_2017</v>
      </c>
    </row>
    <row r="357" spans="1:13" ht="15.75" x14ac:dyDescent="0.25">
      <c r="A357" s="2" t="s">
        <v>117</v>
      </c>
      <c r="B357" s="8" t="s">
        <v>118</v>
      </c>
      <c r="C357" s="18">
        <v>42844</v>
      </c>
      <c r="D357" s="3" t="s">
        <v>19</v>
      </c>
      <c r="E357" s="9">
        <v>0.35416666666666702</v>
      </c>
      <c r="F357" s="9">
        <v>0.89583333333333304</v>
      </c>
      <c r="G357" s="6">
        <v>11.999999999999986</v>
      </c>
      <c r="H357" s="6">
        <v>11.999999999999986</v>
      </c>
      <c r="I357" s="37"/>
      <c r="J357" s="41" t="s">
        <v>9</v>
      </c>
      <c r="K357" s="41" t="s">
        <v>52</v>
      </c>
      <c r="L357" s="58" t="str">
        <f t="shared" si="10"/>
        <v/>
      </c>
      <c r="M357" s="8" t="str">
        <f t="shared" si="11"/>
        <v>Apr_2017</v>
      </c>
    </row>
    <row r="358" spans="1:13" ht="15.75" x14ac:dyDescent="0.25">
      <c r="A358" s="2" t="s">
        <v>0</v>
      </c>
      <c r="B358" s="8" t="s">
        <v>34</v>
      </c>
      <c r="C358" s="18">
        <v>42844</v>
      </c>
      <c r="D358" s="3" t="s">
        <v>19</v>
      </c>
      <c r="E358" s="9">
        <v>0.72916666666666696</v>
      </c>
      <c r="F358" s="9">
        <v>0.89583333333333304</v>
      </c>
      <c r="G358" s="6">
        <v>3.9999999999999822</v>
      </c>
      <c r="H358" s="6">
        <v>3.9999999999999822</v>
      </c>
      <c r="I358" s="37"/>
      <c r="J358" s="41" t="s">
        <v>9</v>
      </c>
      <c r="K358" s="41" t="s">
        <v>52</v>
      </c>
      <c r="L358" s="58">
        <f t="shared" si="10"/>
        <v>1</v>
      </c>
      <c r="M358" s="8" t="str">
        <f t="shared" si="11"/>
        <v>Apr_2017</v>
      </c>
    </row>
    <row r="359" spans="1:13" ht="15.75" x14ac:dyDescent="0.25">
      <c r="A359" s="2" t="s">
        <v>117</v>
      </c>
      <c r="B359" s="8" t="s">
        <v>177</v>
      </c>
      <c r="C359" s="18">
        <v>42844</v>
      </c>
      <c r="D359" s="3" t="s">
        <v>19</v>
      </c>
      <c r="E359" s="9">
        <v>0.75</v>
      </c>
      <c r="F359" s="9">
        <v>0.89583333333333304</v>
      </c>
      <c r="G359" s="6">
        <v>3.4999999999999929</v>
      </c>
      <c r="H359" s="6">
        <v>3.4999999999999929</v>
      </c>
      <c r="I359" s="37"/>
      <c r="J359" s="41" t="s">
        <v>9</v>
      </c>
      <c r="K359" s="41" t="s">
        <v>52</v>
      </c>
      <c r="L359" s="58" t="str">
        <f t="shared" si="10"/>
        <v/>
      </c>
      <c r="M359" s="8" t="str">
        <f t="shared" si="11"/>
        <v>Apr_2017</v>
      </c>
    </row>
    <row r="360" spans="1:13" ht="15.75" x14ac:dyDescent="0.25">
      <c r="A360" s="2" t="s">
        <v>117</v>
      </c>
      <c r="B360" s="8" t="s">
        <v>118</v>
      </c>
      <c r="C360" s="18">
        <v>42845</v>
      </c>
      <c r="D360" s="3" t="s">
        <v>18</v>
      </c>
      <c r="E360" s="9">
        <v>0.35416666666666702</v>
      </c>
      <c r="F360" s="9">
        <v>0.72916666666666696</v>
      </c>
      <c r="G360" s="6">
        <v>7.9999999999999982</v>
      </c>
      <c r="H360" s="6">
        <v>7.9999999999999982</v>
      </c>
      <c r="I360" s="37"/>
      <c r="J360" s="41" t="s">
        <v>9</v>
      </c>
      <c r="K360" s="41" t="s">
        <v>187</v>
      </c>
      <c r="L360" s="58" t="str">
        <f t="shared" si="10"/>
        <v/>
      </c>
      <c r="M360" s="8" t="str">
        <f t="shared" si="11"/>
        <v>Apr_2017</v>
      </c>
    </row>
    <row r="361" spans="1:13" ht="15.75" x14ac:dyDescent="0.25">
      <c r="A361" s="2" t="s">
        <v>117</v>
      </c>
      <c r="B361" s="8" t="s">
        <v>118</v>
      </c>
      <c r="C361" s="18">
        <v>42846</v>
      </c>
      <c r="D361" s="3" t="s">
        <v>17</v>
      </c>
      <c r="E361" s="9">
        <v>0.35416666666666702</v>
      </c>
      <c r="F361" s="9">
        <v>0.72916666666666696</v>
      </c>
      <c r="G361" s="6">
        <v>7.9999999999999982</v>
      </c>
      <c r="H361" s="6">
        <v>7.9999999999999982</v>
      </c>
      <c r="I361" s="37"/>
      <c r="J361" s="41" t="s">
        <v>9</v>
      </c>
      <c r="K361" s="41" t="s">
        <v>188</v>
      </c>
      <c r="L361" s="58" t="str">
        <f t="shared" si="10"/>
        <v/>
      </c>
      <c r="M361" s="8" t="str">
        <f t="shared" si="11"/>
        <v>Apr_2017</v>
      </c>
    </row>
    <row r="362" spans="1:13" ht="15.75" x14ac:dyDescent="0.25">
      <c r="A362" s="2" t="s">
        <v>0</v>
      </c>
      <c r="B362" s="8" t="s">
        <v>10</v>
      </c>
      <c r="C362" s="18">
        <v>42849</v>
      </c>
      <c r="D362" s="3" t="s">
        <v>21</v>
      </c>
      <c r="E362" s="9">
        <v>0.72916666666666696</v>
      </c>
      <c r="F362" s="9">
        <v>0.89583333333333304</v>
      </c>
      <c r="G362" s="6">
        <v>3.9999999999999822</v>
      </c>
      <c r="H362" s="6">
        <v>3.9999999999999822</v>
      </c>
      <c r="I362" s="37"/>
      <c r="J362" s="41" t="s">
        <v>9</v>
      </c>
      <c r="K362" s="41" t="s">
        <v>53</v>
      </c>
      <c r="L362" s="58">
        <f t="shared" si="10"/>
        <v>1</v>
      </c>
      <c r="M362" s="8" t="str">
        <f t="shared" si="11"/>
        <v>Apr_2017</v>
      </c>
    </row>
    <row r="363" spans="1:13" ht="15.75" x14ac:dyDescent="0.25">
      <c r="A363" s="2" t="s">
        <v>0</v>
      </c>
      <c r="B363" s="8" t="s">
        <v>12</v>
      </c>
      <c r="C363" s="18">
        <v>42849</v>
      </c>
      <c r="D363" s="3" t="s">
        <v>21</v>
      </c>
      <c r="E363" s="9">
        <v>0.72916666666666696</v>
      </c>
      <c r="F363" s="9">
        <v>0.89583333333333304</v>
      </c>
      <c r="G363" s="6">
        <v>3.9999999999999822</v>
      </c>
      <c r="H363" s="6">
        <v>3.9999999999999822</v>
      </c>
      <c r="I363" s="37"/>
      <c r="J363" s="41" t="s">
        <v>9</v>
      </c>
      <c r="K363" s="41" t="s">
        <v>54</v>
      </c>
      <c r="L363" s="58">
        <f t="shared" si="10"/>
        <v>1</v>
      </c>
      <c r="M363" s="8" t="str">
        <f t="shared" si="11"/>
        <v>Apr_2017</v>
      </c>
    </row>
    <row r="364" spans="1:13" ht="15.75" x14ac:dyDescent="0.25">
      <c r="A364" s="2" t="s">
        <v>0</v>
      </c>
      <c r="B364" s="8" t="s">
        <v>14</v>
      </c>
      <c r="C364" s="18">
        <v>42849</v>
      </c>
      <c r="D364" s="3" t="s">
        <v>21</v>
      </c>
      <c r="E364" s="9">
        <v>0.72916666666666696</v>
      </c>
      <c r="F364" s="9">
        <v>0.89583333333333304</v>
      </c>
      <c r="G364" s="6">
        <v>3.9999999999999822</v>
      </c>
      <c r="H364" s="6">
        <v>3.9999999999999822</v>
      </c>
      <c r="I364" s="37"/>
      <c r="J364" s="41" t="s">
        <v>9</v>
      </c>
      <c r="K364" s="41" t="s">
        <v>54</v>
      </c>
      <c r="L364" s="58">
        <f t="shared" si="10"/>
        <v>1</v>
      </c>
      <c r="M364" s="8" t="str">
        <f t="shared" si="11"/>
        <v>Apr_2017</v>
      </c>
    </row>
    <row r="365" spans="1:13" ht="15.75" x14ac:dyDescent="0.25">
      <c r="A365" s="2" t="s">
        <v>117</v>
      </c>
      <c r="B365" s="8" t="s">
        <v>118</v>
      </c>
      <c r="C365" s="18">
        <v>42849</v>
      </c>
      <c r="D365" s="3" t="s">
        <v>21</v>
      </c>
      <c r="E365" s="9">
        <v>0.35416666666666702</v>
      </c>
      <c r="F365" s="9">
        <v>0.89583333333333304</v>
      </c>
      <c r="G365" s="6">
        <v>11.999999999999986</v>
      </c>
      <c r="H365" s="6">
        <v>11.999999999999986</v>
      </c>
      <c r="I365" s="37"/>
      <c r="J365" s="41" t="s">
        <v>9</v>
      </c>
      <c r="K365" s="41" t="s">
        <v>54</v>
      </c>
      <c r="L365" s="58" t="str">
        <f t="shared" si="10"/>
        <v/>
      </c>
      <c r="M365" s="8" t="str">
        <f t="shared" si="11"/>
        <v>Apr_2017</v>
      </c>
    </row>
    <row r="366" spans="1:13" ht="15.75" x14ac:dyDescent="0.25">
      <c r="A366" s="2" t="s">
        <v>0</v>
      </c>
      <c r="B366" s="8" t="s">
        <v>34</v>
      </c>
      <c r="C366" s="18">
        <v>42849</v>
      </c>
      <c r="D366" s="3" t="s">
        <v>21</v>
      </c>
      <c r="E366" s="9">
        <v>0.71875</v>
      </c>
      <c r="F366" s="9">
        <v>0.89583333333333304</v>
      </c>
      <c r="G366" s="6">
        <v>4.2499999999999893</v>
      </c>
      <c r="H366" s="6">
        <v>4.2499999999999893</v>
      </c>
      <c r="I366" s="37"/>
      <c r="J366" s="41" t="s">
        <v>9</v>
      </c>
      <c r="K366" s="41" t="s">
        <v>54</v>
      </c>
      <c r="L366" s="58">
        <f t="shared" si="10"/>
        <v>1</v>
      </c>
      <c r="M366" s="8" t="str">
        <f t="shared" si="11"/>
        <v>Apr_2017</v>
      </c>
    </row>
    <row r="367" spans="1:13" ht="15.75" x14ac:dyDescent="0.25">
      <c r="A367" s="2" t="s">
        <v>117</v>
      </c>
      <c r="B367" s="8" t="s">
        <v>128</v>
      </c>
      <c r="C367" s="18">
        <v>42849</v>
      </c>
      <c r="D367" s="3" t="s">
        <v>21</v>
      </c>
      <c r="E367" s="9">
        <v>0.75</v>
      </c>
      <c r="F367" s="9">
        <v>0.89583333333333304</v>
      </c>
      <c r="G367" s="6">
        <v>3.4999999999999929</v>
      </c>
      <c r="H367" s="6">
        <v>3.4999999999999929</v>
      </c>
      <c r="I367" s="37"/>
      <c r="J367" s="41" t="s">
        <v>9</v>
      </c>
      <c r="K367" s="41" t="s">
        <v>54</v>
      </c>
      <c r="L367" s="58" t="str">
        <f t="shared" si="10"/>
        <v/>
      </c>
      <c r="M367" s="8" t="str">
        <f t="shared" si="11"/>
        <v>Apr_2017</v>
      </c>
    </row>
    <row r="368" spans="1:13" ht="15.75" x14ac:dyDescent="0.25">
      <c r="A368" s="8" t="s">
        <v>0</v>
      </c>
      <c r="B368" s="8" t="s">
        <v>12</v>
      </c>
      <c r="C368" s="18">
        <v>42850</v>
      </c>
      <c r="D368" s="3" t="s">
        <v>16</v>
      </c>
      <c r="E368" s="9">
        <v>0.72916666666666696</v>
      </c>
      <c r="F368" s="9">
        <v>0.85416666666666696</v>
      </c>
      <c r="G368" s="6">
        <v>2.9999999999999947</v>
      </c>
      <c r="H368" s="6">
        <v>2.9999999999999947</v>
      </c>
      <c r="I368" s="37"/>
      <c r="J368" s="41" t="s">
        <v>9</v>
      </c>
      <c r="K368" s="41" t="s">
        <v>55</v>
      </c>
      <c r="L368" s="58">
        <f t="shared" si="10"/>
        <v>1</v>
      </c>
      <c r="M368" s="8" t="str">
        <f t="shared" si="11"/>
        <v>Apr_2017</v>
      </c>
    </row>
    <row r="369" spans="1:13" ht="15.75" x14ac:dyDescent="0.25">
      <c r="A369" s="8" t="s">
        <v>0</v>
      </c>
      <c r="B369" s="8" t="s">
        <v>13</v>
      </c>
      <c r="C369" s="18">
        <v>42850</v>
      </c>
      <c r="D369" s="3" t="s">
        <v>16</v>
      </c>
      <c r="E369" s="9">
        <v>0.72916666666666696</v>
      </c>
      <c r="F369" s="9">
        <v>0.85416666666666696</v>
      </c>
      <c r="G369" s="6">
        <v>2.9999999999999947</v>
      </c>
      <c r="H369" s="6">
        <v>2.9999999999999947</v>
      </c>
      <c r="I369" s="37"/>
      <c r="J369" s="41" t="s">
        <v>9</v>
      </c>
      <c r="K369" s="41" t="s">
        <v>55</v>
      </c>
      <c r="L369" s="58">
        <f t="shared" si="10"/>
        <v>1</v>
      </c>
      <c r="M369" s="8" t="str">
        <f t="shared" si="11"/>
        <v>Apr_2017</v>
      </c>
    </row>
    <row r="370" spans="1:13" ht="15.75" x14ac:dyDescent="0.25">
      <c r="A370" s="8" t="s">
        <v>0</v>
      </c>
      <c r="B370" s="8" t="s">
        <v>14</v>
      </c>
      <c r="C370" s="18">
        <v>42850</v>
      </c>
      <c r="D370" s="3" t="s">
        <v>16</v>
      </c>
      <c r="E370" s="9">
        <v>0.72916666666666696</v>
      </c>
      <c r="F370" s="9">
        <v>0.85416666666666696</v>
      </c>
      <c r="G370" s="6">
        <v>2.9999999999999947</v>
      </c>
      <c r="H370" s="6">
        <v>2.9999999999999947</v>
      </c>
      <c r="I370" s="37"/>
      <c r="J370" s="41" t="s">
        <v>9</v>
      </c>
      <c r="K370" s="41" t="s">
        <v>55</v>
      </c>
      <c r="L370" s="58">
        <f t="shared" si="10"/>
        <v>1</v>
      </c>
      <c r="M370" s="8" t="str">
        <f t="shared" si="11"/>
        <v>Apr_2017</v>
      </c>
    </row>
    <row r="371" spans="1:13" ht="15.75" x14ac:dyDescent="0.25">
      <c r="A371" s="8" t="s">
        <v>117</v>
      </c>
      <c r="B371" s="8" t="s">
        <v>118</v>
      </c>
      <c r="C371" s="18">
        <v>42850</v>
      </c>
      <c r="D371" s="3" t="s">
        <v>16</v>
      </c>
      <c r="E371" s="9">
        <v>0.35416666666666702</v>
      </c>
      <c r="F371" s="9">
        <v>0.85416666666666696</v>
      </c>
      <c r="G371" s="6">
        <v>10.999999999999998</v>
      </c>
      <c r="H371" s="6">
        <v>10.999999999999998</v>
      </c>
      <c r="I371" s="37"/>
      <c r="J371" s="41" t="s">
        <v>9</v>
      </c>
      <c r="K371" s="41" t="s">
        <v>55</v>
      </c>
      <c r="L371" s="58" t="str">
        <f t="shared" si="10"/>
        <v/>
      </c>
      <c r="M371" s="8" t="str">
        <f t="shared" si="11"/>
        <v>Apr_2017</v>
      </c>
    </row>
    <row r="372" spans="1:13" ht="15.75" x14ac:dyDescent="0.25">
      <c r="A372" s="8" t="s">
        <v>117</v>
      </c>
      <c r="B372" s="8" t="s">
        <v>171</v>
      </c>
      <c r="C372" s="18">
        <v>42850</v>
      </c>
      <c r="D372" s="3" t="s">
        <v>16</v>
      </c>
      <c r="E372" s="9">
        <v>0.66666666666666696</v>
      </c>
      <c r="F372" s="9">
        <v>0.85416666666666696</v>
      </c>
      <c r="G372" s="6">
        <v>4.5</v>
      </c>
      <c r="H372" s="6">
        <v>4.5</v>
      </c>
      <c r="I372" s="37"/>
      <c r="J372" s="41" t="s">
        <v>9</v>
      </c>
      <c r="K372" s="41" t="s">
        <v>55</v>
      </c>
      <c r="L372" s="58" t="str">
        <f t="shared" si="10"/>
        <v/>
      </c>
      <c r="M372" s="8" t="str">
        <f t="shared" si="11"/>
        <v>Apr_2017</v>
      </c>
    </row>
    <row r="373" spans="1:13" ht="15.75" x14ac:dyDescent="0.25">
      <c r="A373" s="8" t="s">
        <v>0</v>
      </c>
      <c r="B373" s="8" t="s">
        <v>10</v>
      </c>
      <c r="C373" s="18">
        <v>42851</v>
      </c>
      <c r="D373" s="3" t="s">
        <v>19</v>
      </c>
      <c r="E373" s="9">
        <v>0.72916666666666696</v>
      </c>
      <c r="F373" s="9">
        <v>0.875</v>
      </c>
      <c r="G373" s="6">
        <v>3.4999999999999893</v>
      </c>
      <c r="H373" s="6">
        <v>3.4999999999999893</v>
      </c>
      <c r="I373" s="37"/>
      <c r="J373" s="41" t="s">
        <v>9</v>
      </c>
      <c r="K373" s="41" t="s">
        <v>56</v>
      </c>
      <c r="L373" s="58">
        <f t="shared" si="10"/>
        <v>1</v>
      </c>
      <c r="M373" s="8" t="str">
        <f t="shared" si="11"/>
        <v>Apr_2017</v>
      </c>
    </row>
    <row r="374" spans="1:13" ht="15.75" x14ac:dyDescent="0.25">
      <c r="A374" s="8" t="s">
        <v>0</v>
      </c>
      <c r="B374" s="8" t="s">
        <v>13</v>
      </c>
      <c r="C374" s="18">
        <v>42851</v>
      </c>
      <c r="D374" s="3" t="s">
        <v>19</v>
      </c>
      <c r="E374" s="9">
        <v>0.72916666666666696</v>
      </c>
      <c r="F374" s="9">
        <v>0.85416666666666696</v>
      </c>
      <c r="G374" s="6">
        <v>2.9999999999999947</v>
      </c>
      <c r="H374" s="6">
        <v>2.9999999999999947</v>
      </c>
      <c r="I374" s="37"/>
      <c r="J374" s="41" t="s">
        <v>9</v>
      </c>
      <c r="K374" s="41" t="s">
        <v>56</v>
      </c>
      <c r="L374" s="58">
        <f t="shared" si="10"/>
        <v>1</v>
      </c>
      <c r="M374" s="8" t="str">
        <f t="shared" si="11"/>
        <v>Apr_2017</v>
      </c>
    </row>
    <row r="375" spans="1:13" ht="15.75" x14ac:dyDescent="0.25">
      <c r="A375" s="8" t="s">
        <v>0</v>
      </c>
      <c r="B375" s="8" t="s">
        <v>14</v>
      </c>
      <c r="C375" s="18">
        <v>42851</v>
      </c>
      <c r="D375" s="3" t="s">
        <v>19</v>
      </c>
      <c r="E375" s="9">
        <v>0.72916666666666696</v>
      </c>
      <c r="F375" s="9">
        <v>0.875</v>
      </c>
      <c r="G375" s="6">
        <v>3.4999999999999893</v>
      </c>
      <c r="H375" s="6">
        <v>3.4999999999999893</v>
      </c>
      <c r="I375" s="37"/>
      <c r="J375" s="41" t="s">
        <v>9</v>
      </c>
      <c r="K375" s="41" t="s">
        <v>56</v>
      </c>
      <c r="L375" s="58">
        <f t="shared" si="10"/>
        <v>1</v>
      </c>
      <c r="M375" s="8" t="str">
        <f t="shared" si="11"/>
        <v>Apr_2017</v>
      </c>
    </row>
    <row r="376" spans="1:13" ht="15.75" x14ac:dyDescent="0.25">
      <c r="A376" s="8" t="s">
        <v>117</v>
      </c>
      <c r="B376" s="8" t="s">
        <v>118</v>
      </c>
      <c r="C376" s="18">
        <v>42851</v>
      </c>
      <c r="D376" s="3" t="s">
        <v>19</v>
      </c>
      <c r="E376" s="9">
        <v>0.35416666666666702</v>
      </c>
      <c r="F376" s="9">
        <v>0.875</v>
      </c>
      <c r="G376" s="6">
        <v>11.499999999999993</v>
      </c>
      <c r="H376" s="6">
        <v>11.499999999999993</v>
      </c>
      <c r="I376" s="37"/>
      <c r="J376" s="41" t="s">
        <v>9</v>
      </c>
      <c r="K376" s="41" t="s">
        <v>56</v>
      </c>
      <c r="L376" s="58" t="str">
        <f t="shared" si="10"/>
        <v/>
      </c>
      <c r="M376" s="8" t="str">
        <f t="shared" si="11"/>
        <v>Apr_2017</v>
      </c>
    </row>
    <row r="377" spans="1:13" ht="15.75" x14ac:dyDescent="0.25">
      <c r="A377" s="8" t="s">
        <v>117</v>
      </c>
      <c r="B377" s="8" t="s">
        <v>128</v>
      </c>
      <c r="C377" s="18">
        <v>42851</v>
      </c>
      <c r="D377" s="3" t="s">
        <v>19</v>
      </c>
      <c r="E377" s="9">
        <v>0.5</v>
      </c>
      <c r="F377" s="9">
        <v>0.875</v>
      </c>
      <c r="G377" s="6">
        <v>8</v>
      </c>
      <c r="H377" s="6">
        <v>8</v>
      </c>
      <c r="I377" s="37"/>
      <c r="J377" s="41" t="s">
        <v>9</v>
      </c>
      <c r="K377" s="41" t="s">
        <v>56</v>
      </c>
      <c r="L377" s="58" t="str">
        <f t="shared" si="10"/>
        <v/>
      </c>
      <c r="M377" s="8" t="str">
        <f t="shared" si="11"/>
        <v>Apr_2017</v>
      </c>
    </row>
    <row r="378" spans="1:13" ht="15.75" x14ac:dyDescent="0.25">
      <c r="A378" s="8" t="s">
        <v>117</v>
      </c>
      <c r="B378" s="8" t="s">
        <v>171</v>
      </c>
      <c r="C378" s="18">
        <v>42851</v>
      </c>
      <c r="D378" s="3" t="s">
        <v>19</v>
      </c>
      <c r="E378" s="9">
        <v>0.66666666666666696</v>
      </c>
      <c r="F378" s="9">
        <v>0.875</v>
      </c>
      <c r="G378" s="6">
        <v>4.9999999999999929</v>
      </c>
      <c r="H378" s="6">
        <v>4.9999999999999929</v>
      </c>
      <c r="I378" s="37"/>
      <c r="J378" s="41" t="s">
        <v>9</v>
      </c>
      <c r="K378" s="41" t="s">
        <v>56</v>
      </c>
      <c r="L378" s="58" t="str">
        <f t="shared" si="10"/>
        <v/>
      </c>
      <c r="M378" s="8" t="str">
        <f t="shared" si="11"/>
        <v>Apr_2017</v>
      </c>
    </row>
    <row r="379" spans="1:13" ht="15.75" x14ac:dyDescent="0.25">
      <c r="A379" s="8" t="s">
        <v>117</v>
      </c>
      <c r="B379" s="8" t="s">
        <v>175</v>
      </c>
      <c r="C379" s="18">
        <v>42851</v>
      </c>
      <c r="D379" s="3" t="s">
        <v>19</v>
      </c>
      <c r="E379" s="9">
        <v>0.5</v>
      </c>
      <c r="F379" s="9">
        <v>0.875</v>
      </c>
      <c r="G379" s="6">
        <v>8</v>
      </c>
      <c r="H379" s="6">
        <v>8</v>
      </c>
      <c r="I379" s="37"/>
      <c r="J379" s="41" t="s">
        <v>9</v>
      </c>
      <c r="K379" s="41" t="s">
        <v>56</v>
      </c>
      <c r="L379" s="58" t="str">
        <f t="shared" si="10"/>
        <v/>
      </c>
      <c r="M379" s="8" t="str">
        <f t="shared" si="11"/>
        <v>Apr_2017</v>
      </c>
    </row>
    <row r="380" spans="1:13" ht="15.75" x14ac:dyDescent="0.25">
      <c r="A380" s="8" t="s">
        <v>0</v>
      </c>
      <c r="B380" s="8" t="s">
        <v>10</v>
      </c>
      <c r="C380" s="18">
        <v>42852</v>
      </c>
      <c r="D380" s="3" t="s">
        <v>18</v>
      </c>
      <c r="E380" s="9">
        <v>0.70833333333333304</v>
      </c>
      <c r="F380" s="9">
        <v>0.88541666666666696</v>
      </c>
      <c r="G380" s="6">
        <v>4.2500000000000107</v>
      </c>
      <c r="H380" s="6">
        <v>4.2500000000000107</v>
      </c>
      <c r="I380" s="37"/>
      <c r="J380" s="41" t="s">
        <v>9</v>
      </c>
      <c r="K380" s="41" t="s">
        <v>57</v>
      </c>
      <c r="L380" s="58">
        <f t="shared" si="10"/>
        <v>1</v>
      </c>
      <c r="M380" s="8" t="str">
        <f t="shared" si="11"/>
        <v>Apr_2017</v>
      </c>
    </row>
    <row r="381" spans="1:13" ht="15.75" x14ac:dyDescent="0.25">
      <c r="A381" s="8" t="s">
        <v>0</v>
      </c>
      <c r="B381" s="8" t="s">
        <v>12</v>
      </c>
      <c r="C381" s="18">
        <v>42852</v>
      </c>
      <c r="D381" s="3" t="s">
        <v>18</v>
      </c>
      <c r="E381" s="9">
        <v>0.70833333333333304</v>
      </c>
      <c r="F381" s="9">
        <v>0.88541666666666696</v>
      </c>
      <c r="G381" s="6">
        <v>4.2500000000000107</v>
      </c>
      <c r="H381" s="6">
        <v>4.2500000000000107</v>
      </c>
      <c r="I381" s="37"/>
      <c r="J381" s="41" t="s">
        <v>9</v>
      </c>
      <c r="K381" s="41" t="s">
        <v>57</v>
      </c>
      <c r="L381" s="58">
        <f t="shared" si="10"/>
        <v>1</v>
      </c>
      <c r="M381" s="8" t="str">
        <f t="shared" si="11"/>
        <v>Apr_2017</v>
      </c>
    </row>
    <row r="382" spans="1:13" ht="15.75" x14ac:dyDescent="0.25">
      <c r="A382" s="8" t="s">
        <v>0</v>
      </c>
      <c r="B382" s="8" t="s">
        <v>14</v>
      </c>
      <c r="C382" s="18">
        <v>42852</v>
      </c>
      <c r="D382" s="3" t="s">
        <v>18</v>
      </c>
      <c r="E382" s="9">
        <v>0.72916666666666696</v>
      </c>
      <c r="F382" s="9">
        <v>0.85416666666666696</v>
      </c>
      <c r="G382" s="6">
        <v>2.9999999999999947</v>
      </c>
      <c r="H382" s="6">
        <v>2.9999999999999947</v>
      </c>
      <c r="I382" s="37"/>
      <c r="J382" s="41" t="s">
        <v>9</v>
      </c>
      <c r="K382" s="41" t="s">
        <v>57</v>
      </c>
      <c r="L382" s="58">
        <f t="shared" si="10"/>
        <v>1</v>
      </c>
      <c r="M382" s="8" t="str">
        <f t="shared" si="11"/>
        <v>Apr_2017</v>
      </c>
    </row>
    <row r="383" spans="1:13" ht="15.75" x14ac:dyDescent="0.25">
      <c r="A383" s="8" t="s">
        <v>117</v>
      </c>
      <c r="B383" s="8" t="s">
        <v>118</v>
      </c>
      <c r="C383" s="18">
        <v>42852</v>
      </c>
      <c r="D383" s="3" t="s">
        <v>18</v>
      </c>
      <c r="E383" s="9">
        <v>0.35416666666666702</v>
      </c>
      <c r="F383" s="9">
        <v>0.88541666666666696</v>
      </c>
      <c r="G383" s="6">
        <v>11.75</v>
      </c>
      <c r="H383" s="6">
        <v>11.75</v>
      </c>
      <c r="I383" s="37"/>
      <c r="J383" s="41" t="s">
        <v>9</v>
      </c>
      <c r="K383" s="41" t="s">
        <v>57</v>
      </c>
      <c r="L383" s="58" t="str">
        <f t="shared" si="10"/>
        <v/>
      </c>
      <c r="M383" s="8" t="str">
        <f t="shared" si="11"/>
        <v>Apr_2017</v>
      </c>
    </row>
    <row r="384" spans="1:13" ht="15.75" x14ac:dyDescent="0.25">
      <c r="A384" s="8" t="s">
        <v>0</v>
      </c>
      <c r="B384" s="8" t="s">
        <v>34</v>
      </c>
      <c r="C384" s="18">
        <v>42852</v>
      </c>
      <c r="D384" s="3" t="s">
        <v>18</v>
      </c>
      <c r="E384" s="9">
        <v>0.70833333333333304</v>
      </c>
      <c r="F384" s="9">
        <v>0.85416666666666696</v>
      </c>
      <c r="G384" s="6">
        <v>3.5000000000000107</v>
      </c>
      <c r="H384" s="6">
        <v>3.5000000000000107</v>
      </c>
      <c r="I384" s="37"/>
      <c r="J384" s="41" t="s">
        <v>9</v>
      </c>
      <c r="K384" s="41" t="s">
        <v>57</v>
      </c>
      <c r="L384" s="58">
        <f t="shared" si="10"/>
        <v>1</v>
      </c>
      <c r="M384" s="8" t="str">
        <f t="shared" si="11"/>
        <v>Apr_2017</v>
      </c>
    </row>
    <row r="385" spans="1:13" ht="15.75" x14ac:dyDescent="0.25">
      <c r="A385" s="8" t="s">
        <v>117</v>
      </c>
      <c r="B385" s="8" t="s">
        <v>171</v>
      </c>
      <c r="C385" s="18">
        <v>42852</v>
      </c>
      <c r="D385" s="3" t="s">
        <v>18</v>
      </c>
      <c r="E385" s="9">
        <v>0.33333333333333298</v>
      </c>
      <c r="F385" s="9">
        <v>0.88541666666666696</v>
      </c>
      <c r="G385" s="6">
        <v>12.250000000000014</v>
      </c>
      <c r="H385" s="6">
        <v>12.250000000000014</v>
      </c>
      <c r="I385" s="37"/>
      <c r="J385" s="41" t="s">
        <v>9</v>
      </c>
      <c r="K385" s="41" t="s">
        <v>57</v>
      </c>
      <c r="L385" s="58" t="str">
        <f t="shared" si="10"/>
        <v/>
      </c>
      <c r="M385" s="8" t="str">
        <f t="shared" si="11"/>
        <v>Apr_2017</v>
      </c>
    </row>
    <row r="386" spans="1:13" ht="15.75" x14ac:dyDescent="0.25">
      <c r="A386" s="13" t="s">
        <v>117</v>
      </c>
      <c r="B386" s="13" t="s">
        <v>175</v>
      </c>
      <c r="C386" s="18">
        <v>42852</v>
      </c>
      <c r="D386" s="11" t="s">
        <v>18</v>
      </c>
      <c r="E386" s="9">
        <v>0.52083333333333304</v>
      </c>
      <c r="F386" s="9">
        <v>0.88541666666666696</v>
      </c>
      <c r="G386" s="12">
        <v>7.7500000000000142</v>
      </c>
      <c r="H386" s="47">
        <v>7.7500000000000142</v>
      </c>
      <c r="I386" s="37"/>
      <c r="J386" s="48" t="s">
        <v>9</v>
      </c>
      <c r="K386" s="48" t="s">
        <v>57</v>
      </c>
      <c r="L386" s="58" t="str">
        <f t="shared" si="10"/>
        <v/>
      </c>
      <c r="M386" s="8" t="str">
        <f t="shared" si="11"/>
        <v>Apr_2017</v>
      </c>
    </row>
    <row r="387" spans="1:13" ht="15.75" x14ac:dyDescent="0.25">
      <c r="A387" s="8" t="s">
        <v>117</v>
      </c>
      <c r="B387" s="8" t="s">
        <v>177</v>
      </c>
      <c r="C387" s="18">
        <v>42852</v>
      </c>
      <c r="D387" s="3" t="s">
        <v>18</v>
      </c>
      <c r="E387" s="9">
        <v>0.52083333333333304</v>
      </c>
      <c r="F387" s="9">
        <v>0.88541666666666696</v>
      </c>
      <c r="G387" s="6">
        <v>7.7500000000000142</v>
      </c>
      <c r="H387" s="6">
        <v>7.7500000000000142</v>
      </c>
      <c r="I387" s="37"/>
      <c r="J387" s="41" t="s">
        <v>9</v>
      </c>
      <c r="K387" s="41" t="s">
        <v>57</v>
      </c>
      <c r="L387" s="58" t="str">
        <f t="shared" ref="L387:L450" si="12">IF(AND($A387="Perm Staff Onsite",$H387&gt;=2),1,"")</f>
        <v/>
      </c>
      <c r="M387" s="8" t="str">
        <f t="shared" ref="M387:M450" si="13">IF($C387="","",TEXT(DATE(YEAR($C387),MONTH($C387),DAY($C387)),"MMM")&amp;"_"&amp;YEAR($C387))</f>
        <v>Apr_2017</v>
      </c>
    </row>
    <row r="388" spans="1:13" ht="15.75" x14ac:dyDescent="0.25">
      <c r="A388" s="8" t="s">
        <v>0</v>
      </c>
      <c r="B388" s="8" t="s">
        <v>10</v>
      </c>
      <c r="C388" s="18">
        <v>42853</v>
      </c>
      <c r="D388" s="3" t="s">
        <v>17</v>
      </c>
      <c r="E388" s="9">
        <v>0.70833333333333304</v>
      </c>
      <c r="F388" s="9">
        <v>0.875</v>
      </c>
      <c r="G388" s="6">
        <v>4.0000000000000036</v>
      </c>
      <c r="H388" s="6">
        <v>4.0000000000000036</v>
      </c>
      <c r="I388" s="37"/>
      <c r="J388" s="41" t="s">
        <v>9</v>
      </c>
      <c r="K388" s="41" t="s">
        <v>58</v>
      </c>
      <c r="L388" s="58">
        <f t="shared" si="12"/>
        <v>1</v>
      </c>
      <c r="M388" s="8" t="str">
        <f t="shared" si="13"/>
        <v>Apr_2017</v>
      </c>
    </row>
    <row r="389" spans="1:13" ht="15.75" x14ac:dyDescent="0.25">
      <c r="A389" s="8" t="s">
        <v>0</v>
      </c>
      <c r="B389" s="8" t="s">
        <v>12</v>
      </c>
      <c r="C389" s="18">
        <v>42853</v>
      </c>
      <c r="D389" s="3" t="s">
        <v>17</v>
      </c>
      <c r="E389" s="9">
        <v>0.79166666666666696</v>
      </c>
      <c r="F389" s="9">
        <v>0.875</v>
      </c>
      <c r="G389" s="6">
        <v>1.9999999999999876</v>
      </c>
      <c r="H389" s="6">
        <v>1.9999999999999876</v>
      </c>
      <c r="I389" s="37"/>
      <c r="J389" s="41" t="s">
        <v>9</v>
      </c>
      <c r="K389" s="41" t="s">
        <v>58</v>
      </c>
      <c r="L389" s="58" t="str">
        <f t="shared" si="12"/>
        <v/>
      </c>
      <c r="M389" s="8" t="str">
        <f t="shared" si="13"/>
        <v>Apr_2017</v>
      </c>
    </row>
    <row r="390" spans="1:13" ht="15.75" x14ac:dyDescent="0.25">
      <c r="A390" s="8" t="s">
        <v>0</v>
      </c>
      <c r="B390" s="8" t="s">
        <v>13</v>
      </c>
      <c r="C390" s="18">
        <v>42853</v>
      </c>
      <c r="D390" s="3" t="s">
        <v>17</v>
      </c>
      <c r="E390" s="9">
        <v>0.70833333333333304</v>
      </c>
      <c r="F390" s="9">
        <v>0.875</v>
      </c>
      <c r="G390" s="6">
        <v>4.0000000000000036</v>
      </c>
      <c r="H390" s="6">
        <v>4.0000000000000036</v>
      </c>
      <c r="I390" s="37"/>
      <c r="J390" s="41" t="s">
        <v>9</v>
      </c>
      <c r="K390" s="41" t="s">
        <v>58</v>
      </c>
      <c r="L390" s="58">
        <f t="shared" si="12"/>
        <v>1</v>
      </c>
      <c r="M390" s="8" t="str">
        <f t="shared" si="13"/>
        <v>Apr_2017</v>
      </c>
    </row>
    <row r="391" spans="1:13" ht="15.75" x14ac:dyDescent="0.25">
      <c r="A391" s="8" t="s">
        <v>0</v>
      </c>
      <c r="B391" s="8" t="s">
        <v>14</v>
      </c>
      <c r="C391" s="18">
        <v>42853</v>
      </c>
      <c r="D391" s="3" t="s">
        <v>17</v>
      </c>
      <c r="E391" s="9">
        <v>0.70833333333333304</v>
      </c>
      <c r="F391" s="9">
        <v>0.875</v>
      </c>
      <c r="G391" s="6">
        <v>4.0000000000000036</v>
      </c>
      <c r="H391" s="6">
        <v>4.0000000000000036</v>
      </c>
      <c r="I391" s="37"/>
      <c r="J391" s="41" t="s">
        <v>9</v>
      </c>
      <c r="K391" s="41" t="s">
        <v>58</v>
      </c>
      <c r="L391" s="58">
        <f t="shared" si="12"/>
        <v>1</v>
      </c>
      <c r="M391" s="8" t="str">
        <f t="shared" si="13"/>
        <v>Apr_2017</v>
      </c>
    </row>
    <row r="392" spans="1:13" ht="15.75" x14ac:dyDescent="0.25">
      <c r="A392" s="2" t="s">
        <v>117</v>
      </c>
      <c r="B392" s="8" t="s">
        <v>118</v>
      </c>
      <c r="C392" s="18">
        <v>42853</v>
      </c>
      <c r="D392" s="3" t="s">
        <v>17</v>
      </c>
      <c r="E392" s="9">
        <v>0.33333333333333298</v>
      </c>
      <c r="F392" s="9">
        <v>0.875</v>
      </c>
      <c r="G392" s="6">
        <v>12.000000000000007</v>
      </c>
      <c r="H392" s="6">
        <v>12.000000000000007</v>
      </c>
      <c r="I392" s="37"/>
      <c r="J392" s="41" t="s">
        <v>9</v>
      </c>
      <c r="K392" s="41" t="s">
        <v>58</v>
      </c>
      <c r="L392" s="58" t="str">
        <f t="shared" si="12"/>
        <v/>
      </c>
      <c r="M392" s="8" t="str">
        <f t="shared" si="13"/>
        <v>Apr_2017</v>
      </c>
    </row>
    <row r="393" spans="1:13" ht="15.75" x14ac:dyDescent="0.25">
      <c r="A393" s="2" t="s">
        <v>0</v>
      </c>
      <c r="B393" s="8" t="s">
        <v>34</v>
      </c>
      <c r="C393" s="18">
        <v>42853</v>
      </c>
      <c r="D393" s="3" t="s">
        <v>17</v>
      </c>
      <c r="E393" s="9">
        <v>0.70833333333333304</v>
      </c>
      <c r="F393" s="9">
        <v>0.85416666666666696</v>
      </c>
      <c r="G393" s="6">
        <v>3.5000000000000107</v>
      </c>
      <c r="H393" s="6">
        <v>3.5000000000000107</v>
      </c>
      <c r="I393" s="37"/>
      <c r="J393" s="41" t="s">
        <v>9</v>
      </c>
      <c r="K393" s="41" t="s">
        <v>58</v>
      </c>
      <c r="L393" s="58">
        <f t="shared" si="12"/>
        <v>1</v>
      </c>
      <c r="M393" s="8" t="str">
        <f t="shared" si="13"/>
        <v>Apr_2017</v>
      </c>
    </row>
    <row r="394" spans="1:13" ht="15.75" x14ac:dyDescent="0.25">
      <c r="A394" s="2" t="s">
        <v>117</v>
      </c>
      <c r="B394" s="8" t="s">
        <v>171</v>
      </c>
      <c r="C394" s="18">
        <v>42853</v>
      </c>
      <c r="D394" s="3" t="s">
        <v>17</v>
      </c>
      <c r="E394" s="9">
        <v>0.33333333333333298</v>
      </c>
      <c r="F394" s="9">
        <v>0.6875</v>
      </c>
      <c r="G394" s="6">
        <v>7.5000000000000089</v>
      </c>
      <c r="H394" s="6">
        <v>7.5000000000000089</v>
      </c>
      <c r="I394" s="37"/>
      <c r="J394" s="41" t="s">
        <v>9</v>
      </c>
      <c r="K394" s="41" t="s">
        <v>58</v>
      </c>
      <c r="L394" s="58" t="str">
        <f t="shared" si="12"/>
        <v/>
      </c>
      <c r="M394" s="8" t="str">
        <f t="shared" si="13"/>
        <v>Apr_2017</v>
      </c>
    </row>
    <row r="395" spans="1:13" ht="15.75" x14ac:dyDescent="0.25">
      <c r="A395" s="2" t="s">
        <v>117</v>
      </c>
      <c r="B395" s="8" t="s">
        <v>175</v>
      </c>
      <c r="C395" s="18">
        <v>42853</v>
      </c>
      <c r="D395" s="3" t="s">
        <v>17</v>
      </c>
      <c r="E395" s="9">
        <v>0.5</v>
      </c>
      <c r="F395" s="9">
        <v>0.875</v>
      </c>
      <c r="G395" s="6">
        <v>8</v>
      </c>
      <c r="H395" s="6">
        <v>8</v>
      </c>
      <c r="I395" s="37"/>
      <c r="J395" s="41" t="s">
        <v>9</v>
      </c>
      <c r="K395" s="41" t="s">
        <v>58</v>
      </c>
      <c r="L395" s="58" t="str">
        <f t="shared" si="12"/>
        <v/>
      </c>
      <c r="M395" s="8" t="str">
        <f t="shared" si="13"/>
        <v>Apr_2017</v>
      </c>
    </row>
    <row r="396" spans="1:13" ht="15.75" x14ac:dyDescent="0.25">
      <c r="A396" s="2" t="s">
        <v>0</v>
      </c>
      <c r="B396" s="8" t="s">
        <v>12</v>
      </c>
      <c r="C396" s="18">
        <v>42854</v>
      </c>
      <c r="D396" s="3" t="s">
        <v>24</v>
      </c>
      <c r="E396" s="9">
        <v>0.72916666666666696</v>
      </c>
      <c r="F396" s="9">
        <v>0.89583333333333304</v>
      </c>
      <c r="G396" s="6">
        <v>3.9999999999999822</v>
      </c>
      <c r="H396" s="6">
        <v>11.999999999999986</v>
      </c>
      <c r="I396" s="37"/>
      <c r="J396" s="41" t="s">
        <v>46</v>
      </c>
      <c r="K396" s="41" t="s">
        <v>59</v>
      </c>
      <c r="L396" s="58">
        <f t="shared" si="12"/>
        <v>1</v>
      </c>
      <c r="M396" s="8" t="str">
        <f t="shared" si="13"/>
        <v>Apr_2017</v>
      </c>
    </row>
    <row r="397" spans="1:13" ht="15.75" x14ac:dyDescent="0.25">
      <c r="A397" s="2" t="s">
        <v>0</v>
      </c>
      <c r="B397" s="8" t="s">
        <v>13</v>
      </c>
      <c r="C397" s="18">
        <v>42854</v>
      </c>
      <c r="D397" s="3" t="s">
        <v>24</v>
      </c>
      <c r="E397" s="9">
        <v>0.72916666666666696</v>
      </c>
      <c r="F397" s="9">
        <v>0.75</v>
      </c>
      <c r="G397" s="6">
        <v>0.49999999999998757</v>
      </c>
      <c r="H397" s="6">
        <v>8.4999999999999911</v>
      </c>
      <c r="I397" s="37"/>
      <c r="J397" s="41" t="s">
        <v>46</v>
      </c>
      <c r="K397" s="41" t="s">
        <v>59</v>
      </c>
      <c r="L397" s="58">
        <f t="shared" si="12"/>
        <v>1</v>
      </c>
      <c r="M397" s="8" t="str">
        <f t="shared" si="13"/>
        <v>Apr_2017</v>
      </c>
    </row>
    <row r="398" spans="1:13" ht="15.75" x14ac:dyDescent="0.25">
      <c r="A398" s="2" t="s">
        <v>117</v>
      </c>
      <c r="B398" s="8" t="s">
        <v>118</v>
      </c>
      <c r="C398" s="18">
        <v>42854</v>
      </c>
      <c r="D398" s="3" t="s">
        <v>24</v>
      </c>
      <c r="E398" s="9">
        <v>0.35416666666666702</v>
      </c>
      <c r="F398" s="9">
        <v>0.89583333333333304</v>
      </c>
      <c r="G398" s="6">
        <v>11.999999999999986</v>
      </c>
      <c r="H398" s="6">
        <v>11.999999999999986</v>
      </c>
      <c r="I398" s="37"/>
      <c r="J398" s="41" t="s">
        <v>46</v>
      </c>
      <c r="K398" s="41" t="s">
        <v>59</v>
      </c>
      <c r="L398" s="58" t="str">
        <f t="shared" si="12"/>
        <v/>
      </c>
      <c r="M398" s="8" t="str">
        <f t="shared" si="13"/>
        <v>Apr_2017</v>
      </c>
    </row>
    <row r="399" spans="1:13" ht="15.75" x14ac:dyDescent="0.25">
      <c r="A399" s="2" t="s">
        <v>0</v>
      </c>
      <c r="B399" s="8" t="s">
        <v>34</v>
      </c>
      <c r="C399" s="18">
        <v>42854</v>
      </c>
      <c r="D399" s="3" t="s">
        <v>24</v>
      </c>
      <c r="E399" s="9">
        <v>0.72916666666666696</v>
      </c>
      <c r="F399" s="9">
        <v>0.89583333333333304</v>
      </c>
      <c r="G399" s="6">
        <v>3.9999999999999822</v>
      </c>
      <c r="H399" s="6">
        <v>11.999999999999986</v>
      </c>
      <c r="I399" s="37"/>
      <c r="J399" s="41" t="s">
        <v>46</v>
      </c>
      <c r="K399" s="41" t="s">
        <v>59</v>
      </c>
      <c r="L399" s="58">
        <f t="shared" si="12"/>
        <v>1</v>
      </c>
      <c r="M399" s="8" t="str">
        <f t="shared" si="13"/>
        <v>Apr_2017</v>
      </c>
    </row>
    <row r="400" spans="1:13" ht="15.75" x14ac:dyDescent="0.25">
      <c r="A400" s="2" t="s">
        <v>117</v>
      </c>
      <c r="B400" s="8" t="s">
        <v>130</v>
      </c>
      <c r="C400" s="18">
        <v>42854</v>
      </c>
      <c r="D400" s="3" t="s">
        <v>24</v>
      </c>
      <c r="E400" s="9">
        <v>0.52083333333333304</v>
      </c>
      <c r="F400" s="9">
        <v>0.89583333333333304</v>
      </c>
      <c r="G400" s="6">
        <v>8</v>
      </c>
      <c r="H400" s="6">
        <v>8</v>
      </c>
      <c r="I400" s="37"/>
      <c r="J400" s="41" t="s">
        <v>46</v>
      </c>
      <c r="K400" s="41" t="s">
        <v>59</v>
      </c>
      <c r="L400" s="58" t="str">
        <f t="shared" si="12"/>
        <v/>
      </c>
      <c r="M400" s="8" t="str">
        <f t="shared" si="13"/>
        <v>Apr_2017</v>
      </c>
    </row>
    <row r="401" spans="1:13" ht="15.75" x14ac:dyDescent="0.25">
      <c r="A401" s="2" t="s">
        <v>117</v>
      </c>
      <c r="B401" s="8" t="s">
        <v>171</v>
      </c>
      <c r="C401" s="18">
        <v>42854</v>
      </c>
      <c r="D401" s="3" t="s">
        <v>24</v>
      </c>
      <c r="E401" s="9">
        <v>0.52083333333333304</v>
      </c>
      <c r="F401" s="9">
        <v>0.89583333333333304</v>
      </c>
      <c r="G401" s="6">
        <v>8</v>
      </c>
      <c r="H401" s="6">
        <v>8</v>
      </c>
      <c r="I401" s="37"/>
      <c r="J401" s="41" t="s">
        <v>46</v>
      </c>
      <c r="K401" s="41" t="s">
        <v>59</v>
      </c>
      <c r="L401" s="58" t="str">
        <f t="shared" si="12"/>
        <v/>
      </c>
      <c r="M401" s="8" t="str">
        <f t="shared" si="13"/>
        <v>Apr_2017</v>
      </c>
    </row>
    <row r="402" spans="1:13" ht="15.75" x14ac:dyDescent="0.25">
      <c r="A402" s="2" t="s">
        <v>117</v>
      </c>
      <c r="B402" s="8" t="s">
        <v>175</v>
      </c>
      <c r="C402" s="18">
        <v>42854</v>
      </c>
      <c r="D402" s="3" t="s">
        <v>24</v>
      </c>
      <c r="E402" s="9">
        <v>0.52083333333333304</v>
      </c>
      <c r="F402" s="9">
        <v>0.89583333333333304</v>
      </c>
      <c r="G402" s="6">
        <v>8</v>
      </c>
      <c r="H402" s="6">
        <v>8</v>
      </c>
      <c r="I402" s="37"/>
      <c r="J402" s="41" t="s">
        <v>46</v>
      </c>
      <c r="K402" s="41" t="s">
        <v>59</v>
      </c>
      <c r="L402" s="58" t="str">
        <f t="shared" si="12"/>
        <v/>
      </c>
      <c r="M402" s="8" t="str">
        <f t="shared" si="13"/>
        <v>Apr_2017</v>
      </c>
    </row>
    <row r="403" spans="1:13" ht="15.75" x14ac:dyDescent="0.25">
      <c r="A403" s="2" t="s">
        <v>0</v>
      </c>
      <c r="B403" s="8" t="s">
        <v>10</v>
      </c>
      <c r="C403" s="18">
        <v>42855</v>
      </c>
      <c r="D403" s="3" t="s">
        <v>23</v>
      </c>
      <c r="E403" s="9">
        <v>0.33333333333333298</v>
      </c>
      <c r="F403" s="9">
        <v>0.89583333333333304</v>
      </c>
      <c r="G403" s="6">
        <v>12.5</v>
      </c>
      <c r="H403" s="6">
        <v>12.5</v>
      </c>
      <c r="I403" s="37"/>
      <c r="J403" s="41" t="s">
        <v>60</v>
      </c>
      <c r="K403" s="41" t="s">
        <v>61</v>
      </c>
      <c r="L403" s="58">
        <f t="shared" si="12"/>
        <v>1</v>
      </c>
      <c r="M403" s="8" t="str">
        <f t="shared" si="13"/>
        <v>Apr_2017</v>
      </c>
    </row>
    <row r="404" spans="1:13" ht="15.75" x14ac:dyDescent="0.25">
      <c r="A404" s="8" t="s">
        <v>0</v>
      </c>
      <c r="B404" s="8" t="s">
        <v>12</v>
      </c>
      <c r="C404" s="18">
        <v>42855</v>
      </c>
      <c r="D404" s="3" t="s">
        <v>23</v>
      </c>
      <c r="E404" s="9">
        <v>0.33333333333333298</v>
      </c>
      <c r="F404" s="9">
        <v>0.89583333333333304</v>
      </c>
      <c r="G404" s="6">
        <v>12.5</v>
      </c>
      <c r="H404" s="6">
        <v>12.5</v>
      </c>
      <c r="I404" s="37"/>
      <c r="J404" s="41" t="s">
        <v>60</v>
      </c>
      <c r="K404" s="41" t="s">
        <v>61</v>
      </c>
      <c r="L404" s="58">
        <f t="shared" si="12"/>
        <v>1</v>
      </c>
      <c r="M404" s="8" t="str">
        <f t="shared" si="13"/>
        <v>Apr_2017</v>
      </c>
    </row>
    <row r="405" spans="1:13" ht="15.75" x14ac:dyDescent="0.25">
      <c r="A405" s="8" t="s">
        <v>0</v>
      </c>
      <c r="B405" s="8" t="s">
        <v>14</v>
      </c>
      <c r="C405" s="18">
        <v>42855</v>
      </c>
      <c r="D405" s="3" t="s">
        <v>23</v>
      </c>
      <c r="E405" s="9">
        <v>0.33333333333333298</v>
      </c>
      <c r="F405" s="9">
        <v>0.875</v>
      </c>
      <c r="G405" s="6">
        <v>12.000000000000007</v>
      </c>
      <c r="H405" s="6">
        <v>12.000000000000007</v>
      </c>
      <c r="I405" s="37"/>
      <c r="J405" s="41" t="s">
        <v>60</v>
      </c>
      <c r="K405" s="41" t="s">
        <v>61</v>
      </c>
      <c r="L405" s="58">
        <f t="shared" si="12"/>
        <v>1</v>
      </c>
      <c r="M405" s="8" t="str">
        <f t="shared" si="13"/>
        <v>Apr_2017</v>
      </c>
    </row>
    <row r="406" spans="1:13" ht="15.75" x14ac:dyDescent="0.25">
      <c r="A406" s="8" t="s">
        <v>117</v>
      </c>
      <c r="B406" s="8" t="s">
        <v>118</v>
      </c>
      <c r="C406" s="18">
        <v>42855</v>
      </c>
      <c r="D406" s="3" t="s">
        <v>23</v>
      </c>
      <c r="E406" s="9">
        <v>0.33333333333333298</v>
      </c>
      <c r="F406" s="9">
        <v>0.89583333333333304</v>
      </c>
      <c r="G406" s="6">
        <v>12.5</v>
      </c>
      <c r="H406" s="6">
        <v>12.5</v>
      </c>
      <c r="I406" s="37"/>
      <c r="J406" s="41" t="s">
        <v>60</v>
      </c>
      <c r="K406" s="41" t="s">
        <v>61</v>
      </c>
      <c r="L406" s="58" t="str">
        <f t="shared" si="12"/>
        <v/>
      </c>
      <c r="M406" s="8" t="str">
        <f t="shared" si="13"/>
        <v>Apr_2017</v>
      </c>
    </row>
    <row r="407" spans="1:13" ht="15.75" x14ac:dyDescent="0.25">
      <c r="A407" s="8" t="s">
        <v>0</v>
      </c>
      <c r="B407" s="8" t="s">
        <v>34</v>
      </c>
      <c r="C407" s="18">
        <v>42855</v>
      </c>
      <c r="D407" s="3" t="s">
        <v>23</v>
      </c>
      <c r="E407" s="9">
        <v>0.33333333333333298</v>
      </c>
      <c r="F407" s="9">
        <v>0.89583333333333304</v>
      </c>
      <c r="G407" s="6">
        <v>12.5</v>
      </c>
      <c r="H407" s="6">
        <v>12.5</v>
      </c>
      <c r="I407" s="37"/>
      <c r="J407" s="41" t="s">
        <v>60</v>
      </c>
      <c r="K407" s="41" t="s">
        <v>61</v>
      </c>
      <c r="L407" s="58">
        <f t="shared" si="12"/>
        <v>1</v>
      </c>
      <c r="M407" s="8" t="str">
        <f t="shared" si="13"/>
        <v>Apr_2017</v>
      </c>
    </row>
    <row r="408" spans="1:13" ht="15.75" x14ac:dyDescent="0.25">
      <c r="A408" s="8" t="s">
        <v>117</v>
      </c>
      <c r="B408" s="8" t="s">
        <v>128</v>
      </c>
      <c r="C408" s="18">
        <v>42855</v>
      </c>
      <c r="D408" s="3" t="s">
        <v>23</v>
      </c>
      <c r="E408" s="9">
        <v>0.47916666666666702</v>
      </c>
      <c r="F408" s="9">
        <v>0.6875</v>
      </c>
      <c r="G408" s="6">
        <v>4.9999999999999911</v>
      </c>
      <c r="H408" s="6">
        <v>4.9999999999999911</v>
      </c>
      <c r="I408" s="37"/>
      <c r="J408" s="41" t="s">
        <v>60</v>
      </c>
      <c r="K408" s="41" t="s">
        <v>61</v>
      </c>
      <c r="L408" s="58" t="str">
        <f t="shared" si="12"/>
        <v/>
      </c>
      <c r="M408" s="8" t="str">
        <f t="shared" si="13"/>
        <v>Apr_2017</v>
      </c>
    </row>
    <row r="409" spans="1:13" ht="15.75" x14ac:dyDescent="0.25">
      <c r="A409" s="8" t="s">
        <v>117</v>
      </c>
      <c r="B409" s="8" t="s">
        <v>130</v>
      </c>
      <c r="C409" s="18">
        <v>42855</v>
      </c>
      <c r="D409" s="3" t="s">
        <v>23</v>
      </c>
      <c r="E409" s="9">
        <v>0.35416666666666702</v>
      </c>
      <c r="F409" s="9">
        <v>0.89583333333333304</v>
      </c>
      <c r="G409" s="6">
        <v>11.999999999999986</v>
      </c>
      <c r="H409" s="6">
        <v>11.999999999999986</v>
      </c>
      <c r="I409" s="37"/>
      <c r="J409" s="41" t="s">
        <v>60</v>
      </c>
      <c r="K409" s="41" t="s">
        <v>61</v>
      </c>
      <c r="L409" s="58" t="str">
        <f t="shared" si="12"/>
        <v/>
      </c>
      <c r="M409" s="8" t="str">
        <f t="shared" si="13"/>
        <v>Apr_2017</v>
      </c>
    </row>
    <row r="410" spans="1:13" ht="15.75" x14ac:dyDescent="0.25">
      <c r="A410" s="8" t="s">
        <v>117</v>
      </c>
      <c r="B410" s="8" t="s">
        <v>171</v>
      </c>
      <c r="C410" s="18">
        <v>42855</v>
      </c>
      <c r="D410" s="3" t="s">
        <v>23</v>
      </c>
      <c r="E410" s="9">
        <v>0.33333333333333298</v>
      </c>
      <c r="F410" s="9">
        <v>0.89583333333333304</v>
      </c>
      <c r="G410" s="6">
        <v>12.5</v>
      </c>
      <c r="H410" s="6">
        <v>12.5</v>
      </c>
      <c r="I410" s="37"/>
      <c r="J410" s="41" t="s">
        <v>60</v>
      </c>
      <c r="K410" s="41" t="s">
        <v>61</v>
      </c>
      <c r="L410" s="58" t="str">
        <f t="shared" si="12"/>
        <v/>
      </c>
      <c r="M410" s="8" t="str">
        <f t="shared" si="13"/>
        <v>Apr_2017</v>
      </c>
    </row>
    <row r="411" spans="1:13" ht="15.75" x14ac:dyDescent="0.25">
      <c r="A411" s="8" t="s">
        <v>117</v>
      </c>
      <c r="B411" s="8" t="s">
        <v>175</v>
      </c>
      <c r="C411" s="18">
        <v>42855</v>
      </c>
      <c r="D411" s="3" t="s">
        <v>23</v>
      </c>
      <c r="E411" s="9">
        <v>0.35416666666666702</v>
      </c>
      <c r="F411" s="9">
        <v>0.89583333333333304</v>
      </c>
      <c r="G411" s="6">
        <v>11.999999999999986</v>
      </c>
      <c r="H411" s="6">
        <v>11.999999999999986</v>
      </c>
      <c r="I411" s="37"/>
      <c r="J411" s="41" t="s">
        <v>60</v>
      </c>
      <c r="K411" s="41" t="s">
        <v>61</v>
      </c>
      <c r="L411" s="58" t="str">
        <f t="shared" si="12"/>
        <v/>
      </c>
      <c r="M411" s="8" t="str">
        <f t="shared" si="13"/>
        <v>Apr_2017</v>
      </c>
    </row>
    <row r="412" spans="1:13" ht="15.75" x14ac:dyDescent="0.25">
      <c r="A412" s="10" t="s">
        <v>0</v>
      </c>
      <c r="B412" s="13" t="s">
        <v>10</v>
      </c>
      <c r="C412" s="18">
        <v>42856</v>
      </c>
      <c r="D412" s="11" t="s">
        <v>21</v>
      </c>
      <c r="E412" s="9">
        <v>0.33333333333333298</v>
      </c>
      <c r="F412" s="9">
        <v>0.85416666666666696</v>
      </c>
      <c r="G412" s="12">
        <v>11.5</v>
      </c>
      <c r="H412" s="12">
        <v>11.5</v>
      </c>
      <c r="I412" s="37"/>
      <c r="J412" s="48" t="s">
        <v>60</v>
      </c>
      <c r="K412" s="48" t="s">
        <v>62</v>
      </c>
      <c r="L412" s="58">
        <f t="shared" si="12"/>
        <v>1</v>
      </c>
      <c r="M412" s="8" t="str">
        <f t="shared" si="13"/>
        <v>May_2017</v>
      </c>
    </row>
    <row r="413" spans="1:13" ht="15.75" x14ac:dyDescent="0.25">
      <c r="A413" s="10" t="s">
        <v>0</v>
      </c>
      <c r="B413" s="13" t="s">
        <v>13</v>
      </c>
      <c r="C413" s="18">
        <v>42856</v>
      </c>
      <c r="D413" s="11" t="s">
        <v>21</v>
      </c>
      <c r="E413" s="9">
        <v>0.33333333333333298</v>
      </c>
      <c r="F413" s="9">
        <v>0.72916666666666696</v>
      </c>
      <c r="G413" s="12">
        <v>8.5</v>
      </c>
      <c r="H413" s="12">
        <v>8.5</v>
      </c>
      <c r="I413" s="37"/>
      <c r="J413" s="48" t="s">
        <v>60</v>
      </c>
      <c r="K413" s="48" t="s">
        <v>62</v>
      </c>
      <c r="L413" s="58">
        <f t="shared" si="12"/>
        <v>1</v>
      </c>
      <c r="M413" s="8" t="str">
        <f t="shared" si="13"/>
        <v>May_2017</v>
      </c>
    </row>
    <row r="414" spans="1:13" ht="15.75" x14ac:dyDescent="0.25">
      <c r="A414" s="10" t="s">
        <v>0</v>
      </c>
      <c r="B414" s="13" t="s">
        <v>14</v>
      </c>
      <c r="C414" s="18">
        <v>42856</v>
      </c>
      <c r="D414" s="11" t="s">
        <v>21</v>
      </c>
      <c r="E414" s="9">
        <v>0.33333333333333298</v>
      </c>
      <c r="F414" s="9">
        <v>0.85416666666666696</v>
      </c>
      <c r="G414" s="12">
        <v>11.5</v>
      </c>
      <c r="H414" s="12">
        <v>11.5</v>
      </c>
      <c r="I414" s="37"/>
      <c r="J414" s="48" t="s">
        <v>60</v>
      </c>
      <c r="K414" s="48" t="s">
        <v>62</v>
      </c>
      <c r="L414" s="58">
        <f t="shared" si="12"/>
        <v>1</v>
      </c>
      <c r="M414" s="8" t="str">
        <f t="shared" si="13"/>
        <v>May_2017</v>
      </c>
    </row>
    <row r="415" spans="1:13" ht="15.75" x14ac:dyDescent="0.25">
      <c r="A415" s="10" t="s">
        <v>117</v>
      </c>
      <c r="B415" s="13" t="s">
        <v>118</v>
      </c>
      <c r="C415" s="18">
        <v>42856</v>
      </c>
      <c r="D415" s="11" t="s">
        <v>21</v>
      </c>
      <c r="E415" s="9">
        <v>0.33333333333333298</v>
      </c>
      <c r="F415" s="9">
        <v>0.85416666666666696</v>
      </c>
      <c r="G415" s="12">
        <v>11.500000000000014</v>
      </c>
      <c r="H415" s="12">
        <v>11.500000000000014</v>
      </c>
      <c r="I415" s="37"/>
      <c r="J415" s="48" t="s">
        <v>60</v>
      </c>
      <c r="K415" s="48" t="s">
        <v>62</v>
      </c>
      <c r="L415" s="58" t="str">
        <f t="shared" si="12"/>
        <v/>
      </c>
      <c r="M415" s="8" t="str">
        <f t="shared" si="13"/>
        <v>May_2017</v>
      </c>
    </row>
    <row r="416" spans="1:13" ht="15.75" x14ac:dyDescent="0.25">
      <c r="A416" s="10" t="s">
        <v>117</v>
      </c>
      <c r="B416" s="13" t="s">
        <v>128</v>
      </c>
      <c r="C416" s="18">
        <v>42856</v>
      </c>
      <c r="D416" s="11" t="s">
        <v>21</v>
      </c>
      <c r="E416" s="9">
        <v>0.625</v>
      </c>
      <c r="F416" s="9">
        <v>0.85416666666666696</v>
      </c>
      <c r="G416" s="12">
        <v>5.5000000000000071</v>
      </c>
      <c r="H416" s="12">
        <v>5.5000000000000071</v>
      </c>
      <c r="I416" s="37"/>
      <c r="J416" s="48" t="s">
        <v>60</v>
      </c>
      <c r="K416" s="48" t="s">
        <v>62</v>
      </c>
      <c r="L416" s="58" t="str">
        <f t="shared" si="12"/>
        <v/>
      </c>
      <c r="M416" s="8" t="str">
        <f t="shared" si="13"/>
        <v>May_2017</v>
      </c>
    </row>
    <row r="417" spans="1:13" ht="15.75" x14ac:dyDescent="0.25">
      <c r="A417" s="10" t="s">
        <v>117</v>
      </c>
      <c r="B417" s="13" t="s">
        <v>130</v>
      </c>
      <c r="C417" s="18">
        <v>42856</v>
      </c>
      <c r="D417" s="11" t="s">
        <v>21</v>
      </c>
      <c r="E417" s="9">
        <v>0.33333333333333298</v>
      </c>
      <c r="F417" s="9">
        <v>0.85416666666666696</v>
      </c>
      <c r="G417" s="12">
        <v>11.500000000000014</v>
      </c>
      <c r="H417" s="12">
        <v>11.500000000000014</v>
      </c>
      <c r="I417" s="37"/>
      <c r="J417" s="48" t="s">
        <v>60</v>
      </c>
      <c r="K417" s="48" t="s">
        <v>62</v>
      </c>
      <c r="L417" s="58" t="str">
        <f t="shared" si="12"/>
        <v/>
      </c>
      <c r="M417" s="8" t="str">
        <f t="shared" si="13"/>
        <v>May_2017</v>
      </c>
    </row>
    <row r="418" spans="1:13" ht="15.75" x14ac:dyDescent="0.25">
      <c r="A418" s="10" t="s">
        <v>117</v>
      </c>
      <c r="B418" s="13" t="s">
        <v>171</v>
      </c>
      <c r="C418" s="18">
        <v>42856</v>
      </c>
      <c r="D418" s="11" t="s">
        <v>21</v>
      </c>
      <c r="E418" s="9">
        <v>0.33333333333333298</v>
      </c>
      <c r="F418" s="9">
        <v>0.85416666666666696</v>
      </c>
      <c r="G418" s="12">
        <v>11.500000000000014</v>
      </c>
      <c r="H418" s="12">
        <v>11.500000000000014</v>
      </c>
      <c r="I418" s="37"/>
      <c r="J418" s="48" t="s">
        <v>60</v>
      </c>
      <c r="K418" s="48" t="s">
        <v>62</v>
      </c>
      <c r="L418" s="58" t="str">
        <f t="shared" si="12"/>
        <v/>
      </c>
      <c r="M418" s="8" t="str">
        <f t="shared" si="13"/>
        <v>May_2017</v>
      </c>
    </row>
    <row r="419" spans="1:13" ht="15.75" x14ac:dyDescent="0.25">
      <c r="A419" s="10" t="s">
        <v>117</v>
      </c>
      <c r="B419" s="13" t="s">
        <v>175</v>
      </c>
      <c r="C419" s="18">
        <v>42856</v>
      </c>
      <c r="D419" s="11" t="s">
        <v>21</v>
      </c>
      <c r="E419" s="9">
        <v>0.33333333333333298</v>
      </c>
      <c r="F419" s="9">
        <v>0.85416666666666696</v>
      </c>
      <c r="G419" s="12">
        <v>11.500000000000014</v>
      </c>
      <c r="H419" s="12">
        <v>11.500000000000014</v>
      </c>
      <c r="I419" s="37"/>
      <c r="J419" s="48" t="s">
        <v>60</v>
      </c>
      <c r="K419" s="48" t="s">
        <v>62</v>
      </c>
      <c r="L419" s="58" t="str">
        <f t="shared" si="12"/>
        <v/>
      </c>
      <c r="M419" s="8" t="str">
        <f t="shared" si="13"/>
        <v>May_2017</v>
      </c>
    </row>
    <row r="420" spans="1:13" ht="15.75" x14ac:dyDescent="0.25">
      <c r="A420" s="10" t="s">
        <v>117</v>
      </c>
      <c r="B420" s="13" t="s">
        <v>118</v>
      </c>
      <c r="C420" s="18">
        <v>42858</v>
      </c>
      <c r="D420" s="11" t="s">
        <v>19</v>
      </c>
      <c r="E420" s="9">
        <v>0.35416666666666702</v>
      </c>
      <c r="F420" s="9">
        <v>0.72916666666666696</v>
      </c>
      <c r="G420" s="12">
        <v>7.9999999999999982</v>
      </c>
      <c r="H420" s="12">
        <v>7.9999999999999982</v>
      </c>
      <c r="I420" s="37"/>
      <c r="J420" s="48" t="s">
        <v>9</v>
      </c>
      <c r="K420" s="48" t="s">
        <v>189</v>
      </c>
      <c r="L420" s="58" t="str">
        <f t="shared" si="12"/>
        <v/>
      </c>
      <c r="M420" s="8" t="str">
        <f t="shared" si="13"/>
        <v>May_2017</v>
      </c>
    </row>
    <row r="421" spans="1:13" ht="15.75" x14ac:dyDescent="0.25">
      <c r="A421" s="10" t="s">
        <v>117</v>
      </c>
      <c r="B421" s="13" t="s">
        <v>171</v>
      </c>
      <c r="C421" s="18">
        <v>42858</v>
      </c>
      <c r="D421" s="11" t="s">
        <v>19</v>
      </c>
      <c r="E421" s="9">
        <v>0.35416666666666702</v>
      </c>
      <c r="F421" s="9">
        <v>0.72916666666666696</v>
      </c>
      <c r="G421" s="12">
        <v>7.9999999999999982</v>
      </c>
      <c r="H421" s="12">
        <v>7.9999999999999982</v>
      </c>
      <c r="I421" s="37"/>
      <c r="J421" s="48" t="s">
        <v>9</v>
      </c>
      <c r="K421" s="48" t="s">
        <v>189</v>
      </c>
      <c r="L421" s="58" t="str">
        <f t="shared" si="12"/>
        <v/>
      </c>
      <c r="M421" s="8" t="str">
        <f t="shared" si="13"/>
        <v>May_2017</v>
      </c>
    </row>
    <row r="422" spans="1:13" ht="15.75" x14ac:dyDescent="0.25">
      <c r="A422" s="10" t="s">
        <v>117</v>
      </c>
      <c r="B422" s="13" t="s">
        <v>118</v>
      </c>
      <c r="C422" s="18">
        <v>42859</v>
      </c>
      <c r="D422" s="11" t="s">
        <v>18</v>
      </c>
      <c r="E422" s="9">
        <v>0.35416666666666702</v>
      </c>
      <c r="F422" s="9">
        <v>0.72916666666666696</v>
      </c>
      <c r="G422" s="12">
        <v>7.9999999999999982</v>
      </c>
      <c r="H422" s="12">
        <v>7.9999999999999982</v>
      </c>
      <c r="I422" s="37"/>
      <c r="J422" s="48" t="s">
        <v>9</v>
      </c>
      <c r="K422" s="48" t="s">
        <v>190</v>
      </c>
      <c r="L422" s="58" t="str">
        <f t="shared" si="12"/>
        <v/>
      </c>
      <c r="M422" s="8" t="str">
        <f t="shared" si="13"/>
        <v>May_2017</v>
      </c>
    </row>
    <row r="423" spans="1:13" ht="15.75" x14ac:dyDescent="0.25">
      <c r="A423" s="10" t="s">
        <v>117</v>
      </c>
      <c r="B423" s="13" t="s">
        <v>118</v>
      </c>
      <c r="C423" s="18">
        <v>42860</v>
      </c>
      <c r="D423" s="11" t="s">
        <v>17</v>
      </c>
      <c r="E423" s="9">
        <v>0.35416666666666702</v>
      </c>
      <c r="F423" s="9">
        <v>0.72916666666666696</v>
      </c>
      <c r="G423" s="12">
        <v>7.9999999999999982</v>
      </c>
      <c r="H423" s="12">
        <v>7.9999999999999982</v>
      </c>
      <c r="I423" s="37"/>
      <c r="J423" s="48" t="s">
        <v>9</v>
      </c>
      <c r="K423" s="48" t="s">
        <v>191</v>
      </c>
      <c r="L423" s="58" t="str">
        <f t="shared" si="12"/>
        <v/>
      </c>
      <c r="M423" s="8" t="str">
        <f t="shared" si="13"/>
        <v>May_2017</v>
      </c>
    </row>
    <row r="424" spans="1:13" ht="15.75" x14ac:dyDescent="0.25">
      <c r="A424" s="10" t="s">
        <v>117</v>
      </c>
      <c r="B424" s="13" t="s">
        <v>118</v>
      </c>
      <c r="C424" s="18">
        <v>42863</v>
      </c>
      <c r="D424" s="11" t="s">
        <v>21</v>
      </c>
      <c r="E424" s="9">
        <v>0.35416666666666702</v>
      </c>
      <c r="F424" s="9">
        <v>0.72916666666666696</v>
      </c>
      <c r="G424" s="12">
        <v>7.9999999999999982</v>
      </c>
      <c r="H424" s="12">
        <v>7.9999999999999982</v>
      </c>
      <c r="I424" s="37"/>
      <c r="J424" s="48" t="s">
        <v>9</v>
      </c>
      <c r="K424" s="48" t="s">
        <v>192</v>
      </c>
      <c r="L424" s="58" t="str">
        <f t="shared" si="12"/>
        <v/>
      </c>
      <c r="M424" s="8" t="str">
        <f t="shared" si="13"/>
        <v>May_2017</v>
      </c>
    </row>
    <row r="425" spans="1:13" ht="15.75" x14ac:dyDescent="0.25">
      <c r="A425" s="10" t="s">
        <v>117</v>
      </c>
      <c r="B425" s="13" t="s">
        <v>118</v>
      </c>
      <c r="C425" s="18">
        <v>42864</v>
      </c>
      <c r="D425" s="11" t="s">
        <v>16</v>
      </c>
      <c r="E425" s="9">
        <v>0.35416666666666702</v>
      </c>
      <c r="F425" s="9">
        <v>0.72916666666666696</v>
      </c>
      <c r="G425" s="12">
        <v>7.9999999999999982</v>
      </c>
      <c r="H425" s="12">
        <v>7.9999999999999982</v>
      </c>
      <c r="I425" s="37"/>
      <c r="J425" s="48" t="s">
        <v>9</v>
      </c>
      <c r="K425" s="48" t="s">
        <v>193</v>
      </c>
      <c r="L425" s="58" t="str">
        <f t="shared" si="12"/>
        <v/>
      </c>
      <c r="M425" s="8" t="str">
        <f t="shared" si="13"/>
        <v>May_2017</v>
      </c>
    </row>
    <row r="426" spans="1:13" ht="15.75" x14ac:dyDescent="0.25">
      <c r="A426" s="10" t="s">
        <v>117</v>
      </c>
      <c r="B426" s="13" t="s">
        <v>118</v>
      </c>
      <c r="C426" s="18">
        <v>42865</v>
      </c>
      <c r="D426" s="11" t="s">
        <v>19</v>
      </c>
      <c r="E426" s="9">
        <v>0.35416666666666702</v>
      </c>
      <c r="F426" s="9">
        <v>0.72916666666666696</v>
      </c>
      <c r="G426" s="12">
        <v>7.9999999999999982</v>
      </c>
      <c r="H426" s="12">
        <v>7.9999999999999982</v>
      </c>
      <c r="I426" s="37"/>
      <c r="J426" s="48" t="s">
        <v>9</v>
      </c>
      <c r="K426" s="48" t="s">
        <v>194</v>
      </c>
      <c r="L426" s="58" t="str">
        <f t="shared" si="12"/>
        <v/>
      </c>
      <c r="M426" s="8" t="str">
        <f t="shared" si="13"/>
        <v>May_2017</v>
      </c>
    </row>
    <row r="427" spans="1:13" ht="15.75" x14ac:dyDescent="0.25">
      <c r="A427" s="10" t="s">
        <v>117</v>
      </c>
      <c r="B427" s="13" t="s">
        <v>118</v>
      </c>
      <c r="C427" s="18">
        <v>42866</v>
      </c>
      <c r="D427" s="11" t="s">
        <v>18</v>
      </c>
      <c r="E427" s="9">
        <v>0.35416666666666702</v>
      </c>
      <c r="F427" s="9">
        <v>0.72916666666666696</v>
      </c>
      <c r="G427" s="12">
        <v>7.9999999999999982</v>
      </c>
      <c r="H427" s="12">
        <v>7.9999999999999982</v>
      </c>
      <c r="I427" s="37"/>
      <c r="J427" s="48" t="s">
        <v>9</v>
      </c>
      <c r="K427" s="48" t="s">
        <v>195</v>
      </c>
      <c r="L427" s="58" t="str">
        <f t="shared" si="12"/>
        <v/>
      </c>
      <c r="M427" s="8" t="str">
        <f t="shared" si="13"/>
        <v>May_2017</v>
      </c>
    </row>
    <row r="428" spans="1:13" ht="15.75" x14ac:dyDescent="0.25">
      <c r="A428" s="10" t="s">
        <v>117</v>
      </c>
      <c r="B428" s="13" t="s">
        <v>118</v>
      </c>
      <c r="C428" s="18">
        <v>42867</v>
      </c>
      <c r="D428" s="11" t="s">
        <v>17</v>
      </c>
      <c r="E428" s="9">
        <v>0.35416666666666702</v>
      </c>
      <c r="F428" s="9">
        <v>0.72916666666666696</v>
      </c>
      <c r="G428" s="12">
        <v>7.9999999999999982</v>
      </c>
      <c r="H428" s="12">
        <v>7.9999999999999982</v>
      </c>
      <c r="I428" s="37"/>
      <c r="J428" s="48" t="s">
        <v>9</v>
      </c>
      <c r="K428" s="48" t="s">
        <v>196</v>
      </c>
      <c r="L428" s="58" t="str">
        <f t="shared" si="12"/>
        <v/>
      </c>
      <c r="M428" s="8" t="str">
        <f t="shared" si="13"/>
        <v>May_2017</v>
      </c>
    </row>
    <row r="429" spans="1:13" ht="15.75" x14ac:dyDescent="0.25">
      <c r="A429" s="10" t="s">
        <v>117</v>
      </c>
      <c r="B429" s="13" t="s">
        <v>118</v>
      </c>
      <c r="C429" s="18">
        <v>42870</v>
      </c>
      <c r="D429" s="11" t="s">
        <v>21</v>
      </c>
      <c r="E429" s="9">
        <v>0.35416666666666702</v>
      </c>
      <c r="F429" s="9">
        <v>0.72916666666666696</v>
      </c>
      <c r="G429" s="12">
        <v>7.9999999999999982</v>
      </c>
      <c r="H429" s="12">
        <v>7.9999999999999982</v>
      </c>
      <c r="I429" s="37"/>
      <c r="J429" s="48" t="s">
        <v>9</v>
      </c>
      <c r="K429" s="48" t="s">
        <v>197</v>
      </c>
      <c r="L429" s="58" t="str">
        <f t="shared" si="12"/>
        <v/>
      </c>
      <c r="M429" s="8" t="str">
        <f t="shared" si="13"/>
        <v>May_2017</v>
      </c>
    </row>
    <row r="430" spans="1:13" ht="15.75" x14ac:dyDescent="0.25">
      <c r="A430" s="10" t="s">
        <v>117</v>
      </c>
      <c r="B430" s="13" t="s">
        <v>118</v>
      </c>
      <c r="C430" s="18">
        <v>42871</v>
      </c>
      <c r="D430" s="11" t="s">
        <v>16</v>
      </c>
      <c r="E430" s="9">
        <v>0.35416666666666702</v>
      </c>
      <c r="F430" s="9">
        <v>0.72916666666666696</v>
      </c>
      <c r="G430" s="12">
        <v>7.9999999999999982</v>
      </c>
      <c r="H430" s="12">
        <v>7.9999999999999982</v>
      </c>
      <c r="I430" s="37"/>
      <c r="J430" s="48" t="s">
        <v>9</v>
      </c>
      <c r="K430" s="48" t="s">
        <v>198</v>
      </c>
      <c r="L430" s="58" t="str">
        <f t="shared" si="12"/>
        <v/>
      </c>
      <c r="M430" s="8" t="str">
        <f t="shared" si="13"/>
        <v>May_2017</v>
      </c>
    </row>
    <row r="431" spans="1:13" ht="15.75" x14ac:dyDescent="0.25">
      <c r="A431" s="10" t="s">
        <v>0</v>
      </c>
      <c r="B431" s="13" t="s">
        <v>10</v>
      </c>
      <c r="C431" s="18">
        <v>42872</v>
      </c>
      <c r="D431" s="11" t="s">
        <v>19</v>
      </c>
      <c r="E431" s="9">
        <v>0.72916666666666696</v>
      </c>
      <c r="F431" s="9">
        <v>0.89583333333333304</v>
      </c>
      <c r="G431" s="12">
        <v>3.9999999999999822</v>
      </c>
      <c r="H431" s="12">
        <v>3.9999999999999822</v>
      </c>
      <c r="I431" s="37"/>
      <c r="J431" s="48" t="s">
        <v>9</v>
      </c>
      <c r="K431" s="48" t="s">
        <v>63</v>
      </c>
      <c r="L431" s="58">
        <f t="shared" si="12"/>
        <v>1</v>
      </c>
      <c r="M431" s="8" t="str">
        <f t="shared" si="13"/>
        <v>May_2017</v>
      </c>
    </row>
    <row r="432" spans="1:13" ht="15.75" x14ac:dyDescent="0.25">
      <c r="A432" s="10" t="s">
        <v>0</v>
      </c>
      <c r="B432" s="13" t="s">
        <v>12</v>
      </c>
      <c r="C432" s="18">
        <v>42872</v>
      </c>
      <c r="D432" s="11" t="s">
        <v>19</v>
      </c>
      <c r="E432" s="9">
        <v>0.72916666666666696</v>
      </c>
      <c r="F432" s="9">
        <v>0.89583333333333304</v>
      </c>
      <c r="G432" s="12">
        <v>3.9999999999999822</v>
      </c>
      <c r="H432" s="12">
        <v>3.9999999999999822</v>
      </c>
      <c r="I432" s="37"/>
      <c r="J432" s="48" t="s">
        <v>9</v>
      </c>
      <c r="K432" s="48" t="s">
        <v>63</v>
      </c>
      <c r="L432" s="58">
        <f t="shared" si="12"/>
        <v>1</v>
      </c>
      <c r="M432" s="8" t="str">
        <f t="shared" si="13"/>
        <v>May_2017</v>
      </c>
    </row>
    <row r="433" spans="1:13" ht="15.75" x14ac:dyDescent="0.25">
      <c r="A433" s="10" t="s">
        <v>0</v>
      </c>
      <c r="B433" s="13" t="s">
        <v>14</v>
      </c>
      <c r="C433" s="18">
        <v>42872</v>
      </c>
      <c r="D433" s="11" t="s">
        <v>19</v>
      </c>
      <c r="E433" s="9">
        <v>0.72916666666666696</v>
      </c>
      <c r="F433" s="9">
        <v>0.89583333333333304</v>
      </c>
      <c r="G433" s="12">
        <v>3.9999999999999822</v>
      </c>
      <c r="H433" s="12">
        <v>3.9999999999999822</v>
      </c>
      <c r="I433" s="37"/>
      <c r="J433" s="48" t="s">
        <v>9</v>
      </c>
      <c r="K433" s="48" t="s">
        <v>63</v>
      </c>
      <c r="L433" s="58">
        <f t="shared" si="12"/>
        <v>1</v>
      </c>
      <c r="M433" s="8" t="str">
        <f t="shared" si="13"/>
        <v>May_2017</v>
      </c>
    </row>
    <row r="434" spans="1:13" ht="15.75" x14ac:dyDescent="0.25">
      <c r="A434" s="10" t="s">
        <v>117</v>
      </c>
      <c r="B434" s="13" t="s">
        <v>118</v>
      </c>
      <c r="C434" s="18">
        <v>42872</v>
      </c>
      <c r="D434" s="11" t="s">
        <v>19</v>
      </c>
      <c r="E434" s="9">
        <v>0.35416666666666702</v>
      </c>
      <c r="F434" s="9">
        <v>0.89583333333333304</v>
      </c>
      <c r="G434" s="12">
        <v>11.999999999999986</v>
      </c>
      <c r="H434" s="12">
        <v>11.999999999999986</v>
      </c>
      <c r="I434" s="37"/>
      <c r="J434" s="48" t="s">
        <v>9</v>
      </c>
      <c r="K434" s="48" t="s">
        <v>63</v>
      </c>
      <c r="L434" s="58" t="str">
        <f t="shared" si="12"/>
        <v/>
      </c>
      <c r="M434" s="8" t="str">
        <f t="shared" si="13"/>
        <v>May_2017</v>
      </c>
    </row>
    <row r="435" spans="1:13" ht="15.75" x14ac:dyDescent="0.25">
      <c r="A435" s="10" t="s">
        <v>117</v>
      </c>
      <c r="B435" s="13" t="s">
        <v>128</v>
      </c>
      <c r="C435" s="18">
        <v>42872</v>
      </c>
      <c r="D435" s="11" t="s">
        <v>19</v>
      </c>
      <c r="E435" s="9">
        <v>0.70833333333333304</v>
      </c>
      <c r="F435" s="9">
        <v>0.89583333333333304</v>
      </c>
      <c r="G435" s="12">
        <v>4.5</v>
      </c>
      <c r="H435" s="12">
        <v>4.5</v>
      </c>
      <c r="I435" s="37"/>
      <c r="J435" s="48" t="s">
        <v>9</v>
      </c>
      <c r="K435" s="48" t="s">
        <v>63</v>
      </c>
      <c r="L435" s="58" t="str">
        <f t="shared" si="12"/>
        <v/>
      </c>
      <c r="M435" s="8" t="str">
        <f t="shared" si="13"/>
        <v>May_2017</v>
      </c>
    </row>
    <row r="436" spans="1:13" ht="15.75" x14ac:dyDescent="0.25">
      <c r="A436" s="10" t="s">
        <v>117</v>
      </c>
      <c r="B436" s="13" t="s">
        <v>68</v>
      </c>
      <c r="C436" s="18">
        <v>42872</v>
      </c>
      <c r="D436" s="11" t="s">
        <v>19</v>
      </c>
      <c r="E436" s="9">
        <v>0.70833333333333304</v>
      </c>
      <c r="F436" s="9">
        <v>0.89583333333333304</v>
      </c>
      <c r="G436" s="12">
        <v>4.5</v>
      </c>
      <c r="H436" s="12">
        <v>4.5</v>
      </c>
      <c r="I436" s="37"/>
      <c r="J436" s="48" t="s">
        <v>9</v>
      </c>
      <c r="K436" s="48" t="s">
        <v>63</v>
      </c>
      <c r="L436" s="58" t="str">
        <f t="shared" si="12"/>
        <v/>
      </c>
      <c r="M436" s="8" t="str">
        <f t="shared" si="13"/>
        <v>May_2017</v>
      </c>
    </row>
    <row r="437" spans="1:13" ht="15.75" x14ac:dyDescent="0.25">
      <c r="A437" s="10" t="s">
        <v>117</v>
      </c>
      <c r="B437" s="13" t="s">
        <v>118</v>
      </c>
      <c r="C437" s="18">
        <v>42873</v>
      </c>
      <c r="D437" s="11" t="s">
        <v>18</v>
      </c>
      <c r="E437" s="9">
        <v>0.35416666666666702</v>
      </c>
      <c r="F437" s="9">
        <v>0.72916666666666696</v>
      </c>
      <c r="G437" s="12">
        <v>7.9999999999999982</v>
      </c>
      <c r="H437" s="12">
        <v>7.9999999999999982</v>
      </c>
      <c r="I437" s="37"/>
      <c r="J437" s="48" t="s">
        <v>9</v>
      </c>
      <c r="K437" s="48" t="s">
        <v>199</v>
      </c>
      <c r="L437" s="58" t="str">
        <f t="shared" si="12"/>
        <v/>
      </c>
      <c r="M437" s="8" t="str">
        <f t="shared" si="13"/>
        <v>May_2017</v>
      </c>
    </row>
    <row r="438" spans="1:13" ht="15.75" x14ac:dyDescent="0.25">
      <c r="A438" s="10" t="s">
        <v>117</v>
      </c>
      <c r="B438" s="13" t="s">
        <v>118</v>
      </c>
      <c r="C438" s="18">
        <v>42874</v>
      </c>
      <c r="D438" s="11" t="s">
        <v>17</v>
      </c>
      <c r="E438" s="9">
        <v>0.35416666666666702</v>
      </c>
      <c r="F438" s="9">
        <v>0.72916666666666696</v>
      </c>
      <c r="G438" s="12">
        <v>7.9999999999999982</v>
      </c>
      <c r="H438" s="12">
        <v>7.9999999999999982</v>
      </c>
      <c r="I438" s="37"/>
      <c r="J438" s="48" t="s">
        <v>9</v>
      </c>
      <c r="K438" s="48" t="s">
        <v>200</v>
      </c>
      <c r="L438" s="58" t="str">
        <f t="shared" si="12"/>
        <v/>
      </c>
      <c r="M438" s="8" t="str">
        <f t="shared" si="13"/>
        <v>May_2017</v>
      </c>
    </row>
    <row r="439" spans="1:13" ht="15.75" x14ac:dyDescent="0.25">
      <c r="A439" s="10" t="s">
        <v>117</v>
      </c>
      <c r="B439" s="13" t="s">
        <v>118</v>
      </c>
      <c r="C439" s="18">
        <v>42877</v>
      </c>
      <c r="D439" s="11" t="s">
        <v>21</v>
      </c>
      <c r="E439" s="9">
        <v>0.35416666666666702</v>
      </c>
      <c r="F439" s="9">
        <v>0.72916666666666696</v>
      </c>
      <c r="G439" s="12">
        <v>7.9999999999999982</v>
      </c>
      <c r="H439" s="12">
        <v>7.9999999999999982</v>
      </c>
      <c r="I439" s="37"/>
      <c r="J439" s="48" t="s">
        <v>9</v>
      </c>
      <c r="K439" s="48" t="s">
        <v>201</v>
      </c>
      <c r="L439" s="58" t="str">
        <f t="shared" si="12"/>
        <v/>
      </c>
      <c r="M439" s="8" t="str">
        <f t="shared" si="13"/>
        <v>May_2017</v>
      </c>
    </row>
    <row r="440" spans="1:13" ht="15.75" x14ac:dyDescent="0.25">
      <c r="A440" s="10" t="s">
        <v>117</v>
      </c>
      <c r="B440" s="13" t="s">
        <v>118</v>
      </c>
      <c r="C440" s="18">
        <v>42878</v>
      </c>
      <c r="D440" s="11" t="s">
        <v>16</v>
      </c>
      <c r="E440" s="9">
        <v>0.35416666666666702</v>
      </c>
      <c r="F440" s="9">
        <v>0.72916666666666696</v>
      </c>
      <c r="G440" s="12">
        <v>7.9999999999999982</v>
      </c>
      <c r="H440" s="12">
        <v>7.9999999999999982</v>
      </c>
      <c r="I440" s="37"/>
      <c r="J440" s="48" t="s">
        <v>9</v>
      </c>
      <c r="K440" s="48" t="s">
        <v>202</v>
      </c>
      <c r="L440" s="58" t="str">
        <f t="shared" si="12"/>
        <v/>
      </c>
      <c r="M440" s="8" t="str">
        <f t="shared" si="13"/>
        <v>May_2017</v>
      </c>
    </row>
    <row r="441" spans="1:13" ht="15.75" x14ac:dyDescent="0.25">
      <c r="A441" s="10" t="s">
        <v>117</v>
      </c>
      <c r="B441" s="13" t="s">
        <v>118</v>
      </c>
      <c r="C441" s="18">
        <v>42879</v>
      </c>
      <c r="D441" s="11" t="s">
        <v>19</v>
      </c>
      <c r="E441" s="9">
        <v>0.35416666666666702</v>
      </c>
      <c r="F441" s="9">
        <v>0.72916666666666696</v>
      </c>
      <c r="G441" s="12">
        <v>7.9999999999999982</v>
      </c>
      <c r="H441" s="12">
        <v>7.9999999999999982</v>
      </c>
      <c r="I441" s="37"/>
      <c r="J441" s="48" t="s">
        <v>9</v>
      </c>
      <c r="K441" s="48" t="s">
        <v>203</v>
      </c>
      <c r="L441" s="58" t="str">
        <f t="shared" si="12"/>
        <v/>
      </c>
      <c r="M441" s="8" t="str">
        <f t="shared" si="13"/>
        <v>May_2017</v>
      </c>
    </row>
    <row r="442" spans="1:13" ht="15.75" x14ac:dyDescent="0.25">
      <c r="A442" s="10" t="s">
        <v>0</v>
      </c>
      <c r="B442" s="13" t="s">
        <v>10</v>
      </c>
      <c r="C442" s="18">
        <v>42880</v>
      </c>
      <c r="D442" s="11" t="s">
        <v>18</v>
      </c>
      <c r="E442" s="9">
        <v>0.72916666666666696</v>
      </c>
      <c r="F442" s="9">
        <v>0.89583333333333304</v>
      </c>
      <c r="G442" s="12">
        <v>3.9999999999999822</v>
      </c>
      <c r="H442" s="12">
        <v>3.9999999999999822</v>
      </c>
      <c r="I442" s="37"/>
      <c r="J442" s="48" t="s">
        <v>9</v>
      </c>
      <c r="K442" s="48" t="s">
        <v>64</v>
      </c>
      <c r="L442" s="58">
        <f t="shared" si="12"/>
        <v>1</v>
      </c>
      <c r="M442" s="8" t="str">
        <f t="shared" si="13"/>
        <v>May_2017</v>
      </c>
    </row>
    <row r="443" spans="1:13" ht="15.75" x14ac:dyDescent="0.25">
      <c r="A443" s="10" t="s">
        <v>0</v>
      </c>
      <c r="B443" s="13" t="s">
        <v>12</v>
      </c>
      <c r="C443" s="18">
        <v>42880</v>
      </c>
      <c r="D443" s="11" t="s">
        <v>18</v>
      </c>
      <c r="E443" s="9">
        <v>0.72916666666666696</v>
      </c>
      <c r="F443" s="9">
        <v>0.89583333333333304</v>
      </c>
      <c r="G443" s="12">
        <v>3.9999999999999822</v>
      </c>
      <c r="H443" s="12">
        <v>3.9999999999999822</v>
      </c>
      <c r="I443" s="37"/>
      <c r="J443" s="48" t="s">
        <v>9</v>
      </c>
      <c r="K443" s="48" t="s">
        <v>64</v>
      </c>
      <c r="L443" s="58">
        <f t="shared" si="12"/>
        <v>1</v>
      </c>
      <c r="M443" s="8" t="str">
        <f t="shared" si="13"/>
        <v>May_2017</v>
      </c>
    </row>
    <row r="444" spans="1:13" ht="15.75" x14ac:dyDescent="0.25">
      <c r="A444" s="10" t="s">
        <v>0</v>
      </c>
      <c r="B444" s="13" t="s">
        <v>13</v>
      </c>
      <c r="C444" s="18">
        <v>42880</v>
      </c>
      <c r="D444" s="11" t="s">
        <v>18</v>
      </c>
      <c r="E444" s="9">
        <v>0.72916666666666696</v>
      </c>
      <c r="F444" s="9">
        <v>0.89583333333333304</v>
      </c>
      <c r="G444" s="12">
        <v>3.9999999999999822</v>
      </c>
      <c r="H444" s="12">
        <v>3.9999999999999822</v>
      </c>
      <c r="I444" s="37"/>
      <c r="J444" s="48" t="s">
        <v>9</v>
      </c>
      <c r="K444" s="48" t="s">
        <v>64</v>
      </c>
      <c r="L444" s="58">
        <f t="shared" si="12"/>
        <v>1</v>
      </c>
      <c r="M444" s="8" t="str">
        <f t="shared" si="13"/>
        <v>May_2017</v>
      </c>
    </row>
    <row r="445" spans="1:13" ht="15.75" x14ac:dyDescent="0.25">
      <c r="A445" s="10" t="s">
        <v>0</v>
      </c>
      <c r="B445" s="13" t="s">
        <v>14</v>
      </c>
      <c r="C445" s="18">
        <v>42880</v>
      </c>
      <c r="D445" s="11" t="s">
        <v>18</v>
      </c>
      <c r="E445" s="9">
        <v>0.72916666666666696</v>
      </c>
      <c r="F445" s="9">
        <v>0.89583333333333304</v>
      </c>
      <c r="G445" s="12">
        <v>3.9999999999999822</v>
      </c>
      <c r="H445" s="12">
        <v>3.9999999999999822</v>
      </c>
      <c r="I445" s="37"/>
      <c r="J445" s="48" t="s">
        <v>9</v>
      </c>
      <c r="K445" s="48" t="s">
        <v>64</v>
      </c>
      <c r="L445" s="58">
        <f t="shared" si="12"/>
        <v>1</v>
      </c>
      <c r="M445" s="8" t="str">
        <f t="shared" si="13"/>
        <v>May_2017</v>
      </c>
    </row>
    <row r="446" spans="1:13" ht="15.75" x14ac:dyDescent="0.25">
      <c r="A446" s="10" t="s">
        <v>117</v>
      </c>
      <c r="B446" s="13" t="s">
        <v>118</v>
      </c>
      <c r="C446" s="18">
        <v>42880</v>
      </c>
      <c r="D446" s="11" t="s">
        <v>18</v>
      </c>
      <c r="E446" s="9">
        <v>0.35416666666666702</v>
      </c>
      <c r="F446" s="9">
        <v>0.89583333333333304</v>
      </c>
      <c r="G446" s="12">
        <v>11.999999999999986</v>
      </c>
      <c r="H446" s="12">
        <v>11.999999999999986</v>
      </c>
      <c r="I446" s="37"/>
      <c r="J446" s="48" t="s">
        <v>9</v>
      </c>
      <c r="K446" s="48" t="s">
        <v>64</v>
      </c>
      <c r="L446" s="58" t="str">
        <f t="shared" si="12"/>
        <v/>
      </c>
      <c r="M446" s="8" t="str">
        <f t="shared" si="13"/>
        <v>May_2017</v>
      </c>
    </row>
    <row r="447" spans="1:13" ht="15.75" x14ac:dyDescent="0.25">
      <c r="A447" s="10" t="s">
        <v>0</v>
      </c>
      <c r="B447" s="13" t="s">
        <v>34</v>
      </c>
      <c r="C447" s="18">
        <v>42880</v>
      </c>
      <c r="D447" s="11" t="s">
        <v>18</v>
      </c>
      <c r="E447" s="9">
        <v>0.72916666666666696</v>
      </c>
      <c r="F447" s="9">
        <v>0.89583333333333304</v>
      </c>
      <c r="G447" s="12">
        <v>3.9999999999999822</v>
      </c>
      <c r="H447" s="12">
        <v>3.9999999999999822</v>
      </c>
      <c r="I447" s="37"/>
      <c r="J447" s="48" t="s">
        <v>9</v>
      </c>
      <c r="K447" s="48" t="s">
        <v>64</v>
      </c>
      <c r="L447" s="58">
        <f t="shared" si="12"/>
        <v>1</v>
      </c>
      <c r="M447" s="8" t="str">
        <f t="shared" si="13"/>
        <v>May_2017</v>
      </c>
    </row>
    <row r="448" spans="1:13" ht="15.75" x14ac:dyDescent="0.25">
      <c r="A448" s="10" t="s">
        <v>117</v>
      </c>
      <c r="B448" s="13" t="s">
        <v>118</v>
      </c>
      <c r="C448" s="18">
        <v>42881</v>
      </c>
      <c r="D448" s="11" t="s">
        <v>17</v>
      </c>
      <c r="E448" s="9">
        <v>0.35416666666666702</v>
      </c>
      <c r="F448" s="9">
        <v>0.72916666666666696</v>
      </c>
      <c r="G448" s="12">
        <v>7.9999999999999982</v>
      </c>
      <c r="H448" s="12">
        <v>7.9999999999999982</v>
      </c>
      <c r="I448" s="37"/>
      <c r="J448" s="48" t="s">
        <v>9</v>
      </c>
      <c r="K448" s="48" t="s">
        <v>204</v>
      </c>
      <c r="L448" s="58" t="str">
        <f t="shared" si="12"/>
        <v/>
      </c>
      <c r="M448" s="8" t="str">
        <f t="shared" si="13"/>
        <v>May_2017</v>
      </c>
    </row>
    <row r="449" spans="1:13" ht="15.75" x14ac:dyDescent="0.25">
      <c r="A449" s="10" t="s">
        <v>117</v>
      </c>
      <c r="B449" s="13" t="s">
        <v>175</v>
      </c>
      <c r="C449" s="18">
        <v>42881</v>
      </c>
      <c r="D449" s="11" t="s">
        <v>17</v>
      </c>
      <c r="E449" s="9">
        <v>0.35416666666666702</v>
      </c>
      <c r="F449" s="9">
        <v>0.72916666666666696</v>
      </c>
      <c r="G449" s="12">
        <v>7.9999999999999982</v>
      </c>
      <c r="H449" s="12">
        <v>7.9999999999999982</v>
      </c>
      <c r="I449" s="37"/>
      <c r="J449" s="48" t="s">
        <v>9</v>
      </c>
      <c r="K449" s="48" t="s">
        <v>204</v>
      </c>
      <c r="L449" s="58" t="str">
        <f t="shared" si="12"/>
        <v/>
      </c>
      <c r="M449" s="8" t="str">
        <f t="shared" si="13"/>
        <v>May_2017</v>
      </c>
    </row>
    <row r="450" spans="1:13" ht="15.75" x14ac:dyDescent="0.25">
      <c r="A450" s="10" t="s">
        <v>0</v>
      </c>
      <c r="B450" s="13" t="s">
        <v>10</v>
      </c>
      <c r="C450" s="18">
        <v>42884</v>
      </c>
      <c r="D450" s="11" t="s">
        <v>21</v>
      </c>
      <c r="E450" s="9">
        <v>0.72916666666666696</v>
      </c>
      <c r="F450" s="9">
        <v>0.79166666666666696</v>
      </c>
      <c r="G450" s="12">
        <v>1.4999999999999947</v>
      </c>
      <c r="H450" s="12">
        <v>1.4999999999999947</v>
      </c>
      <c r="I450" s="37"/>
      <c r="J450" s="48" t="s">
        <v>9</v>
      </c>
      <c r="K450" s="48" t="s">
        <v>205</v>
      </c>
      <c r="L450" s="58" t="str">
        <f t="shared" si="12"/>
        <v/>
      </c>
      <c r="M450" s="8" t="str">
        <f t="shared" si="13"/>
        <v>May_2017</v>
      </c>
    </row>
    <row r="451" spans="1:13" ht="15.75" x14ac:dyDescent="0.25">
      <c r="A451" s="10" t="s">
        <v>0</v>
      </c>
      <c r="B451" s="13" t="s">
        <v>12</v>
      </c>
      <c r="C451" s="18">
        <v>42884</v>
      </c>
      <c r="D451" s="11" t="s">
        <v>21</v>
      </c>
      <c r="E451" s="9">
        <v>0.72916666666666696</v>
      </c>
      <c r="F451" s="9">
        <v>0.79166666666666696</v>
      </c>
      <c r="G451" s="12">
        <v>1.4999999999999947</v>
      </c>
      <c r="H451" s="12">
        <v>1.4999999999999947</v>
      </c>
      <c r="I451" s="37"/>
      <c r="J451" s="48" t="s">
        <v>9</v>
      </c>
      <c r="K451" s="48" t="s">
        <v>205</v>
      </c>
      <c r="L451" s="58" t="str">
        <f t="shared" ref="L451:L514" si="14">IF(AND($A451="Perm Staff Onsite",$H451&gt;=2),1,"")</f>
        <v/>
      </c>
      <c r="M451" s="8" t="str">
        <f t="shared" ref="M451:M514" si="15">IF($C451="","",TEXT(DATE(YEAR($C451),MONTH($C451),DAY($C451)),"MMM")&amp;"_"&amp;YEAR($C451))</f>
        <v>May_2017</v>
      </c>
    </row>
    <row r="452" spans="1:13" ht="15.75" x14ac:dyDescent="0.25">
      <c r="A452" s="10" t="s">
        <v>0</v>
      </c>
      <c r="B452" s="13" t="s">
        <v>14</v>
      </c>
      <c r="C452" s="18">
        <v>42884</v>
      </c>
      <c r="D452" s="11" t="s">
        <v>21</v>
      </c>
      <c r="E452" s="9">
        <v>0.72916666666666696</v>
      </c>
      <c r="F452" s="9">
        <v>0.79166666666666696</v>
      </c>
      <c r="G452" s="12">
        <v>1.4999999999999947</v>
      </c>
      <c r="H452" s="12">
        <v>1.4999999999999947</v>
      </c>
      <c r="I452" s="37"/>
      <c r="J452" s="48" t="s">
        <v>9</v>
      </c>
      <c r="K452" s="48" t="s">
        <v>205</v>
      </c>
      <c r="L452" s="58" t="str">
        <f t="shared" si="14"/>
        <v/>
      </c>
      <c r="M452" s="8" t="str">
        <f t="shared" si="15"/>
        <v>May_2017</v>
      </c>
    </row>
    <row r="453" spans="1:13" ht="15.75" x14ac:dyDescent="0.25">
      <c r="A453" s="10" t="s">
        <v>117</v>
      </c>
      <c r="B453" s="13" t="s">
        <v>118</v>
      </c>
      <c r="C453" s="18">
        <v>42884</v>
      </c>
      <c r="D453" s="11" t="s">
        <v>21</v>
      </c>
      <c r="E453" s="9">
        <v>0.35416666666666702</v>
      </c>
      <c r="F453" s="9">
        <v>0.79166666666666696</v>
      </c>
      <c r="G453" s="12">
        <v>9.4999999999999982</v>
      </c>
      <c r="H453" s="12">
        <v>9.4999999999999982</v>
      </c>
      <c r="I453" s="37"/>
      <c r="J453" s="48" t="s">
        <v>9</v>
      </c>
      <c r="K453" s="48" t="s">
        <v>205</v>
      </c>
      <c r="L453" s="58" t="str">
        <f t="shared" si="14"/>
        <v/>
      </c>
      <c r="M453" s="8" t="str">
        <f t="shared" si="15"/>
        <v>May_2017</v>
      </c>
    </row>
    <row r="454" spans="1:13" ht="15.75" x14ac:dyDescent="0.25">
      <c r="A454" s="10" t="s">
        <v>0</v>
      </c>
      <c r="B454" s="13" t="s">
        <v>34</v>
      </c>
      <c r="C454" s="18">
        <v>42884</v>
      </c>
      <c r="D454" s="11" t="s">
        <v>21</v>
      </c>
      <c r="E454" s="9">
        <v>0.72916666666666696</v>
      </c>
      <c r="F454" s="9">
        <v>0.79166666666666696</v>
      </c>
      <c r="G454" s="12">
        <v>1.4999999999999947</v>
      </c>
      <c r="H454" s="12">
        <v>1.4999999999999947</v>
      </c>
      <c r="I454" s="37"/>
      <c r="J454" s="48" t="s">
        <v>9</v>
      </c>
      <c r="K454" s="48" t="s">
        <v>205</v>
      </c>
      <c r="L454" s="58" t="str">
        <f t="shared" si="14"/>
        <v/>
      </c>
      <c r="M454" s="8" t="str">
        <f t="shared" si="15"/>
        <v>May_2017</v>
      </c>
    </row>
    <row r="455" spans="1:13" ht="15.75" x14ac:dyDescent="0.25">
      <c r="A455" s="10" t="s">
        <v>117</v>
      </c>
      <c r="B455" s="13" t="s">
        <v>171</v>
      </c>
      <c r="C455" s="18">
        <v>42884</v>
      </c>
      <c r="D455" s="11" t="s">
        <v>21</v>
      </c>
      <c r="E455" s="9">
        <v>0.39583333333333298</v>
      </c>
      <c r="F455" s="9">
        <v>0.79166666666666696</v>
      </c>
      <c r="G455" s="12">
        <v>8.500000000000016</v>
      </c>
      <c r="H455" s="12">
        <v>8.500000000000016</v>
      </c>
      <c r="I455" s="37"/>
      <c r="J455" s="48" t="s">
        <v>9</v>
      </c>
      <c r="K455" s="48" t="s">
        <v>205</v>
      </c>
      <c r="L455" s="58" t="str">
        <f t="shared" si="14"/>
        <v/>
      </c>
      <c r="M455" s="8" t="str">
        <f t="shared" si="15"/>
        <v>May_2017</v>
      </c>
    </row>
    <row r="456" spans="1:13" ht="15.75" x14ac:dyDescent="0.25">
      <c r="A456" s="10" t="s">
        <v>0</v>
      </c>
      <c r="B456" s="13" t="s">
        <v>68</v>
      </c>
      <c r="C456" s="18">
        <v>42884</v>
      </c>
      <c r="D456" s="11" t="s">
        <v>21</v>
      </c>
      <c r="E456" s="9">
        <v>0.72916666666666696</v>
      </c>
      <c r="F456" s="9">
        <v>0.79166666666666696</v>
      </c>
      <c r="G456" s="12">
        <v>1.4999999999999947</v>
      </c>
      <c r="H456" s="12">
        <v>1.4999999999999947</v>
      </c>
      <c r="I456" s="37"/>
      <c r="J456" s="48" t="s">
        <v>9</v>
      </c>
      <c r="K456" s="48" t="s">
        <v>205</v>
      </c>
      <c r="L456" s="58" t="str">
        <f t="shared" si="14"/>
        <v/>
      </c>
      <c r="M456" s="8" t="str">
        <f t="shared" si="15"/>
        <v>May_2017</v>
      </c>
    </row>
    <row r="457" spans="1:13" ht="15.75" x14ac:dyDescent="0.25">
      <c r="A457" s="10" t="s">
        <v>0</v>
      </c>
      <c r="B457" s="13" t="s">
        <v>10</v>
      </c>
      <c r="C457" s="18">
        <v>42885</v>
      </c>
      <c r="D457" s="11" t="s">
        <v>16</v>
      </c>
      <c r="E457" s="9">
        <v>0.72916666666666696</v>
      </c>
      <c r="F457" s="9">
        <v>0.89583333333333304</v>
      </c>
      <c r="G457" s="12">
        <v>3.9999999999999822</v>
      </c>
      <c r="H457" s="12">
        <v>3.9999999999999822</v>
      </c>
      <c r="I457" s="37"/>
      <c r="J457" s="48" t="s">
        <v>9</v>
      </c>
      <c r="K457" s="48" t="s">
        <v>65</v>
      </c>
      <c r="L457" s="58">
        <f t="shared" si="14"/>
        <v>1</v>
      </c>
      <c r="M457" s="8" t="str">
        <f t="shared" si="15"/>
        <v>May_2017</v>
      </c>
    </row>
    <row r="458" spans="1:13" ht="15.75" x14ac:dyDescent="0.25">
      <c r="A458" s="10" t="s">
        <v>0</v>
      </c>
      <c r="B458" s="13" t="s">
        <v>12</v>
      </c>
      <c r="C458" s="18">
        <v>42885</v>
      </c>
      <c r="D458" s="11" t="s">
        <v>16</v>
      </c>
      <c r="E458" s="9">
        <v>0.89583333333333304</v>
      </c>
      <c r="F458" s="9">
        <v>0.89583333333333304</v>
      </c>
      <c r="G458" s="12">
        <v>4</v>
      </c>
      <c r="H458" s="12">
        <v>4</v>
      </c>
      <c r="I458" s="37"/>
      <c r="J458" s="48" t="s">
        <v>9</v>
      </c>
      <c r="K458" s="48" t="s">
        <v>65</v>
      </c>
      <c r="L458" s="58">
        <f t="shared" si="14"/>
        <v>1</v>
      </c>
      <c r="M458" s="8" t="str">
        <f t="shared" si="15"/>
        <v>May_2017</v>
      </c>
    </row>
    <row r="459" spans="1:13" ht="15.75" x14ac:dyDescent="0.25">
      <c r="A459" s="10" t="s">
        <v>0</v>
      </c>
      <c r="B459" s="13" t="s">
        <v>13</v>
      </c>
      <c r="C459" s="18">
        <v>42885</v>
      </c>
      <c r="D459" s="11" t="s">
        <v>16</v>
      </c>
      <c r="E459" s="9">
        <v>0.72916666666666696</v>
      </c>
      <c r="F459" s="9">
        <v>0.85416666666666696</v>
      </c>
      <c r="G459" s="12">
        <v>2.9999999999999947</v>
      </c>
      <c r="H459" s="12">
        <v>2.9999999999999947</v>
      </c>
      <c r="I459" s="37"/>
      <c r="J459" s="48" t="s">
        <v>9</v>
      </c>
      <c r="K459" s="48" t="s">
        <v>65</v>
      </c>
      <c r="L459" s="58">
        <f t="shared" si="14"/>
        <v>1</v>
      </c>
      <c r="M459" s="8" t="str">
        <f t="shared" si="15"/>
        <v>May_2017</v>
      </c>
    </row>
    <row r="460" spans="1:13" ht="15.75" x14ac:dyDescent="0.25">
      <c r="A460" s="10" t="s">
        <v>0</v>
      </c>
      <c r="B460" s="13" t="s">
        <v>14</v>
      </c>
      <c r="C460" s="18">
        <v>42885</v>
      </c>
      <c r="D460" s="11" t="s">
        <v>16</v>
      </c>
      <c r="E460" s="9">
        <v>0.72916666666666696</v>
      </c>
      <c r="F460" s="9">
        <v>0.875</v>
      </c>
      <c r="G460" s="12">
        <v>3.4999999999999893</v>
      </c>
      <c r="H460" s="12">
        <v>3.4999999999999893</v>
      </c>
      <c r="I460" s="37"/>
      <c r="J460" s="48" t="s">
        <v>9</v>
      </c>
      <c r="K460" s="48" t="s">
        <v>65</v>
      </c>
      <c r="L460" s="58">
        <f t="shared" si="14"/>
        <v>1</v>
      </c>
      <c r="M460" s="8" t="str">
        <f t="shared" si="15"/>
        <v>May_2017</v>
      </c>
    </row>
    <row r="461" spans="1:13" ht="15.75" x14ac:dyDescent="0.25">
      <c r="A461" s="10" t="s">
        <v>117</v>
      </c>
      <c r="B461" s="13" t="s">
        <v>118</v>
      </c>
      <c r="C461" s="18">
        <v>42885</v>
      </c>
      <c r="D461" s="11" t="s">
        <v>16</v>
      </c>
      <c r="E461" s="9">
        <v>0.35416666666666702</v>
      </c>
      <c r="F461" s="9">
        <v>0.89583333333333304</v>
      </c>
      <c r="G461" s="12">
        <v>11.999999999999986</v>
      </c>
      <c r="H461" s="12">
        <v>11.999999999999986</v>
      </c>
      <c r="I461" s="37"/>
      <c r="J461" s="48" t="s">
        <v>9</v>
      </c>
      <c r="K461" s="48" t="s">
        <v>65</v>
      </c>
      <c r="L461" s="58" t="str">
        <f t="shared" si="14"/>
        <v/>
      </c>
      <c r="M461" s="8" t="str">
        <f t="shared" si="15"/>
        <v>May_2017</v>
      </c>
    </row>
    <row r="462" spans="1:13" ht="15.75" x14ac:dyDescent="0.25">
      <c r="A462" s="10" t="s">
        <v>117</v>
      </c>
      <c r="B462" s="13" t="s">
        <v>177</v>
      </c>
      <c r="C462" s="18">
        <v>42885</v>
      </c>
      <c r="D462" s="11" t="s">
        <v>16</v>
      </c>
      <c r="E462" s="9">
        <v>0.35416666666666702</v>
      </c>
      <c r="F462" s="9">
        <v>0.89583333333333304</v>
      </c>
      <c r="G462" s="12">
        <v>11.999999999999986</v>
      </c>
      <c r="H462" s="12">
        <v>11.999999999999986</v>
      </c>
      <c r="I462" s="37"/>
      <c r="J462" s="48" t="s">
        <v>9</v>
      </c>
      <c r="K462" s="48" t="s">
        <v>65</v>
      </c>
      <c r="L462" s="58" t="str">
        <f t="shared" si="14"/>
        <v/>
      </c>
      <c r="M462" s="8" t="str">
        <f t="shared" si="15"/>
        <v>May_2017</v>
      </c>
    </row>
    <row r="463" spans="1:13" ht="15.75" x14ac:dyDescent="0.25">
      <c r="A463" s="10" t="s">
        <v>0</v>
      </c>
      <c r="B463" s="13" t="s">
        <v>68</v>
      </c>
      <c r="C463" s="18">
        <v>42885</v>
      </c>
      <c r="D463" s="11" t="s">
        <v>16</v>
      </c>
      <c r="E463" s="9">
        <v>0.72916666666666696</v>
      </c>
      <c r="F463" s="9">
        <v>0.89583333333333304</v>
      </c>
      <c r="G463" s="12">
        <v>3.9999999999999822</v>
      </c>
      <c r="H463" s="12">
        <v>3.9999999999999822</v>
      </c>
      <c r="I463" s="37"/>
      <c r="J463" s="48" t="s">
        <v>9</v>
      </c>
      <c r="K463" s="48" t="s">
        <v>65</v>
      </c>
      <c r="L463" s="58">
        <f t="shared" si="14"/>
        <v>1</v>
      </c>
      <c r="M463" s="8" t="str">
        <f t="shared" si="15"/>
        <v>May_2017</v>
      </c>
    </row>
    <row r="464" spans="1:13" ht="15.75" x14ac:dyDescent="0.25">
      <c r="A464" s="10" t="s">
        <v>0</v>
      </c>
      <c r="B464" s="13" t="s">
        <v>10</v>
      </c>
      <c r="C464" s="18">
        <v>42886</v>
      </c>
      <c r="D464" s="11" t="s">
        <v>19</v>
      </c>
      <c r="E464" s="9">
        <v>0.89583333333333304</v>
      </c>
      <c r="F464" s="9">
        <v>0.89583333333333304</v>
      </c>
      <c r="G464" s="12">
        <v>4</v>
      </c>
      <c r="H464" s="12">
        <v>4</v>
      </c>
      <c r="I464" s="37"/>
      <c r="J464" s="48" t="s">
        <v>9</v>
      </c>
      <c r="K464" s="48" t="s">
        <v>66</v>
      </c>
      <c r="L464" s="58">
        <f t="shared" si="14"/>
        <v>1</v>
      </c>
      <c r="M464" s="8" t="str">
        <f t="shared" si="15"/>
        <v>May_2017</v>
      </c>
    </row>
    <row r="465" spans="1:13" ht="15.75" x14ac:dyDescent="0.25">
      <c r="A465" s="10" t="s">
        <v>0</v>
      </c>
      <c r="B465" s="13" t="s">
        <v>12</v>
      </c>
      <c r="C465" s="18">
        <v>42886</v>
      </c>
      <c r="D465" s="11" t="s">
        <v>19</v>
      </c>
      <c r="E465" s="9">
        <v>0.72916666666666696</v>
      </c>
      <c r="F465" s="9">
        <v>0.875</v>
      </c>
      <c r="G465" s="12">
        <v>3.4999999999999893</v>
      </c>
      <c r="H465" s="12">
        <v>3.4999999999999893</v>
      </c>
      <c r="I465" s="37"/>
      <c r="J465" s="48" t="s">
        <v>9</v>
      </c>
      <c r="K465" s="48" t="s">
        <v>66</v>
      </c>
      <c r="L465" s="58">
        <f t="shared" si="14"/>
        <v>1</v>
      </c>
      <c r="M465" s="8" t="str">
        <f t="shared" si="15"/>
        <v>May_2017</v>
      </c>
    </row>
    <row r="466" spans="1:13" ht="15.75" x14ac:dyDescent="0.25">
      <c r="A466" s="10" t="s">
        <v>0</v>
      </c>
      <c r="B466" s="13" t="s">
        <v>13</v>
      </c>
      <c r="C466" s="18">
        <v>42886</v>
      </c>
      <c r="D466" s="11" t="s">
        <v>19</v>
      </c>
      <c r="E466" s="9">
        <v>0.72916666666666696</v>
      </c>
      <c r="F466" s="9">
        <v>0.83333333333333304</v>
      </c>
      <c r="G466" s="12">
        <v>2.4999999999999805</v>
      </c>
      <c r="H466" s="12">
        <v>2.4999999999999805</v>
      </c>
      <c r="I466" s="37"/>
      <c r="J466" s="48" t="s">
        <v>9</v>
      </c>
      <c r="K466" s="48" t="s">
        <v>66</v>
      </c>
      <c r="L466" s="58">
        <f t="shared" si="14"/>
        <v>1</v>
      </c>
      <c r="M466" s="8" t="str">
        <f t="shared" si="15"/>
        <v>May_2017</v>
      </c>
    </row>
    <row r="467" spans="1:13" ht="15.75" x14ac:dyDescent="0.25">
      <c r="A467" s="10" t="s">
        <v>0</v>
      </c>
      <c r="B467" s="13" t="s">
        <v>14</v>
      </c>
      <c r="C467" s="18">
        <v>42886</v>
      </c>
      <c r="D467" s="11" t="s">
        <v>19</v>
      </c>
      <c r="E467" s="9">
        <v>0.72916666666666696</v>
      </c>
      <c r="F467" s="9">
        <v>0.875</v>
      </c>
      <c r="G467" s="12">
        <v>3.4999999999999893</v>
      </c>
      <c r="H467" s="12">
        <v>3.4999999999999893</v>
      </c>
      <c r="I467" s="37"/>
      <c r="J467" s="48" t="s">
        <v>9</v>
      </c>
      <c r="K467" s="48" t="s">
        <v>66</v>
      </c>
      <c r="L467" s="58">
        <f t="shared" si="14"/>
        <v>1</v>
      </c>
      <c r="M467" s="8" t="str">
        <f t="shared" si="15"/>
        <v>May_2017</v>
      </c>
    </row>
    <row r="468" spans="1:13" ht="15.75" x14ac:dyDescent="0.25">
      <c r="A468" s="13" t="s">
        <v>117</v>
      </c>
      <c r="B468" s="13" t="s">
        <v>118</v>
      </c>
      <c r="C468" s="18">
        <v>42886</v>
      </c>
      <c r="D468" s="11" t="s">
        <v>19</v>
      </c>
      <c r="E468" s="9">
        <v>0.35416666666666702</v>
      </c>
      <c r="F468" s="9">
        <v>0.89583333333333304</v>
      </c>
      <c r="G468" s="12">
        <v>11.999999999999986</v>
      </c>
      <c r="H468" s="12">
        <v>11.999999999999986</v>
      </c>
      <c r="I468" s="37"/>
      <c r="J468" s="48" t="s">
        <v>9</v>
      </c>
      <c r="K468" s="48" t="s">
        <v>66</v>
      </c>
      <c r="L468" s="58" t="str">
        <f t="shared" si="14"/>
        <v/>
      </c>
      <c r="M468" s="8" t="str">
        <f t="shared" si="15"/>
        <v>May_2017</v>
      </c>
    </row>
    <row r="469" spans="1:13" ht="15.75" x14ac:dyDescent="0.25">
      <c r="A469" s="13" t="s">
        <v>117</v>
      </c>
      <c r="B469" s="13" t="s">
        <v>175</v>
      </c>
      <c r="C469" s="18">
        <v>42886</v>
      </c>
      <c r="D469" s="11" t="s">
        <v>19</v>
      </c>
      <c r="E469" s="9">
        <v>0.35416666666666702</v>
      </c>
      <c r="F469" s="9">
        <v>0.89583333333333304</v>
      </c>
      <c r="G469" s="12">
        <v>11.999999999999986</v>
      </c>
      <c r="H469" s="12">
        <v>11.999999999999986</v>
      </c>
      <c r="I469" s="37"/>
      <c r="J469" s="48" t="s">
        <v>9</v>
      </c>
      <c r="K469" s="48" t="s">
        <v>66</v>
      </c>
      <c r="L469" s="58" t="str">
        <f t="shared" si="14"/>
        <v/>
      </c>
      <c r="M469" s="8" t="str">
        <f t="shared" si="15"/>
        <v>May_2017</v>
      </c>
    </row>
    <row r="470" spans="1:13" ht="15.75" x14ac:dyDescent="0.25">
      <c r="A470" s="13" t="s">
        <v>117</v>
      </c>
      <c r="B470" s="13" t="s">
        <v>177</v>
      </c>
      <c r="C470" s="18">
        <v>42886</v>
      </c>
      <c r="D470" s="11" t="s">
        <v>19</v>
      </c>
      <c r="E470" s="9">
        <v>0.39583333333333298</v>
      </c>
      <c r="F470" s="9">
        <v>0.89583333333333304</v>
      </c>
      <c r="G470" s="12">
        <v>11</v>
      </c>
      <c r="H470" s="12">
        <v>11</v>
      </c>
      <c r="I470" s="37"/>
      <c r="J470" s="48" t="s">
        <v>9</v>
      </c>
      <c r="K470" s="48" t="s">
        <v>66</v>
      </c>
      <c r="L470" s="58" t="str">
        <f t="shared" si="14"/>
        <v/>
      </c>
      <c r="M470" s="8" t="str">
        <f t="shared" si="15"/>
        <v>May_2017</v>
      </c>
    </row>
    <row r="471" spans="1:13" ht="15.75" x14ac:dyDescent="0.25">
      <c r="A471" s="13" t="s">
        <v>0</v>
      </c>
      <c r="B471" s="13" t="s">
        <v>68</v>
      </c>
      <c r="C471" s="18">
        <v>42886</v>
      </c>
      <c r="D471" s="11" t="s">
        <v>19</v>
      </c>
      <c r="E471" s="9">
        <v>0.72916666666666696</v>
      </c>
      <c r="F471" s="9">
        <v>0.89583333333333304</v>
      </c>
      <c r="G471" s="12">
        <v>3.9999999999999822</v>
      </c>
      <c r="H471" s="12">
        <v>3.9999999999999822</v>
      </c>
      <c r="I471" s="37"/>
      <c r="J471" s="48" t="s">
        <v>9</v>
      </c>
      <c r="K471" s="48" t="s">
        <v>66</v>
      </c>
      <c r="L471" s="58">
        <f t="shared" si="14"/>
        <v>1</v>
      </c>
      <c r="M471" s="8" t="str">
        <f t="shared" si="15"/>
        <v>May_2017</v>
      </c>
    </row>
    <row r="472" spans="1:13" ht="15.75" x14ac:dyDescent="0.25">
      <c r="A472" s="2" t="s">
        <v>0</v>
      </c>
      <c r="B472" s="8" t="s">
        <v>10</v>
      </c>
      <c r="C472" s="18">
        <v>42887</v>
      </c>
      <c r="D472" s="3" t="s">
        <v>18</v>
      </c>
      <c r="E472" s="9">
        <v>0.70833333333333326</v>
      </c>
      <c r="F472" s="9">
        <v>0.89583333333333337</v>
      </c>
      <c r="G472" s="6">
        <v>8.0000000000000036</v>
      </c>
      <c r="H472" s="6">
        <v>4.4999999999999964</v>
      </c>
      <c r="I472" s="6">
        <v>4.4999999999999964</v>
      </c>
      <c r="J472" s="49" t="s">
        <v>9</v>
      </c>
      <c r="K472" s="50" t="s">
        <v>67</v>
      </c>
      <c r="L472" s="58">
        <f t="shared" si="14"/>
        <v>1</v>
      </c>
      <c r="M472" s="8" t="str">
        <f t="shared" si="15"/>
        <v>Jun_2017</v>
      </c>
    </row>
    <row r="473" spans="1:13" ht="15.75" x14ac:dyDescent="0.25">
      <c r="A473" s="2" t="s">
        <v>0</v>
      </c>
      <c r="B473" s="8" t="s">
        <v>12</v>
      </c>
      <c r="C473" s="18">
        <v>42887</v>
      </c>
      <c r="D473" s="3" t="s">
        <v>18</v>
      </c>
      <c r="E473" s="9">
        <v>0.70833333333333326</v>
      </c>
      <c r="F473" s="9">
        <v>0.89583333333333337</v>
      </c>
      <c r="G473" s="6">
        <v>8.0000000000000036</v>
      </c>
      <c r="H473" s="6">
        <v>4.4999999999999964</v>
      </c>
      <c r="I473" s="6">
        <v>4.4999999999999964</v>
      </c>
      <c r="J473" s="50" t="s">
        <v>9</v>
      </c>
      <c r="K473" s="50" t="s">
        <v>67</v>
      </c>
      <c r="L473" s="58">
        <f t="shared" si="14"/>
        <v>1</v>
      </c>
      <c r="M473" s="8" t="str">
        <f t="shared" si="15"/>
        <v>Jun_2017</v>
      </c>
    </row>
    <row r="474" spans="1:13" ht="15.75" x14ac:dyDescent="0.25">
      <c r="A474" s="2" t="s">
        <v>0</v>
      </c>
      <c r="B474" s="8" t="s">
        <v>13</v>
      </c>
      <c r="C474" s="18">
        <v>42887</v>
      </c>
      <c r="D474" s="3" t="s">
        <v>18</v>
      </c>
      <c r="E474" s="9">
        <v>0.70833333333333326</v>
      </c>
      <c r="F474" s="9">
        <v>0.83333333333333337</v>
      </c>
      <c r="G474" s="6">
        <v>8.0000000000000036</v>
      </c>
      <c r="H474" s="6">
        <v>2.9999999999999964</v>
      </c>
      <c r="I474" s="6">
        <v>2.9999999999999964</v>
      </c>
      <c r="J474" s="50" t="s">
        <v>9</v>
      </c>
      <c r="K474" s="50" t="s">
        <v>67</v>
      </c>
      <c r="L474" s="58">
        <f t="shared" si="14"/>
        <v>1</v>
      </c>
      <c r="M474" s="8" t="str">
        <f t="shared" si="15"/>
        <v>Jun_2017</v>
      </c>
    </row>
    <row r="475" spans="1:13" ht="15.75" x14ac:dyDescent="0.25">
      <c r="A475" s="2" t="s">
        <v>117</v>
      </c>
      <c r="B475" s="8" t="s">
        <v>118</v>
      </c>
      <c r="C475" s="18">
        <v>42887</v>
      </c>
      <c r="D475" s="3" t="s">
        <v>18</v>
      </c>
      <c r="E475" s="9">
        <v>0.33333333333333331</v>
      </c>
      <c r="F475" s="9">
        <v>0.89583333333333337</v>
      </c>
      <c r="G475" s="6">
        <v>0</v>
      </c>
      <c r="H475" s="6">
        <v>12.5</v>
      </c>
      <c r="I475" s="6">
        <v>12.5</v>
      </c>
      <c r="J475" s="49" t="s">
        <v>9</v>
      </c>
      <c r="K475" s="50" t="s">
        <v>67</v>
      </c>
      <c r="L475" s="58" t="str">
        <f t="shared" si="14"/>
        <v/>
      </c>
      <c r="M475" s="8" t="str">
        <f t="shared" si="15"/>
        <v>Jun_2017</v>
      </c>
    </row>
    <row r="476" spans="1:13" ht="15.75" x14ac:dyDescent="0.25">
      <c r="A476" s="2" t="s">
        <v>0</v>
      </c>
      <c r="B476" s="8" t="s">
        <v>34</v>
      </c>
      <c r="C476" s="18">
        <v>42887</v>
      </c>
      <c r="D476" s="3" t="s">
        <v>18</v>
      </c>
      <c r="E476" s="9">
        <v>0.70833333333333326</v>
      </c>
      <c r="F476" s="9">
        <v>0.89583333333333337</v>
      </c>
      <c r="G476" s="6">
        <v>8.0000000000000036</v>
      </c>
      <c r="H476" s="6">
        <v>4.4999999999999964</v>
      </c>
      <c r="I476" s="6">
        <v>4.4999999999999964</v>
      </c>
      <c r="J476" s="50" t="s">
        <v>9</v>
      </c>
      <c r="K476" s="50" t="s">
        <v>67</v>
      </c>
      <c r="L476" s="58">
        <f t="shared" si="14"/>
        <v>1</v>
      </c>
      <c r="M476" s="8" t="str">
        <f t="shared" si="15"/>
        <v>Jun_2017</v>
      </c>
    </row>
    <row r="477" spans="1:13" ht="15.75" x14ac:dyDescent="0.25">
      <c r="A477" s="2" t="s">
        <v>0</v>
      </c>
      <c r="B477" s="8" t="s">
        <v>68</v>
      </c>
      <c r="C477" s="18">
        <v>42887</v>
      </c>
      <c r="D477" s="3" t="s">
        <v>18</v>
      </c>
      <c r="E477" s="9">
        <v>0.70833333333333326</v>
      </c>
      <c r="F477" s="9">
        <v>0.89583333333333337</v>
      </c>
      <c r="G477" s="6">
        <v>8.0000000000000036</v>
      </c>
      <c r="H477" s="6">
        <v>4.4999999999999964</v>
      </c>
      <c r="I477" s="6">
        <v>4.4999999999999964</v>
      </c>
      <c r="J477" s="50" t="s">
        <v>9</v>
      </c>
      <c r="K477" s="50" t="s">
        <v>67</v>
      </c>
      <c r="L477" s="58">
        <f t="shared" si="14"/>
        <v>1</v>
      </c>
      <c r="M477" s="8" t="str">
        <f t="shared" si="15"/>
        <v>Jun_2017</v>
      </c>
    </row>
    <row r="478" spans="1:13" ht="15.75" x14ac:dyDescent="0.25">
      <c r="A478" s="2" t="s">
        <v>0</v>
      </c>
      <c r="B478" s="8" t="s">
        <v>69</v>
      </c>
      <c r="C478" s="18">
        <v>42887</v>
      </c>
      <c r="D478" s="3" t="s">
        <v>18</v>
      </c>
      <c r="E478" s="9">
        <v>0.70833333333333326</v>
      </c>
      <c r="F478" s="9">
        <v>0.89583333333333337</v>
      </c>
      <c r="G478" s="6">
        <v>8.0000000000000036</v>
      </c>
      <c r="H478" s="6">
        <v>4.4999999999999964</v>
      </c>
      <c r="I478" s="6">
        <v>4.4999999999999964</v>
      </c>
      <c r="J478" s="50" t="s">
        <v>9</v>
      </c>
      <c r="K478" s="50" t="s">
        <v>67</v>
      </c>
      <c r="L478" s="58">
        <f t="shared" si="14"/>
        <v>1</v>
      </c>
      <c r="M478" s="8" t="str">
        <f t="shared" si="15"/>
        <v>Jun_2017</v>
      </c>
    </row>
    <row r="479" spans="1:13" ht="15.75" x14ac:dyDescent="0.25">
      <c r="A479" s="2" t="s">
        <v>117</v>
      </c>
      <c r="B479" s="8" t="s">
        <v>175</v>
      </c>
      <c r="C479" s="18">
        <v>42887</v>
      </c>
      <c r="D479" s="3" t="s">
        <v>18</v>
      </c>
      <c r="E479" s="9">
        <v>0.33333333333333331</v>
      </c>
      <c r="F479" s="9">
        <v>0.89583333333333337</v>
      </c>
      <c r="G479" s="6">
        <v>0</v>
      </c>
      <c r="H479" s="6">
        <v>12.5</v>
      </c>
      <c r="I479" s="6">
        <v>12.5</v>
      </c>
      <c r="J479" s="49" t="s">
        <v>9</v>
      </c>
      <c r="K479" s="50" t="s">
        <v>67</v>
      </c>
      <c r="L479" s="58" t="str">
        <f t="shared" si="14"/>
        <v/>
      </c>
      <c r="M479" s="8" t="str">
        <f t="shared" si="15"/>
        <v>Jun_2017</v>
      </c>
    </row>
    <row r="480" spans="1:13" ht="15.75" x14ac:dyDescent="0.25">
      <c r="A480" s="2" t="s">
        <v>0</v>
      </c>
      <c r="B480" s="8" t="s">
        <v>10</v>
      </c>
      <c r="C480" s="18">
        <v>42888</v>
      </c>
      <c r="D480" s="3" t="s">
        <v>17</v>
      </c>
      <c r="E480" s="9">
        <v>0.72916666666666663</v>
      </c>
      <c r="F480" s="9">
        <v>0.89583333333333337</v>
      </c>
      <c r="G480" s="6">
        <v>8.0000000000000036</v>
      </c>
      <c r="H480" s="6">
        <v>3.9999999999999982</v>
      </c>
      <c r="I480" s="6">
        <v>3.9999999999999982</v>
      </c>
      <c r="J480" s="49" t="s">
        <v>9</v>
      </c>
      <c r="K480" s="50" t="s">
        <v>70</v>
      </c>
      <c r="L480" s="58">
        <f t="shared" si="14"/>
        <v>1</v>
      </c>
      <c r="M480" s="8" t="str">
        <f t="shared" si="15"/>
        <v>Jun_2017</v>
      </c>
    </row>
    <row r="481" spans="1:13" ht="15.75" x14ac:dyDescent="0.25">
      <c r="A481" s="2" t="s">
        <v>0</v>
      </c>
      <c r="B481" s="8" t="s">
        <v>12</v>
      </c>
      <c r="C481" s="18">
        <v>42888</v>
      </c>
      <c r="D481" s="3" t="s">
        <v>17</v>
      </c>
      <c r="E481" s="9">
        <v>0.72916666666666663</v>
      </c>
      <c r="F481" s="9">
        <v>0.89583333333333337</v>
      </c>
      <c r="G481" s="6">
        <v>8.0000000000000036</v>
      </c>
      <c r="H481" s="6">
        <v>3.9999999999999982</v>
      </c>
      <c r="I481" s="6">
        <v>3.9999999999999982</v>
      </c>
      <c r="J481" s="49" t="s">
        <v>9</v>
      </c>
      <c r="K481" s="50" t="s">
        <v>70</v>
      </c>
      <c r="L481" s="58">
        <f t="shared" si="14"/>
        <v>1</v>
      </c>
      <c r="M481" s="8" t="str">
        <f t="shared" si="15"/>
        <v>Jun_2017</v>
      </c>
    </row>
    <row r="482" spans="1:13" ht="15.75" x14ac:dyDescent="0.25">
      <c r="A482" s="2" t="s">
        <v>0</v>
      </c>
      <c r="B482" s="8" t="s">
        <v>13</v>
      </c>
      <c r="C482" s="18">
        <v>42888</v>
      </c>
      <c r="D482" s="3" t="s">
        <v>17</v>
      </c>
      <c r="E482" s="9">
        <v>0.72916666666666663</v>
      </c>
      <c r="F482" s="9">
        <v>0.85416666666666674</v>
      </c>
      <c r="G482" s="6">
        <v>8.0000000000000036</v>
      </c>
      <c r="H482" s="6">
        <v>3</v>
      </c>
      <c r="I482" s="6">
        <v>3</v>
      </c>
      <c r="J482" s="50" t="s">
        <v>9</v>
      </c>
      <c r="K482" s="50" t="s">
        <v>70</v>
      </c>
      <c r="L482" s="58">
        <f t="shared" si="14"/>
        <v>1</v>
      </c>
      <c r="M482" s="8" t="str">
        <f t="shared" si="15"/>
        <v>Jun_2017</v>
      </c>
    </row>
    <row r="483" spans="1:13" ht="15.75" x14ac:dyDescent="0.25">
      <c r="A483" s="2" t="s">
        <v>117</v>
      </c>
      <c r="B483" s="8" t="s">
        <v>118</v>
      </c>
      <c r="C483" s="18">
        <v>42888</v>
      </c>
      <c r="D483" s="3" t="s">
        <v>17</v>
      </c>
      <c r="E483" s="9">
        <v>0.35416666666666663</v>
      </c>
      <c r="F483" s="9">
        <v>0.89583333333333337</v>
      </c>
      <c r="G483" s="6">
        <v>0</v>
      </c>
      <c r="H483" s="6">
        <v>12.000000000000002</v>
      </c>
      <c r="I483" s="6">
        <v>12.000000000000002</v>
      </c>
      <c r="J483" s="49" t="s">
        <v>9</v>
      </c>
      <c r="K483" s="50" t="s">
        <v>70</v>
      </c>
      <c r="L483" s="58" t="str">
        <f t="shared" si="14"/>
        <v/>
      </c>
      <c r="M483" s="8" t="str">
        <f t="shared" si="15"/>
        <v>Jun_2017</v>
      </c>
    </row>
    <row r="484" spans="1:13" ht="15.75" x14ac:dyDescent="0.25">
      <c r="A484" s="2" t="s">
        <v>0</v>
      </c>
      <c r="B484" s="8" t="s">
        <v>34</v>
      </c>
      <c r="C484" s="18">
        <v>42888</v>
      </c>
      <c r="D484" s="3" t="s">
        <v>17</v>
      </c>
      <c r="E484" s="9">
        <v>0.72916666666666663</v>
      </c>
      <c r="F484" s="9">
        <v>0.89583333333333337</v>
      </c>
      <c r="G484" s="6">
        <v>8.0000000000000036</v>
      </c>
      <c r="H484" s="6">
        <v>3.9999999999999982</v>
      </c>
      <c r="I484" s="6">
        <v>3.9999999999999982</v>
      </c>
      <c r="J484" s="49" t="s">
        <v>9</v>
      </c>
      <c r="K484" s="50" t="s">
        <v>70</v>
      </c>
      <c r="L484" s="58">
        <f t="shared" si="14"/>
        <v>1</v>
      </c>
      <c r="M484" s="8" t="str">
        <f t="shared" si="15"/>
        <v>Jun_2017</v>
      </c>
    </row>
    <row r="485" spans="1:13" ht="15.75" x14ac:dyDescent="0.25">
      <c r="A485" s="2" t="s">
        <v>0</v>
      </c>
      <c r="B485" s="8" t="s">
        <v>68</v>
      </c>
      <c r="C485" s="18">
        <v>42888</v>
      </c>
      <c r="D485" s="3" t="s">
        <v>17</v>
      </c>
      <c r="E485" s="9">
        <v>0.72916666666666663</v>
      </c>
      <c r="F485" s="9">
        <v>0.89583333333333337</v>
      </c>
      <c r="G485" s="6">
        <v>8.0000000000000036</v>
      </c>
      <c r="H485" s="6">
        <v>3.9999999999999982</v>
      </c>
      <c r="I485" s="6">
        <v>3.9999999999999982</v>
      </c>
      <c r="J485" s="50" t="s">
        <v>9</v>
      </c>
      <c r="K485" s="50" t="s">
        <v>70</v>
      </c>
      <c r="L485" s="58">
        <f t="shared" si="14"/>
        <v>1</v>
      </c>
      <c r="M485" s="8" t="str">
        <f t="shared" si="15"/>
        <v>Jun_2017</v>
      </c>
    </row>
    <row r="486" spans="1:13" ht="15.75" x14ac:dyDescent="0.25">
      <c r="A486" s="2" t="s">
        <v>0</v>
      </c>
      <c r="B486" s="8" t="s">
        <v>69</v>
      </c>
      <c r="C486" s="18">
        <v>42888</v>
      </c>
      <c r="D486" s="3" t="s">
        <v>17</v>
      </c>
      <c r="E486" s="9">
        <v>0.72916666666666663</v>
      </c>
      <c r="F486" s="9">
        <v>0.89583333333333337</v>
      </c>
      <c r="G486" s="6">
        <v>8.0000000000000036</v>
      </c>
      <c r="H486" s="6">
        <v>3.9999999999999982</v>
      </c>
      <c r="I486" s="6">
        <v>3.9999999999999982</v>
      </c>
      <c r="J486" s="50" t="s">
        <v>9</v>
      </c>
      <c r="K486" s="50" t="s">
        <v>70</v>
      </c>
      <c r="L486" s="58">
        <f t="shared" si="14"/>
        <v>1</v>
      </c>
      <c r="M486" s="8" t="str">
        <f t="shared" si="15"/>
        <v>Jun_2017</v>
      </c>
    </row>
    <row r="487" spans="1:13" ht="15.75" x14ac:dyDescent="0.25">
      <c r="A487" s="2" t="s">
        <v>117</v>
      </c>
      <c r="B487" s="8" t="s">
        <v>177</v>
      </c>
      <c r="C487" s="18">
        <v>42888</v>
      </c>
      <c r="D487" s="3" t="s">
        <v>17</v>
      </c>
      <c r="E487" s="9">
        <v>0.35416666666666663</v>
      </c>
      <c r="F487" s="9">
        <v>0.89583333333333337</v>
      </c>
      <c r="G487" s="6">
        <v>0</v>
      </c>
      <c r="H487" s="6">
        <v>12.000000000000002</v>
      </c>
      <c r="I487" s="6">
        <v>12.000000000000002</v>
      </c>
      <c r="J487" s="50" t="s">
        <v>9</v>
      </c>
      <c r="K487" s="50" t="s">
        <v>70</v>
      </c>
      <c r="L487" s="58" t="str">
        <f t="shared" si="14"/>
        <v/>
      </c>
      <c r="M487" s="8" t="str">
        <f t="shared" si="15"/>
        <v>Jun_2017</v>
      </c>
    </row>
    <row r="488" spans="1:13" ht="15.75" x14ac:dyDescent="0.25">
      <c r="A488" s="2" t="s">
        <v>0</v>
      </c>
      <c r="B488" s="8" t="s">
        <v>10</v>
      </c>
      <c r="C488" s="18">
        <v>42889</v>
      </c>
      <c r="D488" s="3" t="s">
        <v>24</v>
      </c>
      <c r="E488" s="9">
        <v>0.72916666666666663</v>
      </c>
      <c r="F488" s="9">
        <v>0.8125</v>
      </c>
      <c r="G488" s="6">
        <v>8.0000000000000036</v>
      </c>
      <c r="H488" s="6">
        <v>1.9999999999999964</v>
      </c>
      <c r="I488" s="6">
        <v>10</v>
      </c>
      <c r="J488" s="49" t="s">
        <v>46</v>
      </c>
      <c r="K488" s="50" t="s">
        <v>71</v>
      </c>
      <c r="L488" s="58">
        <f t="shared" si="14"/>
        <v>1</v>
      </c>
      <c r="M488" s="8" t="str">
        <f t="shared" si="15"/>
        <v>Jun_2017</v>
      </c>
    </row>
    <row r="489" spans="1:13" ht="15.75" x14ac:dyDescent="0.25">
      <c r="A489" s="2" t="s">
        <v>0</v>
      </c>
      <c r="B489" s="8" t="s">
        <v>12</v>
      </c>
      <c r="C489" s="18">
        <v>42889</v>
      </c>
      <c r="D489" s="3" t="s">
        <v>24</v>
      </c>
      <c r="E489" s="9">
        <v>0.72916666666666663</v>
      </c>
      <c r="F489" s="9">
        <v>0.8125</v>
      </c>
      <c r="G489" s="6">
        <v>8.0000000000000036</v>
      </c>
      <c r="H489" s="6">
        <v>1.9999999999999964</v>
      </c>
      <c r="I489" s="6">
        <v>10</v>
      </c>
      <c r="J489" s="49" t="s">
        <v>46</v>
      </c>
      <c r="K489" s="50" t="s">
        <v>71</v>
      </c>
      <c r="L489" s="58">
        <f t="shared" si="14"/>
        <v>1</v>
      </c>
      <c r="M489" s="8" t="str">
        <f t="shared" si="15"/>
        <v>Jun_2017</v>
      </c>
    </row>
    <row r="490" spans="1:13" ht="15.75" x14ac:dyDescent="0.25">
      <c r="A490" s="2" t="s">
        <v>117</v>
      </c>
      <c r="B490" s="8" t="s">
        <v>118</v>
      </c>
      <c r="C490" s="18">
        <v>42889</v>
      </c>
      <c r="D490" s="3" t="s">
        <v>24</v>
      </c>
      <c r="E490" s="9">
        <v>0.35416666666666663</v>
      </c>
      <c r="F490" s="9">
        <v>0.8125</v>
      </c>
      <c r="G490" s="6">
        <v>0</v>
      </c>
      <c r="H490" s="6">
        <v>10</v>
      </c>
      <c r="I490" s="6">
        <v>10</v>
      </c>
      <c r="J490" s="49" t="s">
        <v>46</v>
      </c>
      <c r="K490" s="50" t="s">
        <v>71</v>
      </c>
      <c r="L490" s="58" t="str">
        <f t="shared" si="14"/>
        <v/>
      </c>
      <c r="M490" s="8" t="str">
        <f t="shared" si="15"/>
        <v>Jun_2017</v>
      </c>
    </row>
    <row r="491" spans="1:13" ht="15.75" x14ac:dyDescent="0.25">
      <c r="A491" s="2" t="s">
        <v>0</v>
      </c>
      <c r="B491" s="8" t="s">
        <v>34</v>
      </c>
      <c r="C491" s="18">
        <v>42889</v>
      </c>
      <c r="D491" s="3" t="s">
        <v>24</v>
      </c>
      <c r="E491" s="9">
        <v>0.72916666666666663</v>
      </c>
      <c r="F491" s="9">
        <v>0.8125</v>
      </c>
      <c r="G491" s="6">
        <v>8.0000000000000036</v>
      </c>
      <c r="H491" s="6">
        <v>1.9999999999999964</v>
      </c>
      <c r="I491" s="6">
        <v>10</v>
      </c>
      <c r="J491" s="49" t="s">
        <v>46</v>
      </c>
      <c r="K491" s="50" t="s">
        <v>71</v>
      </c>
      <c r="L491" s="58">
        <f t="shared" si="14"/>
        <v>1</v>
      </c>
      <c r="M491" s="8" t="str">
        <f t="shared" si="15"/>
        <v>Jun_2017</v>
      </c>
    </row>
    <row r="492" spans="1:13" ht="15.75" x14ac:dyDescent="0.25">
      <c r="A492" s="2" t="s">
        <v>0</v>
      </c>
      <c r="B492" s="8" t="s">
        <v>68</v>
      </c>
      <c r="C492" s="18">
        <v>42889</v>
      </c>
      <c r="D492" s="3" t="s">
        <v>24</v>
      </c>
      <c r="E492" s="9">
        <v>0.72916666666666663</v>
      </c>
      <c r="F492" s="9">
        <v>0.8125</v>
      </c>
      <c r="G492" s="6">
        <v>8.0000000000000036</v>
      </c>
      <c r="H492" s="6">
        <v>1.9999999999999964</v>
      </c>
      <c r="I492" s="6">
        <v>10</v>
      </c>
      <c r="J492" s="50" t="s">
        <v>46</v>
      </c>
      <c r="K492" s="50" t="s">
        <v>71</v>
      </c>
      <c r="L492" s="58">
        <f t="shared" si="14"/>
        <v>1</v>
      </c>
      <c r="M492" s="8" t="str">
        <f t="shared" si="15"/>
        <v>Jun_2017</v>
      </c>
    </row>
    <row r="493" spans="1:13" ht="15.75" x14ac:dyDescent="0.25">
      <c r="A493" s="2" t="s">
        <v>0</v>
      </c>
      <c r="B493" s="8" t="s">
        <v>69</v>
      </c>
      <c r="C493" s="18">
        <v>42889</v>
      </c>
      <c r="D493" s="3" t="s">
        <v>24</v>
      </c>
      <c r="E493" s="9">
        <v>0.72916666666666663</v>
      </c>
      <c r="F493" s="9">
        <v>0.8125</v>
      </c>
      <c r="G493" s="6">
        <v>8.0000000000000036</v>
      </c>
      <c r="H493" s="6">
        <v>1.9999999999999964</v>
      </c>
      <c r="I493" s="6">
        <v>10</v>
      </c>
      <c r="J493" s="50" t="s">
        <v>46</v>
      </c>
      <c r="K493" s="50" t="s">
        <v>71</v>
      </c>
      <c r="L493" s="58">
        <f t="shared" si="14"/>
        <v>1</v>
      </c>
      <c r="M493" s="8" t="str">
        <f t="shared" si="15"/>
        <v>Jun_2017</v>
      </c>
    </row>
    <row r="494" spans="1:13" ht="15.75" x14ac:dyDescent="0.25">
      <c r="A494" s="2" t="s">
        <v>117</v>
      </c>
      <c r="B494" s="8" t="s">
        <v>175</v>
      </c>
      <c r="C494" s="18">
        <v>42889</v>
      </c>
      <c r="D494" s="3" t="s">
        <v>24</v>
      </c>
      <c r="E494" s="9">
        <v>0.35416666666666663</v>
      </c>
      <c r="F494" s="9">
        <v>0.8125</v>
      </c>
      <c r="G494" s="6">
        <v>0</v>
      </c>
      <c r="H494" s="6">
        <v>10</v>
      </c>
      <c r="I494" s="6">
        <v>10</v>
      </c>
      <c r="J494" s="49" t="s">
        <v>46</v>
      </c>
      <c r="K494" s="50" t="s">
        <v>71</v>
      </c>
      <c r="L494" s="58" t="str">
        <f t="shared" si="14"/>
        <v/>
      </c>
      <c r="M494" s="8" t="str">
        <f t="shared" si="15"/>
        <v>Jun_2017</v>
      </c>
    </row>
    <row r="495" spans="1:13" ht="15.75" x14ac:dyDescent="0.25">
      <c r="A495" s="2" t="s">
        <v>117</v>
      </c>
      <c r="B495" s="8" t="s">
        <v>118</v>
      </c>
      <c r="C495" s="18">
        <v>42891</v>
      </c>
      <c r="D495" s="3" t="s">
        <v>21</v>
      </c>
      <c r="E495" s="9">
        <v>0.35416666666666663</v>
      </c>
      <c r="F495" s="9">
        <v>0.72916666666666674</v>
      </c>
      <c r="G495" s="6">
        <v>0</v>
      </c>
      <c r="H495" s="6">
        <v>8.0000000000000036</v>
      </c>
      <c r="I495" s="6">
        <v>8.0000000000000036</v>
      </c>
      <c r="J495" s="49" t="s">
        <v>9</v>
      </c>
      <c r="K495" s="50" t="s">
        <v>206</v>
      </c>
      <c r="L495" s="58" t="str">
        <f t="shared" si="14"/>
        <v/>
      </c>
      <c r="M495" s="8" t="str">
        <f t="shared" si="15"/>
        <v>Jun_2017</v>
      </c>
    </row>
    <row r="496" spans="1:13" ht="15.75" x14ac:dyDescent="0.25">
      <c r="A496" s="2" t="s">
        <v>117</v>
      </c>
      <c r="B496" s="8" t="s">
        <v>118</v>
      </c>
      <c r="C496" s="18">
        <v>42893</v>
      </c>
      <c r="D496" s="3" t="s">
        <v>19</v>
      </c>
      <c r="E496" s="9">
        <v>0.35416666666666663</v>
      </c>
      <c r="F496" s="9">
        <v>0.72916666666666674</v>
      </c>
      <c r="G496" s="6">
        <v>0</v>
      </c>
      <c r="H496" s="6">
        <v>8.0000000000000036</v>
      </c>
      <c r="I496" s="6">
        <v>8.0000000000000036</v>
      </c>
      <c r="J496" s="49" t="s">
        <v>9</v>
      </c>
      <c r="K496" s="50" t="s">
        <v>207</v>
      </c>
      <c r="L496" s="58" t="str">
        <f t="shared" si="14"/>
        <v/>
      </c>
      <c r="M496" s="8" t="str">
        <f t="shared" si="15"/>
        <v>Jun_2017</v>
      </c>
    </row>
    <row r="497" spans="1:13" ht="15.75" x14ac:dyDescent="0.25">
      <c r="A497" s="2" t="s">
        <v>117</v>
      </c>
      <c r="B497" s="8" t="s">
        <v>118</v>
      </c>
      <c r="C497" s="18">
        <v>42894</v>
      </c>
      <c r="D497" s="3" t="s">
        <v>18</v>
      </c>
      <c r="E497" s="9">
        <v>0.35416666666666663</v>
      </c>
      <c r="F497" s="9">
        <v>0.72916666666666674</v>
      </c>
      <c r="G497" s="6">
        <v>0</v>
      </c>
      <c r="H497" s="6">
        <v>8.0000000000000036</v>
      </c>
      <c r="I497" s="6">
        <v>8.0000000000000036</v>
      </c>
      <c r="J497" s="50" t="s">
        <v>9</v>
      </c>
      <c r="K497" s="50" t="s">
        <v>208</v>
      </c>
      <c r="L497" s="58" t="str">
        <f t="shared" si="14"/>
        <v/>
      </c>
      <c r="M497" s="8" t="str">
        <f t="shared" si="15"/>
        <v>Jun_2017</v>
      </c>
    </row>
    <row r="498" spans="1:13" ht="15.75" x14ac:dyDescent="0.25">
      <c r="A498" s="2" t="s">
        <v>117</v>
      </c>
      <c r="B498" s="8" t="s">
        <v>118</v>
      </c>
      <c r="C498" s="18">
        <v>42895</v>
      </c>
      <c r="D498" s="3" t="s">
        <v>17</v>
      </c>
      <c r="E498" s="9">
        <v>0.35416666666666663</v>
      </c>
      <c r="F498" s="9">
        <v>0.72916666666666674</v>
      </c>
      <c r="G498" s="6">
        <v>0</v>
      </c>
      <c r="H498" s="6">
        <v>8.0000000000000036</v>
      </c>
      <c r="I498" s="6">
        <v>8.0000000000000036</v>
      </c>
      <c r="J498" s="50" t="s">
        <v>9</v>
      </c>
      <c r="K498" s="50" t="s">
        <v>209</v>
      </c>
      <c r="L498" s="58" t="str">
        <f t="shared" si="14"/>
        <v/>
      </c>
      <c r="M498" s="8" t="str">
        <f t="shared" si="15"/>
        <v>Jun_2017</v>
      </c>
    </row>
    <row r="499" spans="1:13" ht="15.75" x14ac:dyDescent="0.25">
      <c r="A499" s="2" t="s">
        <v>117</v>
      </c>
      <c r="B499" s="8" t="s">
        <v>118</v>
      </c>
      <c r="C499" s="18">
        <v>42898</v>
      </c>
      <c r="D499" s="3" t="s">
        <v>21</v>
      </c>
      <c r="E499" s="9">
        <v>0.35416666666666663</v>
      </c>
      <c r="F499" s="9">
        <v>0.72916666666666674</v>
      </c>
      <c r="G499" s="6">
        <v>0</v>
      </c>
      <c r="H499" s="6">
        <v>8.0000000000000036</v>
      </c>
      <c r="I499" s="6">
        <v>8.0000000000000036</v>
      </c>
      <c r="J499" s="49" t="s">
        <v>9</v>
      </c>
      <c r="K499" s="50" t="s">
        <v>210</v>
      </c>
      <c r="L499" s="58" t="str">
        <f t="shared" si="14"/>
        <v/>
      </c>
      <c r="M499" s="8" t="str">
        <f t="shared" si="15"/>
        <v>Jun_2017</v>
      </c>
    </row>
    <row r="500" spans="1:13" ht="15.75" x14ac:dyDescent="0.25">
      <c r="A500" s="2" t="s">
        <v>117</v>
      </c>
      <c r="B500" s="8" t="s">
        <v>118</v>
      </c>
      <c r="C500" s="18">
        <v>42899</v>
      </c>
      <c r="D500" s="3" t="s">
        <v>16</v>
      </c>
      <c r="E500" s="9">
        <v>0.35416666666666663</v>
      </c>
      <c r="F500" s="9">
        <v>0.72916666666666674</v>
      </c>
      <c r="G500" s="6">
        <v>0</v>
      </c>
      <c r="H500" s="6">
        <v>8.0000000000000036</v>
      </c>
      <c r="I500" s="6">
        <v>8.0000000000000036</v>
      </c>
      <c r="J500" s="49" t="s">
        <v>9</v>
      </c>
      <c r="K500" s="50" t="s">
        <v>211</v>
      </c>
      <c r="L500" s="58" t="str">
        <f t="shared" si="14"/>
        <v/>
      </c>
      <c r="M500" s="8" t="str">
        <f t="shared" si="15"/>
        <v>Jun_2017</v>
      </c>
    </row>
    <row r="501" spans="1:13" ht="15.75" x14ac:dyDescent="0.25">
      <c r="A501" s="2" t="s">
        <v>117</v>
      </c>
      <c r="B501" s="8" t="s">
        <v>118</v>
      </c>
      <c r="C501" s="18">
        <v>42900</v>
      </c>
      <c r="D501" s="3" t="s">
        <v>19</v>
      </c>
      <c r="E501" s="9">
        <v>0.35416666666666663</v>
      </c>
      <c r="F501" s="9">
        <v>0.72916666666666674</v>
      </c>
      <c r="G501" s="6">
        <v>0</v>
      </c>
      <c r="H501" s="6">
        <v>8.0000000000000036</v>
      </c>
      <c r="I501" s="6">
        <v>8.0000000000000036</v>
      </c>
      <c r="J501" s="49" t="s">
        <v>9</v>
      </c>
      <c r="K501" s="50" t="s">
        <v>212</v>
      </c>
      <c r="L501" s="58" t="str">
        <f t="shared" si="14"/>
        <v/>
      </c>
      <c r="M501" s="8" t="str">
        <f t="shared" si="15"/>
        <v>Jun_2017</v>
      </c>
    </row>
    <row r="502" spans="1:13" ht="15.75" x14ac:dyDescent="0.25">
      <c r="A502" s="2" t="s">
        <v>117</v>
      </c>
      <c r="B502" s="8" t="s">
        <v>118</v>
      </c>
      <c r="C502" s="18">
        <v>42901</v>
      </c>
      <c r="D502" s="3" t="s">
        <v>18</v>
      </c>
      <c r="E502" s="9">
        <v>0.35416666666666663</v>
      </c>
      <c r="F502" s="9">
        <v>0.72916666666666674</v>
      </c>
      <c r="G502" s="6">
        <v>0</v>
      </c>
      <c r="H502" s="6">
        <v>8.0000000000000036</v>
      </c>
      <c r="I502" s="6">
        <v>8.0000000000000036</v>
      </c>
      <c r="J502" s="50" t="s">
        <v>9</v>
      </c>
      <c r="K502" s="50" t="s">
        <v>213</v>
      </c>
      <c r="L502" s="58" t="str">
        <f t="shared" si="14"/>
        <v/>
      </c>
      <c r="M502" s="8" t="str">
        <f t="shared" si="15"/>
        <v>Jun_2017</v>
      </c>
    </row>
    <row r="503" spans="1:13" ht="15.75" x14ac:dyDescent="0.25">
      <c r="A503" s="2" t="s">
        <v>0</v>
      </c>
      <c r="B503" s="8" t="s">
        <v>10</v>
      </c>
      <c r="C503" s="18">
        <v>42902</v>
      </c>
      <c r="D503" s="3" t="s">
        <v>17</v>
      </c>
      <c r="E503" s="9">
        <v>0.72916666666666663</v>
      </c>
      <c r="F503" s="9">
        <v>0.83333333333333337</v>
      </c>
      <c r="G503" s="6">
        <v>8.0000000000000036</v>
      </c>
      <c r="H503" s="6">
        <v>2.4999999999999982</v>
      </c>
      <c r="I503" s="6">
        <v>2.4999999999999982</v>
      </c>
      <c r="J503" s="50" t="s">
        <v>9</v>
      </c>
      <c r="K503" s="50" t="s">
        <v>72</v>
      </c>
      <c r="L503" s="58">
        <f t="shared" si="14"/>
        <v>1</v>
      </c>
      <c r="M503" s="8" t="str">
        <f t="shared" si="15"/>
        <v>Jun_2017</v>
      </c>
    </row>
    <row r="504" spans="1:13" ht="15.75" x14ac:dyDescent="0.25">
      <c r="A504" s="2" t="s">
        <v>0</v>
      </c>
      <c r="B504" s="8" t="s">
        <v>13</v>
      </c>
      <c r="C504" s="18">
        <v>42902</v>
      </c>
      <c r="D504" s="3" t="s">
        <v>17</v>
      </c>
      <c r="E504" s="9">
        <v>0.72916666666666663</v>
      </c>
      <c r="F504" s="9">
        <v>0.83333333333333337</v>
      </c>
      <c r="G504" s="6">
        <v>8.0000000000000036</v>
      </c>
      <c r="H504" s="6">
        <v>2.4999999999999982</v>
      </c>
      <c r="I504" s="6">
        <v>2.4999999999999982</v>
      </c>
      <c r="J504" s="50" t="s">
        <v>9</v>
      </c>
      <c r="K504" s="50" t="s">
        <v>72</v>
      </c>
      <c r="L504" s="58">
        <f t="shared" si="14"/>
        <v>1</v>
      </c>
      <c r="M504" s="8" t="str">
        <f t="shared" si="15"/>
        <v>Jun_2017</v>
      </c>
    </row>
    <row r="505" spans="1:13" ht="15.75" x14ac:dyDescent="0.25">
      <c r="A505" s="2" t="s">
        <v>117</v>
      </c>
      <c r="B505" s="8" t="s">
        <v>118</v>
      </c>
      <c r="C505" s="18">
        <v>42902</v>
      </c>
      <c r="D505" s="3" t="s">
        <v>17</v>
      </c>
      <c r="E505" s="9">
        <v>0.35416666666666663</v>
      </c>
      <c r="F505" s="9">
        <v>0.83333333333333337</v>
      </c>
      <c r="G505" s="6">
        <v>0</v>
      </c>
      <c r="H505" s="6">
        <v>10.500000000000002</v>
      </c>
      <c r="I505" s="6">
        <v>10.500000000000002</v>
      </c>
      <c r="J505" s="50" t="s">
        <v>9</v>
      </c>
      <c r="K505" s="50" t="s">
        <v>72</v>
      </c>
      <c r="L505" s="58" t="str">
        <f t="shared" si="14"/>
        <v/>
      </c>
      <c r="M505" s="8" t="str">
        <f t="shared" si="15"/>
        <v>Jun_2017</v>
      </c>
    </row>
    <row r="506" spans="1:13" ht="15.75" x14ac:dyDescent="0.25">
      <c r="A506" s="2" t="s">
        <v>0</v>
      </c>
      <c r="B506" s="8" t="s">
        <v>34</v>
      </c>
      <c r="C506" s="18">
        <v>42902</v>
      </c>
      <c r="D506" s="3" t="s">
        <v>17</v>
      </c>
      <c r="E506" s="9">
        <v>0.72916666666666663</v>
      </c>
      <c r="F506" s="9">
        <v>0.83333333333333337</v>
      </c>
      <c r="G506" s="6">
        <v>8.0000000000000036</v>
      </c>
      <c r="H506" s="6">
        <v>2.4999999999999982</v>
      </c>
      <c r="I506" s="6">
        <v>2.4999999999999982</v>
      </c>
      <c r="J506" s="50" t="s">
        <v>9</v>
      </c>
      <c r="K506" s="50" t="s">
        <v>72</v>
      </c>
      <c r="L506" s="58">
        <f t="shared" si="14"/>
        <v>1</v>
      </c>
      <c r="M506" s="8" t="str">
        <f t="shared" si="15"/>
        <v>Jun_2017</v>
      </c>
    </row>
    <row r="507" spans="1:13" ht="15.75" x14ac:dyDescent="0.25">
      <c r="A507" s="2" t="s">
        <v>0</v>
      </c>
      <c r="B507" s="8" t="s">
        <v>68</v>
      </c>
      <c r="C507" s="18">
        <v>42902</v>
      </c>
      <c r="D507" s="3" t="s">
        <v>17</v>
      </c>
      <c r="E507" s="9">
        <v>0.72916666666666663</v>
      </c>
      <c r="F507" s="9">
        <v>0.83333333333333337</v>
      </c>
      <c r="G507" s="6">
        <v>8.0000000000000036</v>
      </c>
      <c r="H507" s="6">
        <v>2.4999999999999982</v>
      </c>
      <c r="I507" s="6">
        <v>2.4999999999999982</v>
      </c>
      <c r="J507" s="50" t="s">
        <v>9</v>
      </c>
      <c r="K507" s="50" t="s">
        <v>72</v>
      </c>
      <c r="L507" s="58">
        <f t="shared" si="14"/>
        <v>1</v>
      </c>
      <c r="M507" s="8" t="str">
        <f t="shared" si="15"/>
        <v>Jun_2017</v>
      </c>
    </row>
    <row r="508" spans="1:13" ht="15.75" x14ac:dyDescent="0.25">
      <c r="A508" s="2" t="s">
        <v>0</v>
      </c>
      <c r="B508" s="8" t="s">
        <v>69</v>
      </c>
      <c r="C508" s="18">
        <v>42902</v>
      </c>
      <c r="D508" s="3" t="s">
        <v>17</v>
      </c>
      <c r="E508" s="9">
        <v>0.72916666666666663</v>
      </c>
      <c r="F508" s="9">
        <v>0.83333333333333337</v>
      </c>
      <c r="G508" s="6">
        <v>8.0000000000000036</v>
      </c>
      <c r="H508" s="6">
        <v>2.4999999999999982</v>
      </c>
      <c r="I508" s="6">
        <v>2.4999999999999982</v>
      </c>
      <c r="J508" s="50" t="s">
        <v>9</v>
      </c>
      <c r="K508" s="50" t="s">
        <v>72</v>
      </c>
      <c r="L508" s="58">
        <f t="shared" si="14"/>
        <v>1</v>
      </c>
      <c r="M508" s="8" t="str">
        <f t="shared" si="15"/>
        <v>Jun_2017</v>
      </c>
    </row>
    <row r="509" spans="1:13" ht="15.75" x14ac:dyDescent="0.25">
      <c r="A509" s="2" t="s">
        <v>0</v>
      </c>
      <c r="B509" s="8" t="s">
        <v>214</v>
      </c>
      <c r="C509" s="18">
        <v>42902</v>
      </c>
      <c r="D509" s="3" t="s">
        <v>17</v>
      </c>
      <c r="E509" s="9">
        <v>0.72916666666666663</v>
      </c>
      <c r="F509" s="9">
        <v>0.83333333333333337</v>
      </c>
      <c r="G509" s="6">
        <v>8.0000000000000036</v>
      </c>
      <c r="H509" s="6">
        <v>2.4999999999999982</v>
      </c>
      <c r="I509" s="6">
        <v>2.4999999999999982</v>
      </c>
      <c r="J509" s="50" t="s">
        <v>9</v>
      </c>
      <c r="K509" s="50" t="s">
        <v>72</v>
      </c>
      <c r="L509" s="58">
        <f t="shared" si="14"/>
        <v>1</v>
      </c>
      <c r="M509" s="8" t="str">
        <f t="shared" si="15"/>
        <v>Jun_2017</v>
      </c>
    </row>
    <row r="510" spans="1:13" ht="15.75" x14ac:dyDescent="0.25">
      <c r="A510" s="2" t="s">
        <v>117</v>
      </c>
      <c r="B510" s="8" t="s">
        <v>118</v>
      </c>
      <c r="C510" s="18">
        <v>42905</v>
      </c>
      <c r="D510" s="3" t="s">
        <v>21</v>
      </c>
      <c r="E510" s="9">
        <v>0.35416666666666663</v>
      </c>
      <c r="F510" s="9">
        <v>0.72916666666666674</v>
      </c>
      <c r="G510" s="6">
        <v>0</v>
      </c>
      <c r="H510" s="6">
        <v>8.0000000000000036</v>
      </c>
      <c r="I510" s="6">
        <v>8.0000000000000036</v>
      </c>
      <c r="J510" s="49" t="s">
        <v>9</v>
      </c>
      <c r="K510" s="50" t="s">
        <v>215</v>
      </c>
      <c r="L510" s="58" t="str">
        <f t="shared" si="14"/>
        <v/>
      </c>
      <c r="M510" s="8" t="str">
        <f t="shared" si="15"/>
        <v>Jun_2017</v>
      </c>
    </row>
    <row r="511" spans="1:13" ht="15.75" x14ac:dyDescent="0.25">
      <c r="A511" s="2" t="s">
        <v>117</v>
      </c>
      <c r="B511" s="8" t="s">
        <v>118</v>
      </c>
      <c r="C511" s="18">
        <v>42906</v>
      </c>
      <c r="D511" s="3" t="s">
        <v>16</v>
      </c>
      <c r="E511" s="9">
        <v>0.35416666666666663</v>
      </c>
      <c r="F511" s="9">
        <v>0.72916666666666674</v>
      </c>
      <c r="G511" s="6">
        <v>0</v>
      </c>
      <c r="H511" s="6">
        <v>8.0000000000000036</v>
      </c>
      <c r="I511" s="6">
        <v>8.0000000000000036</v>
      </c>
      <c r="J511" s="49" t="s">
        <v>9</v>
      </c>
      <c r="K511" s="50" t="s">
        <v>216</v>
      </c>
      <c r="L511" s="58" t="str">
        <f t="shared" si="14"/>
        <v/>
      </c>
      <c r="M511" s="8" t="str">
        <f t="shared" si="15"/>
        <v>Jun_2017</v>
      </c>
    </row>
    <row r="512" spans="1:13" ht="15.75" x14ac:dyDescent="0.25">
      <c r="A512" s="2" t="s">
        <v>117</v>
      </c>
      <c r="B512" s="8" t="s">
        <v>118</v>
      </c>
      <c r="C512" s="18">
        <v>42907</v>
      </c>
      <c r="D512" s="3" t="s">
        <v>19</v>
      </c>
      <c r="E512" s="9">
        <v>0.35416666666666663</v>
      </c>
      <c r="F512" s="9">
        <v>0.72916666666666674</v>
      </c>
      <c r="G512" s="6">
        <v>0</v>
      </c>
      <c r="H512" s="6">
        <v>8.0000000000000036</v>
      </c>
      <c r="I512" s="6">
        <v>8.0000000000000036</v>
      </c>
      <c r="J512" s="49" t="s">
        <v>9</v>
      </c>
      <c r="K512" s="50" t="s">
        <v>217</v>
      </c>
      <c r="L512" s="58" t="str">
        <f t="shared" si="14"/>
        <v/>
      </c>
      <c r="M512" s="8" t="str">
        <f t="shared" si="15"/>
        <v>Jun_2017</v>
      </c>
    </row>
    <row r="513" spans="1:13" ht="15.75" x14ac:dyDescent="0.25">
      <c r="A513" s="2" t="s">
        <v>117</v>
      </c>
      <c r="B513" s="8" t="s">
        <v>118</v>
      </c>
      <c r="C513" s="18">
        <v>42908</v>
      </c>
      <c r="D513" s="3" t="s">
        <v>18</v>
      </c>
      <c r="E513" s="9">
        <v>0.35416666666666663</v>
      </c>
      <c r="F513" s="9">
        <v>0.72916666666666674</v>
      </c>
      <c r="G513" s="6">
        <v>0</v>
      </c>
      <c r="H513" s="6">
        <v>8.0000000000000036</v>
      </c>
      <c r="I513" s="6">
        <v>8.0000000000000036</v>
      </c>
      <c r="J513" s="50" t="s">
        <v>9</v>
      </c>
      <c r="K513" s="50" t="s">
        <v>218</v>
      </c>
      <c r="L513" s="58" t="str">
        <f t="shared" si="14"/>
        <v/>
      </c>
      <c r="M513" s="8" t="str">
        <f t="shared" si="15"/>
        <v>Jun_2017</v>
      </c>
    </row>
    <row r="514" spans="1:13" ht="15.75" x14ac:dyDescent="0.25">
      <c r="A514" s="2" t="s">
        <v>117</v>
      </c>
      <c r="B514" s="8" t="s">
        <v>118</v>
      </c>
      <c r="C514" s="18">
        <v>42909</v>
      </c>
      <c r="D514" s="3" t="s">
        <v>17</v>
      </c>
      <c r="E514" s="9">
        <v>0.35416666666666663</v>
      </c>
      <c r="F514" s="9">
        <v>0.72916666666666674</v>
      </c>
      <c r="G514" s="6">
        <v>0</v>
      </c>
      <c r="H514" s="6">
        <v>8.0000000000000036</v>
      </c>
      <c r="I514" s="6">
        <v>8.0000000000000036</v>
      </c>
      <c r="J514" s="50" t="s">
        <v>9</v>
      </c>
      <c r="K514" s="50" t="s">
        <v>219</v>
      </c>
      <c r="L514" s="58" t="str">
        <f t="shared" si="14"/>
        <v/>
      </c>
      <c r="M514" s="8" t="str">
        <f t="shared" si="15"/>
        <v>Jun_2017</v>
      </c>
    </row>
    <row r="515" spans="1:13" ht="15.75" x14ac:dyDescent="0.25">
      <c r="A515" s="2" t="s">
        <v>0</v>
      </c>
      <c r="B515" s="8" t="s">
        <v>10</v>
      </c>
      <c r="C515" s="18">
        <v>42910</v>
      </c>
      <c r="D515" s="3" t="s">
        <v>24</v>
      </c>
      <c r="E515" s="9">
        <v>0.35416666666666663</v>
      </c>
      <c r="F515" s="9">
        <v>0.72916666666666674</v>
      </c>
      <c r="G515" s="6">
        <v>8.0000000000000036</v>
      </c>
      <c r="H515" s="6">
        <v>0</v>
      </c>
      <c r="I515" s="6">
        <v>8.0000000000000036</v>
      </c>
      <c r="J515" s="51" t="s">
        <v>46</v>
      </c>
      <c r="K515" s="50" t="s">
        <v>220</v>
      </c>
      <c r="L515" s="58" t="str">
        <f t="shared" ref="L515:L578" si="16">IF(AND($A515="Perm Staff Onsite",$H515&gt;=2),1,"")</f>
        <v/>
      </c>
      <c r="M515" s="8" t="str">
        <f t="shared" ref="M515:M578" si="17">IF($C515="","",TEXT(DATE(YEAR($C515),MONTH($C515),DAY($C515)),"MMM")&amp;"_"&amp;YEAR($C515))</f>
        <v>Jun_2017</v>
      </c>
    </row>
    <row r="516" spans="1:13" ht="15.75" x14ac:dyDescent="0.25">
      <c r="A516" s="2" t="s">
        <v>0</v>
      </c>
      <c r="B516" s="8" t="s">
        <v>12</v>
      </c>
      <c r="C516" s="18">
        <v>42910</v>
      </c>
      <c r="D516" s="3" t="s">
        <v>24</v>
      </c>
      <c r="E516" s="9">
        <v>0.35416666666666663</v>
      </c>
      <c r="F516" s="9">
        <v>0.72916666666666674</v>
      </c>
      <c r="G516" s="6">
        <v>8.0000000000000036</v>
      </c>
      <c r="H516" s="6">
        <v>0</v>
      </c>
      <c r="I516" s="6">
        <v>8.0000000000000036</v>
      </c>
      <c r="J516" s="51" t="s">
        <v>46</v>
      </c>
      <c r="K516" s="50" t="s">
        <v>220</v>
      </c>
      <c r="L516" s="58" t="str">
        <f t="shared" si="16"/>
        <v/>
      </c>
      <c r="M516" s="8" t="str">
        <f t="shared" si="17"/>
        <v>Jun_2017</v>
      </c>
    </row>
    <row r="517" spans="1:13" ht="15.75" x14ac:dyDescent="0.25">
      <c r="A517" s="2" t="s">
        <v>0</v>
      </c>
      <c r="B517" s="8" t="s">
        <v>34</v>
      </c>
      <c r="C517" s="18">
        <v>42910</v>
      </c>
      <c r="D517" s="3" t="s">
        <v>24</v>
      </c>
      <c r="E517" s="9">
        <v>0.35416666666666663</v>
      </c>
      <c r="F517" s="9">
        <v>0.72916666666666674</v>
      </c>
      <c r="G517" s="6">
        <v>8.0000000000000036</v>
      </c>
      <c r="H517" s="6">
        <v>0</v>
      </c>
      <c r="I517" s="6">
        <v>8.0000000000000036</v>
      </c>
      <c r="J517" s="51" t="s">
        <v>46</v>
      </c>
      <c r="K517" s="50" t="s">
        <v>220</v>
      </c>
      <c r="L517" s="58" t="str">
        <f t="shared" si="16"/>
        <v/>
      </c>
      <c r="M517" s="8" t="str">
        <f t="shared" si="17"/>
        <v>Jun_2017</v>
      </c>
    </row>
    <row r="518" spans="1:13" ht="15.75" x14ac:dyDescent="0.25">
      <c r="A518" s="2" t="s">
        <v>0</v>
      </c>
      <c r="B518" s="8" t="s">
        <v>68</v>
      </c>
      <c r="C518" s="18">
        <v>42910</v>
      </c>
      <c r="D518" s="3" t="s">
        <v>24</v>
      </c>
      <c r="E518" s="9">
        <v>0.35416666666666663</v>
      </c>
      <c r="F518" s="9">
        <v>0.72916666666666674</v>
      </c>
      <c r="G518" s="6">
        <v>8.0000000000000036</v>
      </c>
      <c r="H518" s="6">
        <v>0</v>
      </c>
      <c r="I518" s="6">
        <v>8.0000000000000036</v>
      </c>
      <c r="J518" s="51" t="s">
        <v>46</v>
      </c>
      <c r="K518" s="50" t="s">
        <v>220</v>
      </c>
      <c r="L518" s="58" t="str">
        <f t="shared" si="16"/>
        <v/>
      </c>
      <c r="M518" s="8" t="str">
        <f t="shared" si="17"/>
        <v>Jun_2017</v>
      </c>
    </row>
    <row r="519" spans="1:13" ht="15.75" x14ac:dyDescent="0.25">
      <c r="A519" s="2" t="s">
        <v>0</v>
      </c>
      <c r="B519" s="8" t="s">
        <v>69</v>
      </c>
      <c r="C519" s="18">
        <v>42910</v>
      </c>
      <c r="D519" s="3" t="s">
        <v>24</v>
      </c>
      <c r="E519" s="9">
        <v>0.35416666666666663</v>
      </c>
      <c r="F519" s="9">
        <v>0.72916666666666674</v>
      </c>
      <c r="G519" s="6">
        <v>8.0000000000000036</v>
      </c>
      <c r="H519" s="6">
        <v>0</v>
      </c>
      <c r="I519" s="6">
        <v>8.0000000000000036</v>
      </c>
      <c r="J519" s="52" t="s">
        <v>46</v>
      </c>
      <c r="K519" s="50" t="s">
        <v>220</v>
      </c>
      <c r="L519" s="58" t="str">
        <f t="shared" si="16"/>
        <v/>
      </c>
      <c r="M519" s="8" t="str">
        <f t="shared" si="17"/>
        <v>Jun_2017</v>
      </c>
    </row>
    <row r="520" spans="1:13" ht="15.75" x14ac:dyDescent="0.25">
      <c r="A520" s="2" t="s">
        <v>117</v>
      </c>
      <c r="B520" s="8" t="s">
        <v>118</v>
      </c>
      <c r="C520" s="18">
        <v>42912</v>
      </c>
      <c r="D520" s="3" t="s">
        <v>21</v>
      </c>
      <c r="E520" s="9">
        <v>0.35416666666666663</v>
      </c>
      <c r="F520" s="9">
        <v>0.72916666666666674</v>
      </c>
      <c r="G520" s="6">
        <v>0</v>
      </c>
      <c r="H520" s="6">
        <v>8.0000000000000036</v>
      </c>
      <c r="I520" s="6">
        <v>8.0000000000000036</v>
      </c>
      <c r="J520" s="49" t="s">
        <v>9</v>
      </c>
      <c r="K520" s="50" t="s">
        <v>221</v>
      </c>
      <c r="L520" s="58" t="str">
        <f t="shared" si="16"/>
        <v/>
      </c>
      <c r="M520" s="8" t="str">
        <f t="shared" si="17"/>
        <v>Jun_2017</v>
      </c>
    </row>
    <row r="521" spans="1:13" ht="15.75" x14ac:dyDescent="0.25">
      <c r="A521" s="2" t="s">
        <v>0</v>
      </c>
      <c r="B521" s="8" t="s">
        <v>10</v>
      </c>
      <c r="C521" s="18">
        <v>42913</v>
      </c>
      <c r="D521" s="3" t="s">
        <v>16</v>
      </c>
      <c r="E521" s="9">
        <v>0.72916666666666663</v>
      </c>
      <c r="F521" s="9">
        <v>0.83333333333333337</v>
      </c>
      <c r="G521" s="6">
        <v>8.0000000000000036</v>
      </c>
      <c r="H521" s="6">
        <v>2.4999999999999982</v>
      </c>
      <c r="I521" s="6">
        <v>2.4999999999999982</v>
      </c>
      <c r="J521" s="49" t="s">
        <v>9</v>
      </c>
      <c r="K521" s="50" t="s">
        <v>73</v>
      </c>
      <c r="L521" s="58">
        <f t="shared" si="16"/>
        <v>1</v>
      </c>
      <c r="M521" s="8" t="str">
        <f t="shared" si="17"/>
        <v>Jun_2017</v>
      </c>
    </row>
    <row r="522" spans="1:13" ht="15.75" x14ac:dyDescent="0.25">
      <c r="A522" s="2" t="s">
        <v>0</v>
      </c>
      <c r="B522" s="8" t="s">
        <v>12</v>
      </c>
      <c r="C522" s="18">
        <v>42913</v>
      </c>
      <c r="D522" s="3" t="s">
        <v>16</v>
      </c>
      <c r="E522" s="9">
        <v>0.72916666666666663</v>
      </c>
      <c r="F522" s="9">
        <v>0.83333333333333337</v>
      </c>
      <c r="G522" s="6">
        <v>8.0000000000000036</v>
      </c>
      <c r="H522" s="6">
        <v>2.4999999999999982</v>
      </c>
      <c r="I522" s="6">
        <v>2.4999999999999982</v>
      </c>
      <c r="J522" s="49" t="s">
        <v>9</v>
      </c>
      <c r="K522" s="50" t="s">
        <v>73</v>
      </c>
      <c r="L522" s="58">
        <f t="shared" si="16"/>
        <v>1</v>
      </c>
      <c r="M522" s="8" t="str">
        <f t="shared" si="17"/>
        <v>Jun_2017</v>
      </c>
    </row>
    <row r="523" spans="1:13" ht="15.75" x14ac:dyDescent="0.25">
      <c r="A523" s="2" t="s">
        <v>117</v>
      </c>
      <c r="B523" s="8" t="s">
        <v>118</v>
      </c>
      <c r="C523" s="18">
        <v>42913</v>
      </c>
      <c r="D523" s="3" t="s">
        <v>16</v>
      </c>
      <c r="E523" s="9">
        <v>0.35416666666666663</v>
      </c>
      <c r="F523" s="9">
        <v>0.83333333333333337</v>
      </c>
      <c r="G523" s="6">
        <v>0</v>
      </c>
      <c r="H523" s="6">
        <v>10.500000000000002</v>
      </c>
      <c r="I523" s="6">
        <v>10.500000000000002</v>
      </c>
      <c r="J523" s="49" t="s">
        <v>9</v>
      </c>
      <c r="K523" s="50" t="s">
        <v>73</v>
      </c>
      <c r="L523" s="58" t="str">
        <f t="shared" si="16"/>
        <v/>
      </c>
      <c r="M523" s="8" t="str">
        <f t="shared" si="17"/>
        <v>Jun_2017</v>
      </c>
    </row>
    <row r="524" spans="1:13" ht="15.75" x14ac:dyDescent="0.25">
      <c r="A524" s="2" t="s">
        <v>0</v>
      </c>
      <c r="B524" s="8" t="s">
        <v>68</v>
      </c>
      <c r="C524" s="18">
        <v>42913</v>
      </c>
      <c r="D524" s="3" t="s">
        <v>16</v>
      </c>
      <c r="E524" s="9">
        <v>0.72916666666666663</v>
      </c>
      <c r="F524" s="9">
        <v>0.83333333333333337</v>
      </c>
      <c r="G524" s="6">
        <v>8.0000000000000036</v>
      </c>
      <c r="H524" s="6">
        <v>2.4999999999999982</v>
      </c>
      <c r="I524" s="6">
        <v>2.4999999999999982</v>
      </c>
      <c r="J524" s="50" t="s">
        <v>9</v>
      </c>
      <c r="K524" s="50" t="s">
        <v>73</v>
      </c>
      <c r="L524" s="58">
        <f t="shared" si="16"/>
        <v>1</v>
      </c>
      <c r="M524" s="8" t="str">
        <f t="shared" si="17"/>
        <v>Jun_2017</v>
      </c>
    </row>
    <row r="525" spans="1:13" ht="15.75" x14ac:dyDescent="0.25">
      <c r="A525" s="2" t="s">
        <v>0</v>
      </c>
      <c r="B525" s="8" t="s">
        <v>69</v>
      </c>
      <c r="C525" s="18">
        <v>42913</v>
      </c>
      <c r="D525" s="3" t="s">
        <v>16</v>
      </c>
      <c r="E525" s="9">
        <v>0.72916666666666663</v>
      </c>
      <c r="F525" s="9">
        <v>0.83333333333333337</v>
      </c>
      <c r="G525" s="6">
        <v>8.0000000000000036</v>
      </c>
      <c r="H525" s="6">
        <v>2.4999999999999982</v>
      </c>
      <c r="I525" s="6">
        <v>2.4999999999999982</v>
      </c>
      <c r="J525" s="50" t="s">
        <v>9</v>
      </c>
      <c r="K525" s="50" t="s">
        <v>73</v>
      </c>
      <c r="L525" s="58">
        <f t="shared" si="16"/>
        <v>1</v>
      </c>
      <c r="M525" s="8" t="str">
        <f t="shared" si="17"/>
        <v>Jun_2017</v>
      </c>
    </row>
    <row r="526" spans="1:13" ht="15.75" x14ac:dyDescent="0.25">
      <c r="A526" s="2" t="s">
        <v>0</v>
      </c>
      <c r="B526" s="8" t="s">
        <v>214</v>
      </c>
      <c r="C526" s="18">
        <v>42913</v>
      </c>
      <c r="D526" s="3" t="s">
        <v>16</v>
      </c>
      <c r="E526" s="9">
        <v>0.72916666666666663</v>
      </c>
      <c r="F526" s="9">
        <v>0.75</v>
      </c>
      <c r="G526" s="6">
        <v>8.0000000000000036</v>
      </c>
      <c r="H526" s="6">
        <v>0.49999999999999645</v>
      </c>
      <c r="I526" s="6">
        <v>0.49999999999999645</v>
      </c>
      <c r="J526" s="49" t="s">
        <v>9</v>
      </c>
      <c r="K526" s="50" t="s">
        <v>73</v>
      </c>
      <c r="L526" s="58" t="str">
        <f t="shared" si="16"/>
        <v/>
      </c>
      <c r="M526" s="8" t="str">
        <f t="shared" si="17"/>
        <v>Jun_2017</v>
      </c>
    </row>
    <row r="527" spans="1:13" ht="15.75" x14ac:dyDescent="0.25">
      <c r="A527" s="2" t="s">
        <v>0</v>
      </c>
      <c r="B527" s="8" t="s">
        <v>10</v>
      </c>
      <c r="C527" s="18">
        <v>42914</v>
      </c>
      <c r="D527" s="3" t="s">
        <v>19</v>
      </c>
      <c r="E527" s="9">
        <v>0.72916666666666663</v>
      </c>
      <c r="F527" s="9">
        <v>0.88541666666666663</v>
      </c>
      <c r="G527" s="6">
        <v>8.0000000000000036</v>
      </c>
      <c r="H527" s="6">
        <v>3.7499999999999964</v>
      </c>
      <c r="I527" s="6">
        <v>3.7499999999999964</v>
      </c>
      <c r="J527" s="49" t="s">
        <v>9</v>
      </c>
      <c r="K527" s="50" t="s">
        <v>74</v>
      </c>
      <c r="L527" s="58">
        <f t="shared" si="16"/>
        <v>1</v>
      </c>
      <c r="M527" s="8" t="str">
        <f t="shared" si="17"/>
        <v>Jun_2017</v>
      </c>
    </row>
    <row r="528" spans="1:13" ht="15.75" x14ac:dyDescent="0.25">
      <c r="A528" s="2" t="s">
        <v>0</v>
      </c>
      <c r="B528" s="8" t="s">
        <v>12</v>
      </c>
      <c r="C528" s="18">
        <v>42914</v>
      </c>
      <c r="D528" s="3" t="s">
        <v>19</v>
      </c>
      <c r="E528" s="9">
        <v>0.72916666666666663</v>
      </c>
      <c r="F528" s="9">
        <v>0.88541666666666663</v>
      </c>
      <c r="G528" s="6">
        <v>8.0000000000000036</v>
      </c>
      <c r="H528" s="6">
        <v>3.7499999999999964</v>
      </c>
      <c r="I528" s="6">
        <v>3.7499999999999964</v>
      </c>
      <c r="J528" s="49" t="s">
        <v>9</v>
      </c>
      <c r="K528" s="50" t="s">
        <v>74</v>
      </c>
      <c r="L528" s="58">
        <f t="shared" si="16"/>
        <v>1</v>
      </c>
      <c r="M528" s="8" t="str">
        <f t="shared" si="17"/>
        <v>Jun_2017</v>
      </c>
    </row>
    <row r="529" spans="1:13" ht="15.75" x14ac:dyDescent="0.25">
      <c r="A529" s="2" t="s">
        <v>117</v>
      </c>
      <c r="B529" s="8" t="s">
        <v>118</v>
      </c>
      <c r="C529" s="18">
        <v>42914</v>
      </c>
      <c r="D529" s="3" t="s">
        <v>19</v>
      </c>
      <c r="E529" s="9">
        <v>0.35416666666666663</v>
      </c>
      <c r="F529" s="9">
        <v>0.88541666666666663</v>
      </c>
      <c r="G529" s="6">
        <v>0</v>
      </c>
      <c r="H529" s="6">
        <v>11.75</v>
      </c>
      <c r="I529" s="6">
        <v>11.75</v>
      </c>
      <c r="J529" s="49" t="s">
        <v>9</v>
      </c>
      <c r="K529" s="50" t="s">
        <v>74</v>
      </c>
      <c r="L529" s="58" t="str">
        <f t="shared" si="16"/>
        <v/>
      </c>
      <c r="M529" s="8" t="str">
        <f t="shared" si="17"/>
        <v>Jun_2017</v>
      </c>
    </row>
    <row r="530" spans="1:13" ht="15.75" x14ac:dyDescent="0.25">
      <c r="A530" s="2" t="s">
        <v>0</v>
      </c>
      <c r="B530" s="8" t="s">
        <v>34</v>
      </c>
      <c r="C530" s="18">
        <v>42914</v>
      </c>
      <c r="D530" s="3" t="s">
        <v>19</v>
      </c>
      <c r="E530" s="9">
        <v>0.72916666666666663</v>
      </c>
      <c r="F530" s="9">
        <v>0.88541666666666663</v>
      </c>
      <c r="G530" s="6">
        <v>8.0000000000000036</v>
      </c>
      <c r="H530" s="6">
        <v>3.7499999999999964</v>
      </c>
      <c r="I530" s="6">
        <v>3.7499999999999964</v>
      </c>
      <c r="J530" s="49" t="s">
        <v>9</v>
      </c>
      <c r="K530" s="50" t="s">
        <v>74</v>
      </c>
      <c r="L530" s="58">
        <f t="shared" si="16"/>
        <v>1</v>
      </c>
      <c r="M530" s="8" t="str">
        <f t="shared" si="17"/>
        <v>Jun_2017</v>
      </c>
    </row>
    <row r="531" spans="1:13" ht="15.75" x14ac:dyDescent="0.25">
      <c r="A531" s="2" t="s">
        <v>0</v>
      </c>
      <c r="B531" s="8" t="s">
        <v>68</v>
      </c>
      <c r="C531" s="18">
        <v>42914</v>
      </c>
      <c r="D531" s="3" t="s">
        <v>19</v>
      </c>
      <c r="E531" s="9">
        <v>0.72916666666666663</v>
      </c>
      <c r="F531" s="9">
        <v>0.88541666666666663</v>
      </c>
      <c r="G531" s="6">
        <v>8.0000000000000036</v>
      </c>
      <c r="H531" s="6">
        <v>3.7499999999999964</v>
      </c>
      <c r="I531" s="6">
        <v>3.7499999999999964</v>
      </c>
      <c r="J531" s="50" t="s">
        <v>9</v>
      </c>
      <c r="K531" s="50" t="s">
        <v>74</v>
      </c>
      <c r="L531" s="58">
        <f t="shared" si="16"/>
        <v>1</v>
      </c>
      <c r="M531" s="8" t="str">
        <f t="shared" si="17"/>
        <v>Jun_2017</v>
      </c>
    </row>
    <row r="532" spans="1:13" ht="15.75" x14ac:dyDescent="0.25">
      <c r="A532" s="2" t="s">
        <v>0</v>
      </c>
      <c r="B532" s="8" t="s">
        <v>69</v>
      </c>
      <c r="C532" s="18">
        <v>42914</v>
      </c>
      <c r="D532" s="3" t="s">
        <v>19</v>
      </c>
      <c r="E532" s="9">
        <v>0.72916666666666663</v>
      </c>
      <c r="F532" s="9">
        <v>0.88541666666666663</v>
      </c>
      <c r="G532" s="6">
        <v>8.0000000000000036</v>
      </c>
      <c r="H532" s="6">
        <v>3.7499999999999964</v>
      </c>
      <c r="I532" s="6">
        <v>3.7499999999999964</v>
      </c>
      <c r="J532" s="50" t="s">
        <v>9</v>
      </c>
      <c r="K532" s="50" t="s">
        <v>74</v>
      </c>
      <c r="L532" s="58">
        <f t="shared" si="16"/>
        <v>1</v>
      </c>
      <c r="M532" s="8" t="str">
        <f t="shared" si="17"/>
        <v>Jun_2017</v>
      </c>
    </row>
    <row r="533" spans="1:13" ht="15.75" x14ac:dyDescent="0.25">
      <c r="A533" s="2" t="s">
        <v>117</v>
      </c>
      <c r="B533" s="8" t="s">
        <v>175</v>
      </c>
      <c r="C533" s="18">
        <v>42914</v>
      </c>
      <c r="D533" s="3" t="s">
        <v>19</v>
      </c>
      <c r="E533" s="9">
        <v>0.41666666666666669</v>
      </c>
      <c r="F533" s="9">
        <v>0.88541666666666663</v>
      </c>
      <c r="G533" s="6">
        <v>0</v>
      </c>
      <c r="H533" s="6">
        <v>10.249999999999998</v>
      </c>
      <c r="I533" s="6">
        <v>10.249999999999998</v>
      </c>
      <c r="J533" s="49" t="s">
        <v>9</v>
      </c>
      <c r="K533" s="50" t="s">
        <v>74</v>
      </c>
      <c r="L533" s="58" t="str">
        <f t="shared" si="16"/>
        <v/>
      </c>
      <c r="M533" s="8" t="str">
        <f t="shared" si="17"/>
        <v>Jun_2017</v>
      </c>
    </row>
    <row r="534" spans="1:13" ht="15.75" x14ac:dyDescent="0.25">
      <c r="A534" s="2" t="s">
        <v>0</v>
      </c>
      <c r="B534" s="8" t="s">
        <v>214</v>
      </c>
      <c r="C534" s="18">
        <v>42914</v>
      </c>
      <c r="D534" s="3" t="s">
        <v>19</v>
      </c>
      <c r="E534" s="9">
        <v>0.72916666666666663</v>
      </c>
      <c r="F534" s="9">
        <v>0.88541666666666663</v>
      </c>
      <c r="G534" s="6">
        <v>8.0000000000000036</v>
      </c>
      <c r="H534" s="6">
        <v>3.7499999999999964</v>
      </c>
      <c r="I534" s="6">
        <v>3.7499999999999964</v>
      </c>
      <c r="J534" s="49" t="s">
        <v>9</v>
      </c>
      <c r="K534" s="50" t="s">
        <v>74</v>
      </c>
      <c r="L534" s="58">
        <f t="shared" si="16"/>
        <v>1</v>
      </c>
      <c r="M534" s="8" t="str">
        <f t="shared" si="17"/>
        <v>Jun_2017</v>
      </c>
    </row>
    <row r="535" spans="1:13" ht="15.75" x14ac:dyDescent="0.25">
      <c r="A535" s="2" t="s">
        <v>0</v>
      </c>
      <c r="B535" s="8" t="s">
        <v>10</v>
      </c>
      <c r="C535" s="18">
        <v>42915</v>
      </c>
      <c r="D535" s="3" t="s">
        <v>18</v>
      </c>
      <c r="E535" s="9">
        <v>0.72916666666666663</v>
      </c>
      <c r="F535" s="9">
        <v>0.875</v>
      </c>
      <c r="G535" s="6">
        <v>8.0000000000000036</v>
      </c>
      <c r="H535" s="6">
        <v>3.4999999999999964</v>
      </c>
      <c r="I535" s="6">
        <v>3.4999999999999964</v>
      </c>
      <c r="J535" s="50" t="s">
        <v>9</v>
      </c>
      <c r="K535" s="50" t="s">
        <v>75</v>
      </c>
      <c r="L535" s="58">
        <f t="shared" si="16"/>
        <v>1</v>
      </c>
      <c r="M535" s="8" t="str">
        <f t="shared" si="17"/>
        <v>Jun_2017</v>
      </c>
    </row>
    <row r="536" spans="1:13" ht="15.75" x14ac:dyDescent="0.25">
      <c r="A536" s="2" t="s">
        <v>0</v>
      </c>
      <c r="B536" s="8" t="s">
        <v>12</v>
      </c>
      <c r="C536" s="18">
        <v>42915</v>
      </c>
      <c r="D536" s="3" t="s">
        <v>18</v>
      </c>
      <c r="E536" s="9">
        <v>0.72916666666666663</v>
      </c>
      <c r="F536" s="9">
        <v>0.75</v>
      </c>
      <c r="G536" s="6">
        <v>8.0000000000000036</v>
      </c>
      <c r="H536" s="6">
        <v>0.49999999999999645</v>
      </c>
      <c r="I536" s="6">
        <v>0.49999999999999645</v>
      </c>
      <c r="J536" s="49" t="s">
        <v>9</v>
      </c>
      <c r="K536" s="50" t="s">
        <v>75</v>
      </c>
      <c r="L536" s="58" t="str">
        <f t="shared" si="16"/>
        <v/>
      </c>
      <c r="M536" s="8" t="str">
        <f t="shared" si="17"/>
        <v>Jun_2017</v>
      </c>
    </row>
    <row r="537" spans="1:13" ht="15.75" x14ac:dyDescent="0.25">
      <c r="A537" s="2" t="s">
        <v>117</v>
      </c>
      <c r="B537" s="8" t="s">
        <v>118</v>
      </c>
      <c r="C537" s="18">
        <v>42915</v>
      </c>
      <c r="D537" s="3" t="s">
        <v>18</v>
      </c>
      <c r="E537" s="9">
        <v>0.35416666666666663</v>
      </c>
      <c r="F537" s="9">
        <v>0.875</v>
      </c>
      <c r="G537" s="6">
        <v>0</v>
      </c>
      <c r="H537" s="6">
        <v>11.5</v>
      </c>
      <c r="I537" s="6">
        <v>11.5</v>
      </c>
      <c r="J537" s="49" t="s">
        <v>9</v>
      </c>
      <c r="K537" s="50" t="s">
        <v>75</v>
      </c>
      <c r="L537" s="58" t="str">
        <f t="shared" si="16"/>
        <v/>
      </c>
      <c r="M537" s="8" t="str">
        <f t="shared" si="17"/>
        <v>Jun_2017</v>
      </c>
    </row>
    <row r="538" spans="1:13" ht="15.75" x14ac:dyDescent="0.25">
      <c r="A538" s="2" t="s">
        <v>0</v>
      </c>
      <c r="B538" s="8" t="s">
        <v>34</v>
      </c>
      <c r="C538" s="18">
        <v>42915</v>
      </c>
      <c r="D538" s="3" t="s">
        <v>18</v>
      </c>
      <c r="E538" s="9">
        <v>0.72916666666666663</v>
      </c>
      <c r="F538" s="9">
        <v>0.875</v>
      </c>
      <c r="G538" s="6">
        <v>8.0000000000000036</v>
      </c>
      <c r="H538" s="6">
        <v>3.4999999999999964</v>
      </c>
      <c r="I538" s="6">
        <v>3.4999999999999964</v>
      </c>
      <c r="J538" s="49" t="s">
        <v>9</v>
      </c>
      <c r="K538" s="50" t="s">
        <v>75</v>
      </c>
      <c r="L538" s="58">
        <f t="shared" si="16"/>
        <v>1</v>
      </c>
      <c r="M538" s="8" t="str">
        <f t="shared" si="17"/>
        <v>Jun_2017</v>
      </c>
    </row>
    <row r="539" spans="1:13" ht="15.75" x14ac:dyDescent="0.25">
      <c r="A539" s="2" t="s">
        <v>0</v>
      </c>
      <c r="B539" s="8" t="s">
        <v>68</v>
      </c>
      <c r="C539" s="18">
        <v>42915</v>
      </c>
      <c r="D539" s="3" t="s">
        <v>18</v>
      </c>
      <c r="E539" s="9">
        <v>0.72916666666666663</v>
      </c>
      <c r="F539" s="9">
        <v>0.875</v>
      </c>
      <c r="G539" s="6">
        <v>8.0000000000000036</v>
      </c>
      <c r="H539" s="6">
        <v>3.4999999999999964</v>
      </c>
      <c r="I539" s="6">
        <v>3.4999999999999964</v>
      </c>
      <c r="J539" s="50" t="s">
        <v>9</v>
      </c>
      <c r="K539" s="50" t="s">
        <v>75</v>
      </c>
      <c r="L539" s="58">
        <f t="shared" si="16"/>
        <v>1</v>
      </c>
      <c r="M539" s="8" t="str">
        <f t="shared" si="17"/>
        <v>Jun_2017</v>
      </c>
    </row>
    <row r="540" spans="1:13" ht="15.75" x14ac:dyDescent="0.25">
      <c r="A540" s="2" t="s">
        <v>0</v>
      </c>
      <c r="B540" s="8" t="s">
        <v>69</v>
      </c>
      <c r="C540" s="18">
        <v>42915</v>
      </c>
      <c r="D540" s="3" t="s">
        <v>18</v>
      </c>
      <c r="E540" s="9">
        <v>0.72916666666666663</v>
      </c>
      <c r="F540" s="9">
        <v>0.875</v>
      </c>
      <c r="G540" s="6">
        <v>8.0000000000000036</v>
      </c>
      <c r="H540" s="6">
        <v>3.4999999999999964</v>
      </c>
      <c r="I540" s="6">
        <v>3.4999999999999964</v>
      </c>
      <c r="J540" s="50" t="s">
        <v>9</v>
      </c>
      <c r="K540" s="50" t="s">
        <v>75</v>
      </c>
      <c r="L540" s="58">
        <f t="shared" si="16"/>
        <v>1</v>
      </c>
      <c r="M540" s="8" t="str">
        <f t="shared" si="17"/>
        <v>Jun_2017</v>
      </c>
    </row>
    <row r="541" spans="1:13" ht="15.75" x14ac:dyDescent="0.25">
      <c r="A541" s="2" t="s">
        <v>117</v>
      </c>
      <c r="B541" s="8" t="s">
        <v>177</v>
      </c>
      <c r="C541" s="18">
        <v>42915</v>
      </c>
      <c r="D541" s="3" t="s">
        <v>18</v>
      </c>
      <c r="E541" s="9">
        <v>0.35416666666666663</v>
      </c>
      <c r="F541" s="9">
        <v>0.875</v>
      </c>
      <c r="G541" s="6">
        <v>0</v>
      </c>
      <c r="H541" s="6">
        <v>11.5</v>
      </c>
      <c r="I541" s="6">
        <v>11.5</v>
      </c>
      <c r="J541" s="50" t="s">
        <v>9</v>
      </c>
      <c r="K541" s="50" t="s">
        <v>75</v>
      </c>
      <c r="L541" s="58" t="str">
        <f t="shared" si="16"/>
        <v/>
      </c>
      <c r="M541" s="8" t="str">
        <f t="shared" si="17"/>
        <v>Jun_2017</v>
      </c>
    </row>
    <row r="542" spans="1:13" ht="15.75" x14ac:dyDescent="0.25">
      <c r="A542" s="2" t="s">
        <v>117</v>
      </c>
      <c r="B542" s="8" t="s">
        <v>175</v>
      </c>
      <c r="C542" s="18">
        <v>42915</v>
      </c>
      <c r="D542" s="3" t="s">
        <v>18</v>
      </c>
      <c r="E542" s="9">
        <v>0.375</v>
      </c>
      <c r="F542" s="9">
        <v>0.75</v>
      </c>
      <c r="G542" s="6">
        <v>0</v>
      </c>
      <c r="H542" s="6">
        <v>8</v>
      </c>
      <c r="I542" s="6">
        <v>8</v>
      </c>
      <c r="J542" s="49" t="s">
        <v>9</v>
      </c>
      <c r="K542" s="50" t="s">
        <v>75</v>
      </c>
      <c r="L542" s="58" t="str">
        <f t="shared" si="16"/>
        <v/>
      </c>
      <c r="M542" s="8" t="str">
        <f t="shared" si="17"/>
        <v>Jun_2017</v>
      </c>
    </row>
    <row r="543" spans="1:13" ht="15.75" x14ac:dyDescent="0.25">
      <c r="A543" s="2" t="s">
        <v>0</v>
      </c>
      <c r="B543" s="8" t="s">
        <v>214</v>
      </c>
      <c r="C543" s="18">
        <v>42915</v>
      </c>
      <c r="D543" s="3" t="s">
        <v>18</v>
      </c>
      <c r="E543" s="9">
        <v>0.72916666666666663</v>
      </c>
      <c r="F543" s="9">
        <v>0.875</v>
      </c>
      <c r="G543" s="6">
        <v>8.0000000000000036</v>
      </c>
      <c r="H543" s="6">
        <v>3.4999999999999964</v>
      </c>
      <c r="I543" s="6">
        <v>3.4999999999999964</v>
      </c>
      <c r="J543" s="49" t="s">
        <v>9</v>
      </c>
      <c r="K543" s="50" t="s">
        <v>75</v>
      </c>
      <c r="L543" s="58">
        <f t="shared" si="16"/>
        <v>1</v>
      </c>
      <c r="M543" s="8" t="str">
        <f t="shared" si="17"/>
        <v>Jun_2017</v>
      </c>
    </row>
    <row r="544" spans="1:13" ht="15.75" x14ac:dyDescent="0.25">
      <c r="A544" s="2" t="s">
        <v>0</v>
      </c>
      <c r="B544" s="8" t="s">
        <v>10</v>
      </c>
      <c r="C544" s="18">
        <v>42916</v>
      </c>
      <c r="D544" s="3" t="s">
        <v>17</v>
      </c>
      <c r="E544" s="9">
        <v>0.70833333333333326</v>
      </c>
      <c r="F544" s="9">
        <v>0.88541666666666663</v>
      </c>
      <c r="G544" s="6">
        <v>8.0000000000000036</v>
      </c>
      <c r="H544" s="6">
        <v>4.2499999999999947</v>
      </c>
      <c r="I544" s="6">
        <v>4.2499999999999947</v>
      </c>
      <c r="J544" s="49" t="s">
        <v>9</v>
      </c>
      <c r="K544" s="50" t="s">
        <v>76</v>
      </c>
      <c r="L544" s="58">
        <f t="shared" si="16"/>
        <v>1</v>
      </c>
      <c r="M544" s="8" t="str">
        <f t="shared" si="17"/>
        <v>Jun_2017</v>
      </c>
    </row>
    <row r="545" spans="1:13" ht="15.75" x14ac:dyDescent="0.25">
      <c r="A545" s="2" t="s">
        <v>0</v>
      </c>
      <c r="B545" s="8" t="s">
        <v>12</v>
      </c>
      <c r="C545" s="18">
        <v>42916</v>
      </c>
      <c r="D545" s="3" t="s">
        <v>17</v>
      </c>
      <c r="E545" s="9">
        <v>0.70833333333333326</v>
      </c>
      <c r="F545" s="9">
        <v>0.88541666666666663</v>
      </c>
      <c r="G545" s="6">
        <v>8.0000000000000036</v>
      </c>
      <c r="H545" s="6">
        <v>4.2499999999999947</v>
      </c>
      <c r="I545" s="6">
        <v>4.2499999999999947</v>
      </c>
      <c r="J545" s="49" t="s">
        <v>9</v>
      </c>
      <c r="K545" s="50" t="s">
        <v>76</v>
      </c>
      <c r="L545" s="58">
        <f t="shared" si="16"/>
        <v>1</v>
      </c>
      <c r="M545" s="8" t="str">
        <f t="shared" si="17"/>
        <v>Jun_2017</v>
      </c>
    </row>
    <row r="546" spans="1:13" ht="15.75" x14ac:dyDescent="0.25">
      <c r="A546" s="2" t="s">
        <v>117</v>
      </c>
      <c r="B546" s="8" t="s">
        <v>118</v>
      </c>
      <c r="C546" s="18">
        <v>42916</v>
      </c>
      <c r="D546" s="3" t="s">
        <v>17</v>
      </c>
      <c r="E546" s="9">
        <v>0.33333333333333331</v>
      </c>
      <c r="F546" s="9">
        <v>0.72916666666666674</v>
      </c>
      <c r="G546" s="6">
        <v>0</v>
      </c>
      <c r="H546" s="6">
        <v>8.5000000000000018</v>
      </c>
      <c r="I546" s="6">
        <v>8.5000000000000018</v>
      </c>
      <c r="J546" s="49" t="s">
        <v>9</v>
      </c>
      <c r="K546" s="50" t="s">
        <v>76</v>
      </c>
      <c r="L546" s="58" t="str">
        <f t="shared" si="16"/>
        <v/>
      </c>
      <c r="M546" s="8" t="str">
        <f t="shared" si="17"/>
        <v>Jun_2017</v>
      </c>
    </row>
    <row r="547" spans="1:13" ht="15.75" x14ac:dyDescent="0.25">
      <c r="A547" s="2" t="s">
        <v>0</v>
      </c>
      <c r="B547" s="8" t="s">
        <v>34</v>
      </c>
      <c r="C547" s="18">
        <v>42916</v>
      </c>
      <c r="D547" s="3" t="s">
        <v>17</v>
      </c>
      <c r="E547" s="9">
        <v>0.70833333333333326</v>
      </c>
      <c r="F547" s="9">
        <v>0.88541666666666663</v>
      </c>
      <c r="G547" s="6">
        <v>8.0000000000000036</v>
      </c>
      <c r="H547" s="6">
        <v>4.2499999999999947</v>
      </c>
      <c r="I547" s="6">
        <v>4.2499999999999947</v>
      </c>
      <c r="J547" s="49" t="s">
        <v>9</v>
      </c>
      <c r="K547" s="50" t="s">
        <v>76</v>
      </c>
      <c r="L547" s="58">
        <f t="shared" si="16"/>
        <v>1</v>
      </c>
      <c r="M547" s="8" t="str">
        <f t="shared" si="17"/>
        <v>Jun_2017</v>
      </c>
    </row>
    <row r="548" spans="1:13" ht="15.75" x14ac:dyDescent="0.25">
      <c r="A548" s="2" t="s">
        <v>0</v>
      </c>
      <c r="B548" s="8" t="s">
        <v>68</v>
      </c>
      <c r="C548" s="18">
        <v>42916</v>
      </c>
      <c r="D548" s="3" t="s">
        <v>17</v>
      </c>
      <c r="E548" s="9">
        <v>0.70833333333333326</v>
      </c>
      <c r="F548" s="9">
        <v>0.88541666666666663</v>
      </c>
      <c r="G548" s="6">
        <v>8.0000000000000036</v>
      </c>
      <c r="H548" s="6">
        <v>4.2499999999999947</v>
      </c>
      <c r="I548" s="6">
        <v>4.2499999999999947</v>
      </c>
      <c r="J548" s="49" t="s">
        <v>9</v>
      </c>
      <c r="K548" s="50" t="s">
        <v>76</v>
      </c>
      <c r="L548" s="58">
        <f t="shared" si="16"/>
        <v>1</v>
      </c>
      <c r="M548" s="8" t="str">
        <f t="shared" si="17"/>
        <v>Jun_2017</v>
      </c>
    </row>
    <row r="549" spans="1:13" ht="15.75" x14ac:dyDescent="0.25">
      <c r="A549" s="2" t="s">
        <v>0</v>
      </c>
      <c r="B549" s="8" t="s">
        <v>69</v>
      </c>
      <c r="C549" s="18">
        <v>42916</v>
      </c>
      <c r="D549" s="3" t="s">
        <v>17</v>
      </c>
      <c r="E549" s="9">
        <v>0.70833333333333326</v>
      </c>
      <c r="F549" s="9">
        <v>0.88541666666666663</v>
      </c>
      <c r="G549" s="6">
        <v>8.0000000000000036</v>
      </c>
      <c r="H549" s="6">
        <v>4.2499999999999947</v>
      </c>
      <c r="I549" s="6">
        <v>4.2499999999999947</v>
      </c>
      <c r="J549" s="50" t="s">
        <v>9</v>
      </c>
      <c r="K549" s="50" t="s">
        <v>76</v>
      </c>
      <c r="L549" s="58">
        <f t="shared" si="16"/>
        <v>1</v>
      </c>
      <c r="M549" s="8" t="str">
        <f t="shared" si="17"/>
        <v>Jun_2017</v>
      </c>
    </row>
    <row r="550" spans="1:13" ht="15.75" x14ac:dyDescent="0.25">
      <c r="A550" s="2" t="s">
        <v>117</v>
      </c>
      <c r="B550" s="8" t="s">
        <v>177</v>
      </c>
      <c r="C550" s="18">
        <v>42916</v>
      </c>
      <c r="D550" s="3" t="s">
        <v>17</v>
      </c>
      <c r="E550" s="9">
        <v>0.33333333333333331</v>
      </c>
      <c r="F550" s="9">
        <v>0.88541666666666663</v>
      </c>
      <c r="G550" s="6">
        <v>0</v>
      </c>
      <c r="H550" s="6">
        <v>12.249999999999998</v>
      </c>
      <c r="I550" s="6">
        <v>12.249999999999998</v>
      </c>
      <c r="J550" s="50" t="s">
        <v>9</v>
      </c>
      <c r="K550" s="50" t="s">
        <v>76</v>
      </c>
      <c r="L550" s="58" t="str">
        <f t="shared" si="16"/>
        <v/>
      </c>
      <c r="M550" s="8" t="str">
        <f t="shared" si="17"/>
        <v>Jun_2017</v>
      </c>
    </row>
    <row r="551" spans="1:13" ht="15.75" x14ac:dyDescent="0.25">
      <c r="A551" s="2" t="s">
        <v>0</v>
      </c>
      <c r="B551" s="8" t="s">
        <v>214</v>
      </c>
      <c r="C551" s="18">
        <v>42916</v>
      </c>
      <c r="D551" s="3" t="s">
        <v>17</v>
      </c>
      <c r="E551" s="9">
        <v>0.70833333333333326</v>
      </c>
      <c r="F551" s="9">
        <v>0.88541666666666663</v>
      </c>
      <c r="G551" s="6">
        <v>8.0000000000000036</v>
      </c>
      <c r="H551" s="6">
        <v>4.2499999999999947</v>
      </c>
      <c r="I551" s="6">
        <v>4.2499999999999947</v>
      </c>
      <c r="J551" s="49" t="s">
        <v>9</v>
      </c>
      <c r="K551" s="50" t="s">
        <v>76</v>
      </c>
      <c r="L551" s="58">
        <f t="shared" si="16"/>
        <v>1</v>
      </c>
      <c r="M551" s="8" t="str">
        <f t="shared" si="17"/>
        <v>Jun_2017</v>
      </c>
    </row>
    <row r="552" spans="1:13" ht="15.75" x14ac:dyDescent="0.25">
      <c r="A552" s="2" t="s">
        <v>0</v>
      </c>
      <c r="B552" s="8" t="s">
        <v>10</v>
      </c>
      <c r="C552" s="18">
        <v>42917</v>
      </c>
      <c r="D552" s="3" t="s">
        <v>24</v>
      </c>
      <c r="E552" s="9">
        <v>0.70833333333333304</v>
      </c>
      <c r="F552" s="9">
        <v>0.875</v>
      </c>
      <c r="G552" s="6">
        <v>8.0000000000000036</v>
      </c>
      <c r="H552" s="6">
        <v>4.0000000000000036</v>
      </c>
      <c r="I552" s="6">
        <v>12.000000000000007</v>
      </c>
      <c r="J552" s="49" t="s">
        <v>46</v>
      </c>
      <c r="K552" s="50" t="s">
        <v>78</v>
      </c>
      <c r="L552" s="58">
        <f t="shared" si="16"/>
        <v>1</v>
      </c>
      <c r="M552" s="8" t="str">
        <f t="shared" si="17"/>
        <v>Jul_2017</v>
      </c>
    </row>
    <row r="553" spans="1:13" ht="15.75" x14ac:dyDescent="0.25">
      <c r="A553" s="2" t="s">
        <v>0</v>
      </c>
      <c r="B553" s="8" t="s">
        <v>12</v>
      </c>
      <c r="C553" s="18">
        <v>42917</v>
      </c>
      <c r="D553" s="3" t="s">
        <v>24</v>
      </c>
      <c r="E553" s="9">
        <v>0.70833333333333304</v>
      </c>
      <c r="F553" s="9">
        <v>0.875</v>
      </c>
      <c r="G553" s="6">
        <v>8.0000000000000036</v>
      </c>
      <c r="H553" s="6">
        <v>4.0000000000000036</v>
      </c>
      <c r="I553" s="6">
        <v>12.000000000000007</v>
      </c>
      <c r="J553" s="50" t="s">
        <v>46</v>
      </c>
      <c r="K553" s="50" t="s">
        <v>79</v>
      </c>
      <c r="L553" s="58">
        <f t="shared" si="16"/>
        <v>1</v>
      </c>
      <c r="M553" s="8" t="str">
        <f t="shared" si="17"/>
        <v>Jul_2017</v>
      </c>
    </row>
    <row r="554" spans="1:13" ht="15.75" x14ac:dyDescent="0.25">
      <c r="A554" s="2" t="s">
        <v>0</v>
      </c>
      <c r="B554" s="8" t="s">
        <v>68</v>
      </c>
      <c r="C554" s="18">
        <v>42917</v>
      </c>
      <c r="D554" s="3" t="s">
        <v>24</v>
      </c>
      <c r="E554" s="9">
        <v>0.70833333333333304</v>
      </c>
      <c r="F554" s="9">
        <v>0.875</v>
      </c>
      <c r="G554" s="6">
        <v>8.0000000000000036</v>
      </c>
      <c r="H554" s="6">
        <v>4.0000000000000036</v>
      </c>
      <c r="I554" s="6">
        <v>12.000000000000007</v>
      </c>
      <c r="J554" s="49" t="s">
        <v>46</v>
      </c>
      <c r="K554" s="50" t="s">
        <v>79</v>
      </c>
      <c r="L554" s="58">
        <f t="shared" si="16"/>
        <v>1</v>
      </c>
      <c r="M554" s="8" t="str">
        <f t="shared" si="17"/>
        <v>Jul_2017</v>
      </c>
    </row>
    <row r="555" spans="1:13" ht="15.75" x14ac:dyDescent="0.25">
      <c r="A555" s="2" t="s">
        <v>0</v>
      </c>
      <c r="B555" s="8" t="s">
        <v>69</v>
      </c>
      <c r="C555" s="18">
        <v>42917</v>
      </c>
      <c r="D555" s="3" t="s">
        <v>24</v>
      </c>
      <c r="E555" s="9">
        <v>0.70833333333333304</v>
      </c>
      <c r="F555" s="9">
        <v>0.875</v>
      </c>
      <c r="G555" s="6">
        <v>8.0000000000000036</v>
      </c>
      <c r="H555" s="6">
        <v>4.0000000000000036</v>
      </c>
      <c r="I555" s="6">
        <v>12.000000000000007</v>
      </c>
      <c r="J555" s="49" t="s">
        <v>46</v>
      </c>
      <c r="K555" s="50" t="s">
        <v>79</v>
      </c>
      <c r="L555" s="58">
        <f t="shared" si="16"/>
        <v>1</v>
      </c>
      <c r="M555" s="8" t="str">
        <f t="shared" si="17"/>
        <v>Jul_2017</v>
      </c>
    </row>
    <row r="556" spans="1:13" ht="15.75" x14ac:dyDescent="0.25">
      <c r="A556" s="2" t="s">
        <v>117</v>
      </c>
      <c r="B556" s="8" t="s">
        <v>118</v>
      </c>
      <c r="C556" s="18">
        <v>42917</v>
      </c>
      <c r="D556" s="3" t="s">
        <v>24</v>
      </c>
      <c r="E556" s="9">
        <v>0.33333333333333298</v>
      </c>
      <c r="F556" s="9">
        <v>0.875</v>
      </c>
      <c r="G556" s="6">
        <v>0</v>
      </c>
      <c r="H556" s="6">
        <v>12.000000000000007</v>
      </c>
      <c r="I556" s="6">
        <v>12.000000000000007</v>
      </c>
      <c r="J556" s="50" t="s">
        <v>46</v>
      </c>
      <c r="K556" s="50" t="s">
        <v>79</v>
      </c>
      <c r="L556" s="58" t="str">
        <f t="shared" si="16"/>
        <v/>
      </c>
      <c r="M556" s="8" t="str">
        <f t="shared" si="17"/>
        <v>Jul_2017</v>
      </c>
    </row>
    <row r="557" spans="1:13" ht="15.75" x14ac:dyDescent="0.25">
      <c r="A557" s="2" t="s">
        <v>117</v>
      </c>
      <c r="B557" s="8" t="s">
        <v>177</v>
      </c>
      <c r="C557" s="18">
        <v>42917</v>
      </c>
      <c r="D557" s="3" t="s">
        <v>24</v>
      </c>
      <c r="E557" s="9">
        <v>0.33333333333333298</v>
      </c>
      <c r="F557" s="9">
        <v>0.875</v>
      </c>
      <c r="G557" s="6">
        <v>0</v>
      </c>
      <c r="H557" s="6">
        <v>12.000000000000007</v>
      </c>
      <c r="I557" s="6">
        <v>12.000000000000007</v>
      </c>
      <c r="J557" s="49" t="s">
        <v>46</v>
      </c>
      <c r="K557" s="50" t="s">
        <v>79</v>
      </c>
      <c r="L557" s="58" t="str">
        <f t="shared" si="16"/>
        <v/>
      </c>
      <c r="M557" s="8" t="str">
        <f t="shared" si="17"/>
        <v>Jul_2017</v>
      </c>
    </row>
    <row r="558" spans="1:13" ht="15.75" x14ac:dyDescent="0.25">
      <c r="A558" s="2" t="s">
        <v>117</v>
      </c>
      <c r="B558" s="8" t="s">
        <v>175</v>
      </c>
      <c r="C558" s="18">
        <v>42917</v>
      </c>
      <c r="D558" s="3" t="s">
        <v>24</v>
      </c>
      <c r="E558" s="9">
        <v>0.41666666666666702</v>
      </c>
      <c r="F558" s="9">
        <v>0.875</v>
      </c>
      <c r="G558" s="6">
        <v>0</v>
      </c>
      <c r="H558" s="6">
        <v>9.9999999999999911</v>
      </c>
      <c r="I558" s="6">
        <v>9.9999999999999911</v>
      </c>
      <c r="J558" s="50" t="s">
        <v>46</v>
      </c>
      <c r="K558" s="50" t="s">
        <v>79</v>
      </c>
      <c r="L558" s="58" t="str">
        <f t="shared" si="16"/>
        <v/>
      </c>
      <c r="M558" s="8" t="str">
        <f t="shared" si="17"/>
        <v>Jul_2017</v>
      </c>
    </row>
    <row r="559" spans="1:13" ht="15.75" x14ac:dyDescent="0.25">
      <c r="A559" s="2" t="s">
        <v>0</v>
      </c>
      <c r="B559" s="8" t="s">
        <v>10</v>
      </c>
      <c r="C559" s="18">
        <v>42918</v>
      </c>
      <c r="D559" s="3" t="s">
        <v>23</v>
      </c>
      <c r="E559" s="9">
        <v>0.33333333333333298</v>
      </c>
      <c r="F559" s="9">
        <v>0.875</v>
      </c>
      <c r="G559" s="6" t="s">
        <v>222</v>
      </c>
      <c r="H559" s="6">
        <v>12.000000000000007</v>
      </c>
      <c r="I559" s="6">
        <v>12.000000000000007</v>
      </c>
      <c r="J559" s="49" t="s">
        <v>46</v>
      </c>
      <c r="K559" s="50" t="s">
        <v>223</v>
      </c>
      <c r="L559" s="58">
        <f t="shared" si="16"/>
        <v>1</v>
      </c>
      <c r="M559" s="8" t="str">
        <f t="shared" si="17"/>
        <v>Jul_2017</v>
      </c>
    </row>
    <row r="560" spans="1:13" ht="15.75" x14ac:dyDescent="0.25">
      <c r="A560" s="2" t="s">
        <v>0</v>
      </c>
      <c r="B560" s="8" t="s">
        <v>12</v>
      </c>
      <c r="C560" s="18">
        <v>42918</v>
      </c>
      <c r="D560" s="3" t="s">
        <v>23</v>
      </c>
      <c r="E560" s="9">
        <v>0.33333333333333298</v>
      </c>
      <c r="F560" s="9">
        <v>0.79166666666666696</v>
      </c>
      <c r="G560" s="6" t="s">
        <v>222</v>
      </c>
      <c r="H560" s="6">
        <v>10.000000000000016</v>
      </c>
      <c r="I560" s="6">
        <v>10.000000000000016</v>
      </c>
      <c r="J560" s="49" t="s">
        <v>46</v>
      </c>
      <c r="K560" s="50" t="s">
        <v>223</v>
      </c>
      <c r="L560" s="58">
        <f t="shared" si="16"/>
        <v>1</v>
      </c>
      <c r="M560" s="8" t="str">
        <f t="shared" si="17"/>
        <v>Jul_2017</v>
      </c>
    </row>
    <row r="561" spans="1:13" ht="15.75" x14ac:dyDescent="0.25">
      <c r="A561" s="2" t="s">
        <v>0</v>
      </c>
      <c r="B561" s="8" t="s">
        <v>34</v>
      </c>
      <c r="C561" s="18">
        <v>42918</v>
      </c>
      <c r="D561" s="3" t="s">
        <v>23</v>
      </c>
      <c r="E561" s="9">
        <v>0.33333333333333298</v>
      </c>
      <c r="F561" s="9">
        <v>0.79166666666666696</v>
      </c>
      <c r="G561" s="6" t="s">
        <v>222</v>
      </c>
      <c r="H561" s="6">
        <v>10.000000000000016</v>
      </c>
      <c r="I561" s="6">
        <v>10.000000000000016</v>
      </c>
      <c r="J561" s="50" t="s">
        <v>46</v>
      </c>
      <c r="K561" s="50" t="s">
        <v>223</v>
      </c>
      <c r="L561" s="58">
        <f t="shared" si="16"/>
        <v>1</v>
      </c>
      <c r="M561" s="8" t="str">
        <f t="shared" si="17"/>
        <v>Jul_2017</v>
      </c>
    </row>
    <row r="562" spans="1:13" ht="15.75" x14ac:dyDescent="0.25">
      <c r="A562" s="2" t="s">
        <v>0</v>
      </c>
      <c r="B562" s="8" t="s">
        <v>68</v>
      </c>
      <c r="C562" s="18">
        <v>42918</v>
      </c>
      <c r="D562" s="3" t="s">
        <v>23</v>
      </c>
      <c r="E562" s="9">
        <v>0.33333333333333298</v>
      </c>
      <c r="F562" s="9">
        <v>0.79166666666666696</v>
      </c>
      <c r="G562" s="6" t="s">
        <v>222</v>
      </c>
      <c r="H562" s="6">
        <v>10.000000000000016</v>
      </c>
      <c r="I562" s="6">
        <v>10.000000000000016</v>
      </c>
      <c r="J562" s="49" t="s">
        <v>46</v>
      </c>
      <c r="K562" s="50" t="s">
        <v>223</v>
      </c>
      <c r="L562" s="58">
        <f t="shared" si="16"/>
        <v>1</v>
      </c>
      <c r="M562" s="8" t="str">
        <f t="shared" si="17"/>
        <v>Jul_2017</v>
      </c>
    </row>
    <row r="563" spans="1:13" ht="15.75" x14ac:dyDescent="0.25">
      <c r="A563" s="2" t="s">
        <v>0</v>
      </c>
      <c r="B563" s="8" t="s">
        <v>69</v>
      </c>
      <c r="C563" s="18">
        <v>42918</v>
      </c>
      <c r="D563" s="3" t="s">
        <v>23</v>
      </c>
      <c r="E563" s="9">
        <v>0.33333333333333298</v>
      </c>
      <c r="F563" s="9">
        <v>0.79166666666666696</v>
      </c>
      <c r="G563" s="6" t="s">
        <v>222</v>
      </c>
      <c r="H563" s="6">
        <v>10.000000000000016</v>
      </c>
      <c r="I563" s="6">
        <v>10.000000000000016</v>
      </c>
      <c r="J563" s="49" t="s">
        <v>46</v>
      </c>
      <c r="K563" s="50" t="s">
        <v>223</v>
      </c>
      <c r="L563" s="58">
        <f t="shared" si="16"/>
        <v>1</v>
      </c>
      <c r="M563" s="8" t="str">
        <f t="shared" si="17"/>
        <v>Jul_2017</v>
      </c>
    </row>
    <row r="564" spans="1:13" ht="15.75" x14ac:dyDescent="0.25">
      <c r="A564" s="2" t="s">
        <v>117</v>
      </c>
      <c r="B564" s="8" t="s">
        <v>118</v>
      </c>
      <c r="C564" s="18">
        <v>42918</v>
      </c>
      <c r="D564" s="3" t="s">
        <v>23</v>
      </c>
      <c r="E564" s="9">
        <v>0.33333333333333298</v>
      </c>
      <c r="F564" s="9">
        <v>0.875</v>
      </c>
      <c r="G564" s="6" t="s">
        <v>222</v>
      </c>
      <c r="H564" s="6">
        <v>12.000000000000007</v>
      </c>
      <c r="I564" s="6">
        <v>12.000000000000007</v>
      </c>
      <c r="J564" s="49" t="s">
        <v>46</v>
      </c>
      <c r="K564" s="50" t="s">
        <v>223</v>
      </c>
      <c r="L564" s="58" t="str">
        <f t="shared" si="16"/>
        <v/>
      </c>
      <c r="M564" s="8" t="str">
        <f t="shared" si="17"/>
        <v>Jul_2017</v>
      </c>
    </row>
    <row r="565" spans="1:13" ht="15.75" x14ac:dyDescent="0.25">
      <c r="A565" s="2" t="s">
        <v>0</v>
      </c>
      <c r="B565" s="8" t="s">
        <v>77</v>
      </c>
      <c r="C565" s="18">
        <v>42918</v>
      </c>
      <c r="D565" s="3" t="s">
        <v>23</v>
      </c>
      <c r="E565" s="9">
        <v>0.33333333333333298</v>
      </c>
      <c r="F565" s="9">
        <v>0.72916666666666696</v>
      </c>
      <c r="G565" s="6" t="s">
        <v>222</v>
      </c>
      <c r="H565" s="6">
        <v>8.500000000000016</v>
      </c>
      <c r="I565" s="6">
        <v>8.500000000000016</v>
      </c>
      <c r="J565" s="50" t="s">
        <v>46</v>
      </c>
      <c r="K565" s="50" t="s">
        <v>223</v>
      </c>
      <c r="L565" s="58">
        <f t="shared" si="16"/>
        <v>1</v>
      </c>
      <c r="M565" s="8" t="str">
        <f t="shared" si="17"/>
        <v>Jul_2017</v>
      </c>
    </row>
    <row r="566" spans="1:13" ht="15.75" x14ac:dyDescent="0.25">
      <c r="A566" s="2" t="s">
        <v>117</v>
      </c>
      <c r="B566" s="8" t="s">
        <v>177</v>
      </c>
      <c r="C566" s="18">
        <v>42918</v>
      </c>
      <c r="D566" s="3" t="s">
        <v>23</v>
      </c>
      <c r="E566" s="9">
        <v>0.33333333333333298</v>
      </c>
      <c r="F566" s="9">
        <v>0.875</v>
      </c>
      <c r="G566" s="6" t="s">
        <v>222</v>
      </c>
      <c r="H566" s="6">
        <v>12.000000000000007</v>
      </c>
      <c r="I566" s="6">
        <v>12.000000000000007</v>
      </c>
      <c r="J566" s="49" t="s">
        <v>46</v>
      </c>
      <c r="K566" s="50" t="s">
        <v>223</v>
      </c>
      <c r="L566" s="58" t="str">
        <f t="shared" si="16"/>
        <v/>
      </c>
      <c r="M566" s="8" t="str">
        <f t="shared" si="17"/>
        <v>Jul_2017</v>
      </c>
    </row>
    <row r="567" spans="1:13" ht="15.75" x14ac:dyDescent="0.25">
      <c r="A567" s="2" t="s">
        <v>117</v>
      </c>
      <c r="B567" s="8" t="s">
        <v>175</v>
      </c>
      <c r="C567" s="18">
        <v>42918</v>
      </c>
      <c r="D567" s="3" t="s">
        <v>23</v>
      </c>
      <c r="E567" s="9">
        <v>0.33333333333333298</v>
      </c>
      <c r="F567" s="9">
        <v>0.875</v>
      </c>
      <c r="G567" s="6" t="s">
        <v>222</v>
      </c>
      <c r="H567" s="6">
        <v>12.000000000000007</v>
      </c>
      <c r="I567" s="6">
        <v>12.000000000000007</v>
      </c>
      <c r="J567" s="50" t="s">
        <v>46</v>
      </c>
      <c r="K567" s="50" t="s">
        <v>223</v>
      </c>
      <c r="L567" s="58" t="str">
        <f t="shared" si="16"/>
        <v/>
      </c>
      <c r="M567" s="8" t="str">
        <f t="shared" si="17"/>
        <v>Jul_2017</v>
      </c>
    </row>
    <row r="568" spans="1:13" ht="15.75" x14ac:dyDescent="0.25">
      <c r="A568" s="2" t="s">
        <v>0</v>
      </c>
      <c r="B568" s="8" t="s">
        <v>10</v>
      </c>
      <c r="C568" s="18">
        <v>42919</v>
      </c>
      <c r="D568" s="3" t="s">
        <v>21</v>
      </c>
      <c r="E568" s="9">
        <v>0.70833333333333304</v>
      </c>
      <c r="F568" s="9">
        <v>0.875</v>
      </c>
      <c r="G568" s="6">
        <v>8.0000000000000036</v>
      </c>
      <c r="H568" s="6">
        <v>4.0000000000000036</v>
      </c>
      <c r="I568" s="6">
        <v>4.0000000000000036</v>
      </c>
      <c r="J568" s="49" t="s">
        <v>9</v>
      </c>
      <c r="K568" s="50" t="s">
        <v>80</v>
      </c>
      <c r="L568" s="58">
        <f t="shared" si="16"/>
        <v>1</v>
      </c>
      <c r="M568" s="8" t="str">
        <f t="shared" si="17"/>
        <v>Jul_2017</v>
      </c>
    </row>
    <row r="569" spans="1:13" ht="15.75" x14ac:dyDescent="0.25">
      <c r="A569" s="2" t="s">
        <v>0</v>
      </c>
      <c r="B569" s="8" t="s">
        <v>34</v>
      </c>
      <c r="C569" s="18">
        <v>42919</v>
      </c>
      <c r="D569" s="3" t="s">
        <v>21</v>
      </c>
      <c r="E569" s="9">
        <v>0.66666666666666696</v>
      </c>
      <c r="F569" s="9">
        <v>0.875</v>
      </c>
      <c r="G569" s="6">
        <v>8.0000000000000036</v>
      </c>
      <c r="H569" s="6">
        <v>4.9999999999999893</v>
      </c>
      <c r="I569" s="6">
        <v>4.9999999999999893</v>
      </c>
      <c r="J569" s="49" t="s">
        <v>9</v>
      </c>
      <c r="K569" s="50" t="s">
        <v>80</v>
      </c>
      <c r="L569" s="58">
        <f t="shared" si="16"/>
        <v>1</v>
      </c>
      <c r="M569" s="8" t="str">
        <f t="shared" si="17"/>
        <v>Jul_2017</v>
      </c>
    </row>
    <row r="570" spans="1:13" ht="15.75" x14ac:dyDescent="0.25">
      <c r="A570" s="2" t="s">
        <v>0</v>
      </c>
      <c r="B570" s="8" t="s">
        <v>68</v>
      </c>
      <c r="C570" s="18">
        <v>42919</v>
      </c>
      <c r="D570" s="3" t="s">
        <v>21</v>
      </c>
      <c r="E570" s="9">
        <v>0.70833333333333304</v>
      </c>
      <c r="F570" s="9">
        <v>0.875</v>
      </c>
      <c r="G570" s="6">
        <v>8.0000000000000036</v>
      </c>
      <c r="H570" s="6">
        <v>4.0000000000000036</v>
      </c>
      <c r="I570" s="6">
        <v>4.0000000000000036</v>
      </c>
      <c r="J570" s="49" t="s">
        <v>9</v>
      </c>
      <c r="K570" s="50" t="s">
        <v>80</v>
      </c>
      <c r="L570" s="58">
        <f t="shared" si="16"/>
        <v>1</v>
      </c>
      <c r="M570" s="8" t="str">
        <f t="shared" si="17"/>
        <v>Jul_2017</v>
      </c>
    </row>
    <row r="571" spans="1:13" ht="15.75" x14ac:dyDescent="0.25">
      <c r="A571" s="2" t="s">
        <v>0</v>
      </c>
      <c r="B571" s="8" t="s">
        <v>69</v>
      </c>
      <c r="C571" s="18">
        <v>42919</v>
      </c>
      <c r="D571" s="3" t="s">
        <v>21</v>
      </c>
      <c r="E571" s="9">
        <v>0.70833333333333304</v>
      </c>
      <c r="F571" s="9">
        <v>0.875</v>
      </c>
      <c r="G571" s="6">
        <v>8.0000000000000036</v>
      </c>
      <c r="H571" s="6">
        <v>4.0000000000000036</v>
      </c>
      <c r="I571" s="6">
        <v>4.0000000000000036</v>
      </c>
      <c r="J571" s="49" t="s">
        <v>9</v>
      </c>
      <c r="K571" s="50" t="s">
        <v>80</v>
      </c>
      <c r="L571" s="58">
        <f t="shared" si="16"/>
        <v>1</v>
      </c>
      <c r="M571" s="8" t="str">
        <f t="shared" si="17"/>
        <v>Jul_2017</v>
      </c>
    </row>
    <row r="572" spans="1:13" ht="15.75" x14ac:dyDescent="0.25">
      <c r="A572" s="2" t="s">
        <v>117</v>
      </c>
      <c r="B572" s="8" t="s">
        <v>118</v>
      </c>
      <c r="C572" s="18">
        <v>42919</v>
      </c>
      <c r="D572" s="3" t="s">
        <v>21</v>
      </c>
      <c r="E572" s="9">
        <v>0.33333333333333298</v>
      </c>
      <c r="F572" s="9">
        <v>0.875</v>
      </c>
      <c r="G572" s="6">
        <v>0</v>
      </c>
      <c r="H572" s="6">
        <v>12.000000000000007</v>
      </c>
      <c r="I572" s="6">
        <v>12.000000000000007</v>
      </c>
      <c r="J572" s="49" t="s">
        <v>9</v>
      </c>
      <c r="K572" s="50" t="s">
        <v>80</v>
      </c>
      <c r="L572" s="58" t="str">
        <f t="shared" si="16"/>
        <v/>
      </c>
      <c r="M572" s="8" t="str">
        <f t="shared" si="17"/>
        <v>Jul_2017</v>
      </c>
    </row>
    <row r="573" spans="1:13" ht="15.75" x14ac:dyDescent="0.25">
      <c r="A573" s="2" t="s">
        <v>0</v>
      </c>
      <c r="B573" s="8" t="s">
        <v>77</v>
      </c>
      <c r="C573" s="18">
        <v>42919</v>
      </c>
      <c r="D573" s="3" t="s">
        <v>21</v>
      </c>
      <c r="E573" s="9">
        <v>0.72916666666666696</v>
      </c>
      <c r="F573" s="9">
        <v>0.875</v>
      </c>
      <c r="G573" s="6">
        <v>8.0000000000000036</v>
      </c>
      <c r="H573" s="6">
        <v>3.4999999999999893</v>
      </c>
      <c r="I573" s="6">
        <v>3.4999999999999893</v>
      </c>
      <c r="J573" s="50" t="s">
        <v>9</v>
      </c>
      <c r="K573" s="50" t="s">
        <v>80</v>
      </c>
      <c r="L573" s="58">
        <f t="shared" si="16"/>
        <v>1</v>
      </c>
      <c r="M573" s="8" t="str">
        <f t="shared" si="17"/>
        <v>Jul_2017</v>
      </c>
    </row>
    <row r="574" spans="1:13" ht="15.75" x14ac:dyDescent="0.25">
      <c r="A574" s="2" t="s">
        <v>117</v>
      </c>
      <c r="B574" s="8" t="s">
        <v>177</v>
      </c>
      <c r="C574" s="18">
        <v>42919</v>
      </c>
      <c r="D574" s="3" t="s">
        <v>21</v>
      </c>
      <c r="E574" s="9">
        <v>0.33333333333333298</v>
      </c>
      <c r="F574" s="9">
        <v>0.70833333333333304</v>
      </c>
      <c r="G574" s="6">
        <v>0</v>
      </c>
      <c r="H574" s="6">
        <v>8.0000000000000018</v>
      </c>
      <c r="I574" s="6">
        <v>8.0000000000000018</v>
      </c>
      <c r="J574" s="49" t="s">
        <v>9</v>
      </c>
      <c r="K574" s="50" t="s">
        <v>80</v>
      </c>
      <c r="L574" s="58" t="str">
        <f t="shared" si="16"/>
        <v/>
      </c>
      <c r="M574" s="8" t="str">
        <f t="shared" si="17"/>
        <v>Jul_2017</v>
      </c>
    </row>
    <row r="575" spans="1:13" ht="15.75" x14ac:dyDescent="0.25">
      <c r="A575" s="2" t="s">
        <v>0</v>
      </c>
      <c r="B575" s="8" t="s">
        <v>10</v>
      </c>
      <c r="C575" s="18">
        <v>42920</v>
      </c>
      <c r="D575" s="3" t="s">
        <v>16</v>
      </c>
      <c r="E575" s="9">
        <v>0.70833333333333304</v>
      </c>
      <c r="F575" s="9">
        <v>0.875</v>
      </c>
      <c r="G575" s="6">
        <v>8.0000000000000036</v>
      </c>
      <c r="H575" s="6">
        <v>4.0000000000000036</v>
      </c>
      <c r="I575" s="6">
        <v>4.0000000000000036</v>
      </c>
      <c r="J575" s="49" t="s">
        <v>9</v>
      </c>
      <c r="K575" s="50" t="s">
        <v>81</v>
      </c>
      <c r="L575" s="58">
        <f t="shared" si="16"/>
        <v>1</v>
      </c>
      <c r="M575" s="8" t="str">
        <f t="shared" si="17"/>
        <v>Jul_2017</v>
      </c>
    </row>
    <row r="576" spans="1:13" ht="15.75" x14ac:dyDescent="0.25">
      <c r="A576" s="2" t="s">
        <v>0</v>
      </c>
      <c r="B576" s="8" t="s">
        <v>12</v>
      </c>
      <c r="C576" s="18">
        <v>42920</v>
      </c>
      <c r="D576" s="3" t="s">
        <v>16</v>
      </c>
      <c r="E576" s="9">
        <v>0.70833333333333304</v>
      </c>
      <c r="F576" s="9">
        <v>0.875</v>
      </c>
      <c r="G576" s="6">
        <v>8.0000000000000036</v>
      </c>
      <c r="H576" s="6">
        <v>4.0000000000000036</v>
      </c>
      <c r="I576" s="6">
        <v>4.0000000000000036</v>
      </c>
      <c r="J576" s="50" t="s">
        <v>9</v>
      </c>
      <c r="K576" s="50" t="s">
        <v>81</v>
      </c>
      <c r="L576" s="58">
        <f t="shared" si="16"/>
        <v>1</v>
      </c>
      <c r="M576" s="8" t="str">
        <f t="shared" si="17"/>
        <v>Jul_2017</v>
      </c>
    </row>
    <row r="577" spans="1:13" ht="15.75" x14ac:dyDescent="0.25">
      <c r="A577" s="2" t="s">
        <v>0</v>
      </c>
      <c r="B577" s="8" t="s">
        <v>34</v>
      </c>
      <c r="C577" s="18">
        <v>42920</v>
      </c>
      <c r="D577" s="3" t="s">
        <v>16</v>
      </c>
      <c r="E577" s="9">
        <v>0.70833333333333304</v>
      </c>
      <c r="F577" s="9">
        <v>0.875</v>
      </c>
      <c r="G577" s="6">
        <v>8.0000000000000036</v>
      </c>
      <c r="H577" s="6">
        <v>4.0000000000000036</v>
      </c>
      <c r="I577" s="6">
        <v>4.0000000000000036</v>
      </c>
      <c r="J577" s="49" t="s">
        <v>9</v>
      </c>
      <c r="K577" s="50" t="s">
        <v>81</v>
      </c>
      <c r="L577" s="58">
        <f t="shared" si="16"/>
        <v>1</v>
      </c>
      <c r="M577" s="8" t="str">
        <f t="shared" si="17"/>
        <v>Jul_2017</v>
      </c>
    </row>
    <row r="578" spans="1:13" ht="15.75" x14ac:dyDescent="0.25">
      <c r="A578" s="2" t="s">
        <v>0</v>
      </c>
      <c r="B578" s="8" t="s">
        <v>68</v>
      </c>
      <c r="C578" s="18">
        <v>42920</v>
      </c>
      <c r="D578" s="3" t="s">
        <v>16</v>
      </c>
      <c r="E578" s="9">
        <v>0.70833333333333304</v>
      </c>
      <c r="F578" s="9">
        <v>0.875</v>
      </c>
      <c r="G578" s="6">
        <v>8.0000000000000036</v>
      </c>
      <c r="H578" s="6">
        <v>4.0000000000000036</v>
      </c>
      <c r="I578" s="6">
        <v>4.0000000000000036</v>
      </c>
      <c r="J578" s="49" t="s">
        <v>9</v>
      </c>
      <c r="K578" s="50" t="s">
        <v>81</v>
      </c>
      <c r="L578" s="58">
        <f t="shared" si="16"/>
        <v>1</v>
      </c>
      <c r="M578" s="8" t="str">
        <f t="shared" si="17"/>
        <v>Jul_2017</v>
      </c>
    </row>
    <row r="579" spans="1:13" ht="15.75" x14ac:dyDescent="0.25">
      <c r="A579" s="2" t="s">
        <v>0</v>
      </c>
      <c r="B579" s="8" t="s">
        <v>69</v>
      </c>
      <c r="C579" s="18">
        <v>42920</v>
      </c>
      <c r="D579" s="3" t="s">
        <v>16</v>
      </c>
      <c r="E579" s="9">
        <v>0.70833333333333304</v>
      </c>
      <c r="F579" s="9">
        <v>0.875</v>
      </c>
      <c r="G579" s="6">
        <v>8.0000000000000036</v>
      </c>
      <c r="H579" s="6">
        <v>4.0000000000000036</v>
      </c>
      <c r="I579" s="6">
        <v>4.0000000000000036</v>
      </c>
      <c r="J579" s="49" t="s">
        <v>9</v>
      </c>
      <c r="K579" s="50" t="s">
        <v>81</v>
      </c>
      <c r="L579" s="58">
        <f t="shared" ref="L579:L642" si="18">IF(AND($A579="Perm Staff Onsite",$H579&gt;=2),1,"")</f>
        <v>1</v>
      </c>
      <c r="M579" s="8" t="str">
        <f t="shared" ref="M579:M642" si="19">IF($C579="","",TEXT(DATE(YEAR($C579),MONTH($C579),DAY($C579)),"MMM")&amp;"_"&amp;YEAR($C579))</f>
        <v>Jul_2017</v>
      </c>
    </row>
    <row r="580" spans="1:13" ht="15.75" x14ac:dyDescent="0.25">
      <c r="A580" s="2" t="s">
        <v>117</v>
      </c>
      <c r="B580" s="8" t="s">
        <v>118</v>
      </c>
      <c r="C580" s="18">
        <v>42920</v>
      </c>
      <c r="D580" s="3" t="s">
        <v>16</v>
      </c>
      <c r="E580" s="9">
        <v>0.33333333333333298</v>
      </c>
      <c r="F580" s="9">
        <v>0.875</v>
      </c>
      <c r="G580" s="6">
        <v>0</v>
      </c>
      <c r="H580" s="6">
        <v>12.000000000000007</v>
      </c>
      <c r="I580" s="6">
        <v>12.000000000000007</v>
      </c>
      <c r="J580" s="49" t="s">
        <v>9</v>
      </c>
      <c r="K580" s="50" t="s">
        <v>81</v>
      </c>
      <c r="L580" s="58" t="str">
        <f t="shared" si="18"/>
        <v/>
      </c>
      <c r="M580" s="8" t="str">
        <f t="shared" si="19"/>
        <v>Jul_2017</v>
      </c>
    </row>
    <row r="581" spans="1:13" ht="15.75" x14ac:dyDescent="0.25">
      <c r="A581" s="2" t="s">
        <v>0</v>
      </c>
      <c r="B581" s="8" t="s">
        <v>77</v>
      </c>
      <c r="C581" s="18">
        <v>42920</v>
      </c>
      <c r="D581" s="3" t="s">
        <v>16</v>
      </c>
      <c r="E581" s="9">
        <v>0.70833333333333304</v>
      </c>
      <c r="F581" s="9">
        <v>0.875</v>
      </c>
      <c r="G581" s="6">
        <v>8.0000000000000036</v>
      </c>
      <c r="H581" s="6">
        <v>4.0000000000000036</v>
      </c>
      <c r="I581" s="6">
        <v>4.0000000000000036</v>
      </c>
      <c r="J581" s="50" t="s">
        <v>9</v>
      </c>
      <c r="K581" s="50" t="s">
        <v>81</v>
      </c>
      <c r="L581" s="58">
        <f t="shared" si="18"/>
        <v>1</v>
      </c>
      <c r="M581" s="8" t="str">
        <f t="shared" si="19"/>
        <v>Jul_2017</v>
      </c>
    </row>
    <row r="582" spans="1:13" ht="15.75" x14ac:dyDescent="0.25">
      <c r="A582" s="2" t="s">
        <v>117</v>
      </c>
      <c r="B582" s="8" t="s">
        <v>177</v>
      </c>
      <c r="C582" s="18">
        <v>42920</v>
      </c>
      <c r="D582" s="3" t="s">
        <v>16</v>
      </c>
      <c r="E582" s="9">
        <v>0.33333333333333298</v>
      </c>
      <c r="F582" s="9">
        <v>0.72916666666666696</v>
      </c>
      <c r="G582" s="6">
        <v>0</v>
      </c>
      <c r="H582" s="6">
        <v>8.500000000000016</v>
      </c>
      <c r="I582" s="6">
        <v>8.500000000000016</v>
      </c>
      <c r="J582" s="49" t="s">
        <v>9</v>
      </c>
      <c r="K582" s="50" t="s">
        <v>81</v>
      </c>
      <c r="L582" s="58" t="str">
        <f t="shared" si="18"/>
        <v/>
      </c>
      <c r="M582" s="8" t="str">
        <f t="shared" si="19"/>
        <v>Jul_2017</v>
      </c>
    </row>
    <row r="583" spans="1:13" ht="15.75" x14ac:dyDescent="0.25">
      <c r="A583" s="2" t="s">
        <v>117</v>
      </c>
      <c r="B583" s="8" t="s">
        <v>224</v>
      </c>
      <c r="C583" s="18">
        <v>42920</v>
      </c>
      <c r="D583" s="3" t="s">
        <v>16</v>
      </c>
      <c r="E583" s="9">
        <v>0.54166666666666696</v>
      </c>
      <c r="F583" s="9">
        <v>0.875</v>
      </c>
      <c r="G583" s="6">
        <v>0</v>
      </c>
      <c r="H583" s="6">
        <v>7.9999999999999929</v>
      </c>
      <c r="I583" s="6">
        <v>7.9999999999999929</v>
      </c>
      <c r="J583" s="50" t="s">
        <v>9</v>
      </c>
      <c r="K583" s="50" t="s">
        <v>81</v>
      </c>
      <c r="L583" s="58" t="str">
        <f t="shared" si="18"/>
        <v/>
      </c>
      <c r="M583" s="8" t="str">
        <f t="shared" si="19"/>
        <v>Jul_2017</v>
      </c>
    </row>
    <row r="584" spans="1:13" ht="15.75" x14ac:dyDescent="0.25">
      <c r="A584" s="2" t="s">
        <v>0</v>
      </c>
      <c r="B584" s="8" t="s">
        <v>10</v>
      </c>
      <c r="C584" s="18">
        <v>42921</v>
      </c>
      <c r="D584" s="3" t="s">
        <v>19</v>
      </c>
      <c r="E584" s="9">
        <v>0.66666666666666696</v>
      </c>
      <c r="F584" s="9">
        <v>0.8125</v>
      </c>
      <c r="G584" s="6">
        <v>8.0000000000000036</v>
      </c>
      <c r="H584" s="6">
        <v>3.4999999999999893</v>
      </c>
      <c r="I584" s="6">
        <v>3.4999999999999893</v>
      </c>
      <c r="J584" s="50" t="s">
        <v>9</v>
      </c>
      <c r="K584" s="50" t="s">
        <v>82</v>
      </c>
      <c r="L584" s="58">
        <f t="shared" si="18"/>
        <v>1</v>
      </c>
      <c r="M584" s="8" t="str">
        <f t="shared" si="19"/>
        <v>Jul_2017</v>
      </c>
    </row>
    <row r="585" spans="1:13" ht="15.75" x14ac:dyDescent="0.25">
      <c r="A585" s="2" t="s">
        <v>0</v>
      </c>
      <c r="B585" s="8" t="s">
        <v>12</v>
      </c>
      <c r="C585" s="18">
        <v>42921</v>
      </c>
      <c r="D585" s="3" t="s">
        <v>19</v>
      </c>
      <c r="E585" s="9">
        <v>0.70833333333333304</v>
      </c>
      <c r="F585" s="9">
        <v>0.72916666666666696</v>
      </c>
      <c r="G585" s="6">
        <v>8.0000000000000036</v>
      </c>
      <c r="H585" s="6">
        <v>0.50000000000001243</v>
      </c>
      <c r="I585" s="6">
        <v>0.50000000000001243</v>
      </c>
      <c r="J585" s="50" t="s">
        <v>9</v>
      </c>
      <c r="K585" s="50" t="s">
        <v>82</v>
      </c>
      <c r="L585" s="58" t="str">
        <f t="shared" si="18"/>
        <v/>
      </c>
      <c r="M585" s="8" t="str">
        <f t="shared" si="19"/>
        <v>Jul_2017</v>
      </c>
    </row>
    <row r="586" spans="1:13" ht="15.75" x14ac:dyDescent="0.25">
      <c r="A586" s="2" t="s">
        <v>0</v>
      </c>
      <c r="B586" s="8" t="s">
        <v>34</v>
      </c>
      <c r="C586" s="18">
        <v>42921</v>
      </c>
      <c r="D586" s="3" t="s">
        <v>19</v>
      </c>
      <c r="E586" s="9">
        <v>0.70833333333333304</v>
      </c>
      <c r="F586" s="9">
        <v>0.8125</v>
      </c>
      <c r="G586" s="6">
        <v>8.0000000000000036</v>
      </c>
      <c r="H586" s="6">
        <v>2.5000000000000053</v>
      </c>
      <c r="I586" s="6">
        <v>2.5000000000000053</v>
      </c>
      <c r="J586" s="50" t="s">
        <v>9</v>
      </c>
      <c r="K586" s="50" t="s">
        <v>82</v>
      </c>
      <c r="L586" s="58">
        <f t="shared" si="18"/>
        <v>1</v>
      </c>
      <c r="M586" s="8" t="str">
        <f t="shared" si="19"/>
        <v>Jul_2017</v>
      </c>
    </row>
    <row r="587" spans="1:13" ht="15.75" x14ac:dyDescent="0.25">
      <c r="A587" s="2" t="s">
        <v>0</v>
      </c>
      <c r="B587" s="8" t="s">
        <v>68</v>
      </c>
      <c r="C587" s="18">
        <v>42921</v>
      </c>
      <c r="D587" s="3" t="s">
        <v>19</v>
      </c>
      <c r="E587" s="9">
        <v>0.70833333333333304</v>
      </c>
      <c r="F587" s="9">
        <v>0.8125</v>
      </c>
      <c r="G587" s="6">
        <v>8.0000000000000036</v>
      </c>
      <c r="H587" s="6">
        <v>2.5000000000000053</v>
      </c>
      <c r="I587" s="6">
        <v>2.5000000000000053</v>
      </c>
      <c r="J587" s="50" t="s">
        <v>9</v>
      </c>
      <c r="K587" s="50" t="s">
        <v>82</v>
      </c>
      <c r="L587" s="58">
        <f t="shared" si="18"/>
        <v>1</v>
      </c>
      <c r="M587" s="8" t="str">
        <f t="shared" si="19"/>
        <v>Jul_2017</v>
      </c>
    </row>
    <row r="588" spans="1:13" ht="15.75" x14ac:dyDescent="0.25">
      <c r="A588" s="2" t="s">
        <v>0</v>
      </c>
      <c r="B588" s="8" t="s">
        <v>69</v>
      </c>
      <c r="C588" s="18">
        <v>42921</v>
      </c>
      <c r="D588" s="3" t="s">
        <v>19</v>
      </c>
      <c r="E588" s="9">
        <v>0.70833333333333304</v>
      </c>
      <c r="F588" s="9">
        <v>0.8125</v>
      </c>
      <c r="G588" s="6">
        <v>8.0000000000000036</v>
      </c>
      <c r="H588" s="6">
        <v>2.5000000000000053</v>
      </c>
      <c r="I588" s="6">
        <v>2.5000000000000053</v>
      </c>
      <c r="J588" s="49" t="s">
        <v>9</v>
      </c>
      <c r="K588" s="50" t="s">
        <v>82</v>
      </c>
      <c r="L588" s="58">
        <f t="shared" si="18"/>
        <v>1</v>
      </c>
      <c r="M588" s="8" t="str">
        <f t="shared" si="19"/>
        <v>Jul_2017</v>
      </c>
    </row>
    <row r="589" spans="1:13" ht="15.75" x14ac:dyDescent="0.25">
      <c r="A589" s="2" t="s">
        <v>117</v>
      </c>
      <c r="B589" s="8" t="s">
        <v>118</v>
      </c>
      <c r="C589" s="18">
        <v>42921</v>
      </c>
      <c r="D589" s="3" t="s">
        <v>19</v>
      </c>
      <c r="E589" s="9">
        <v>0.33333333333333298</v>
      </c>
      <c r="F589" s="9">
        <v>0.8125</v>
      </c>
      <c r="G589" s="6">
        <v>0</v>
      </c>
      <c r="H589" s="6">
        <v>10.500000000000009</v>
      </c>
      <c r="I589" s="6">
        <v>10.500000000000009</v>
      </c>
      <c r="J589" s="50" t="s">
        <v>9</v>
      </c>
      <c r="K589" s="50" t="s">
        <v>82</v>
      </c>
      <c r="L589" s="58" t="str">
        <f t="shared" si="18"/>
        <v/>
      </c>
      <c r="M589" s="8" t="str">
        <f t="shared" si="19"/>
        <v>Jul_2017</v>
      </c>
    </row>
    <row r="590" spans="1:13" ht="15.75" x14ac:dyDescent="0.25">
      <c r="A590" s="2" t="s">
        <v>0</v>
      </c>
      <c r="B590" s="8" t="s">
        <v>77</v>
      </c>
      <c r="C590" s="18">
        <v>42921</v>
      </c>
      <c r="D590" s="3" t="s">
        <v>19</v>
      </c>
      <c r="E590" s="9">
        <v>0.70833333333333304</v>
      </c>
      <c r="F590" s="9">
        <v>0.8125</v>
      </c>
      <c r="G590" s="6">
        <v>8.0000000000000036</v>
      </c>
      <c r="H590" s="6">
        <v>2.5000000000000053</v>
      </c>
      <c r="I590" s="6">
        <v>2.5000000000000053</v>
      </c>
      <c r="J590" s="50" t="s">
        <v>9</v>
      </c>
      <c r="K590" s="50" t="s">
        <v>82</v>
      </c>
      <c r="L590" s="58">
        <f t="shared" si="18"/>
        <v>1</v>
      </c>
      <c r="M590" s="8" t="str">
        <f t="shared" si="19"/>
        <v>Jul_2017</v>
      </c>
    </row>
    <row r="591" spans="1:13" ht="15.75" x14ac:dyDescent="0.25">
      <c r="A591" s="2" t="s">
        <v>117</v>
      </c>
      <c r="B591" s="8" t="s">
        <v>224</v>
      </c>
      <c r="C591" s="18">
        <v>42921</v>
      </c>
      <c r="D591" s="3" t="s">
        <v>19</v>
      </c>
      <c r="E591" s="9">
        <v>0.54166666666666696</v>
      </c>
      <c r="F591" s="9">
        <v>0.8125</v>
      </c>
      <c r="G591" s="6">
        <v>0</v>
      </c>
      <c r="H591" s="6">
        <v>6.4999999999999929</v>
      </c>
      <c r="I591" s="6">
        <v>6.4999999999999929</v>
      </c>
      <c r="J591" s="50" t="s">
        <v>9</v>
      </c>
      <c r="K591" s="50" t="s">
        <v>82</v>
      </c>
      <c r="L591" s="58" t="str">
        <f t="shared" si="18"/>
        <v/>
      </c>
      <c r="M591" s="8" t="str">
        <f t="shared" si="19"/>
        <v>Jul_2017</v>
      </c>
    </row>
    <row r="592" spans="1:13" ht="15.75" x14ac:dyDescent="0.25">
      <c r="A592" s="2" t="s">
        <v>117</v>
      </c>
      <c r="B592" s="8" t="s">
        <v>118</v>
      </c>
      <c r="C592" s="18">
        <v>42922</v>
      </c>
      <c r="D592" s="3" t="s">
        <v>18</v>
      </c>
      <c r="E592" s="9">
        <v>0.35416666666666702</v>
      </c>
      <c r="F592" s="9">
        <v>0.72916666666666696</v>
      </c>
      <c r="G592" s="6">
        <v>0</v>
      </c>
      <c r="H592" s="6">
        <v>7.9999999999999982</v>
      </c>
      <c r="I592" s="6">
        <v>7.9999999999999982</v>
      </c>
      <c r="J592" s="50" t="s">
        <v>9</v>
      </c>
      <c r="K592" s="50" t="s">
        <v>225</v>
      </c>
      <c r="L592" s="58" t="str">
        <f t="shared" si="18"/>
        <v/>
      </c>
      <c r="M592" s="8" t="str">
        <f t="shared" si="19"/>
        <v>Jul_2017</v>
      </c>
    </row>
    <row r="593" spans="1:13" ht="15.75" x14ac:dyDescent="0.25">
      <c r="A593" s="2" t="s">
        <v>117</v>
      </c>
      <c r="B593" s="8" t="s">
        <v>118</v>
      </c>
      <c r="C593" s="18">
        <v>42923</v>
      </c>
      <c r="D593" s="3" t="s">
        <v>17</v>
      </c>
      <c r="E593" s="9">
        <v>0.35416666666666702</v>
      </c>
      <c r="F593" s="9">
        <v>0.72916666666666696</v>
      </c>
      <c r="G593" s="6">
        <v>0</v>
      </c>
      <c r="H593" s="6">
        <v>7.9999999999999982</v>
      </c>
      <c r="I593" s="6">
        <v>7.9999999999999982</v>
      </c>
      <c r="J593" s="50" t="s">
        <v>9</v>
      </c>
      <c r="K593" s="50" t="s">
        <v>226</v>
      </c>
      <c r="L593" s="58" t="str">
        <f t="shared" si="18"/>
        <v/>
      </c>
      <c r="M593" s="8" t="str">
        <f t="shared" si="19"/>
        <v>Jul_2017</v>
      </c>
    </row>
    <row r="594" spans="1:13" ht="15.75" x14ac:dyDescent="0.25">
      <c r="A594" s="2" t="s">
        <v>117</v>
      </c>
      <c r="B594" s="8" t="s">
        <v>175</v>
      </c>
      <c r="C594" s="18">
        <v>42923</v>
      </c>
      <c r="D594" s="3" t="s">
        <v>17</v>
      </c>
      <c r="E594" s="9">
        <v>0.35416666666666702</v>
      </c>
      <c r="F594" s="9">
        <v>0.72916666666666696</v>
      </c>
      <c r="G594" s="6">
        <v>0</v>
      </c>
      <c r="H594" s="6">
        <v>7.9999999999999982</v>
      </c>
      <c r="I594" s="6">
        <v>7.9999999999999982</v>
      </c>
      <c r="J594" s="50" t="s">
        <v>9</v>
      </c>
      <c r="K594" s="50" t="s">
        <v>226</v>
      </c>
      <c r="L594" s="58" t="str">
        <f t="shared" si="18"/>
        <v/>
      </c>
      <c r="M594" s="8" t="str">
        <f t="shared" si="19"/>
        <v>Jul_2017</v>
      </c>
    </row>
    <row r="595" spans="1:13" ht="15.75" x14ac:dyDescent="0.25">
      <c r="A595" s="2" t="s">
        <v>117</v>
      </c>
      <c r="B595" s="8" t="s">
        <v>118</v>
      </c>
      <c r="C595" s="18">
        <v>42926</v>
      </c>
      <c r="D595" s="3" t="s">
        <v>21</v>
      </c>
      <c r="E595" s="9">
        <v>0.35416666666666702</v>
      </c>
      <c r="F595" s="9">
        <v>0.72916666666666696</v>
      </c>
      <c r="G595" s="6">
        <v>0</v>
      </c>
      <c r="H595" s="6">
        <v>7.9999999999999982</v>
      </c>
      <c r="I595" s="6">
        <v>7.9999999999999982</v>
      </c>
      <c r="J595" s="50" t="s">
        <v>9</v>
      </c>
      <c r="K595" s="50" t="s">
        <v>227</v>
      </c>
      <c r="L595" s="58" t="str">
        <f t="shared" si="18"/>
        <v/>
      </c>
      <c r="M595" s="8" t="str">
        <f t="shared" si="19"/>
        <v>Jul_2017</v>
      </c>
    </row>
    <row r="596" spans="1:13" ht="15.75" x14ac:dyDescent="0.25">
      <c r="A596" s="2" t="s">
        <v>117</v>
      </c>
      <c r="B596" s="8" t="s">
        <v>118</v>
      </c>
      <c r="C596" s="18">
        <v>42927</v>
      </c>
      <c r="D596" s="3" t="s">
        <v>16</v>
      </c>
      <c r="E596" s="9">
        <v>0.35416666666666702</v>
      </c>
      <c r="F596" s="9">
        <v>0.72916666666666696</v>
      </c>
      <c r="G596" s="6">
        <v>0</v>
      </c>
      <c r="H596" s="6">
        <v>7.9999999999999982</v>
      </c>
      <c r="I596" s="6">
        <v>7.9999999999999982</v>
      </c>
      <c r="J596" s="50" t="s">
        <v>9</v>
      </c>
      <c r="K596" s="50" t="s">
        <v>228</v>
      </c>
      <c r="L596" s="58" t="str">
        <f t="shared" si="18"/>
        <v/>
      </c>
      <c r="M596" s="8" t="str">
        <f t="shared" si="19"/>
        <v>Jul_2017</v>
      </c>
    </row>
    <row r="597" spans="1:13" ht="15.75" x14ac:dyDescent="0.25">
      <c r="A597" s="2" t="s">
        <v>117</v>
      </c>
      <c r="B597" s="8" t="s">
        <v>118</v>
      </c>
      <c r="C597" s="18">
        <v>42928</v>
      </c>
      <c r="D597" s="3" t="s">
        <v>19</v>
      </c>
      <c r="E597" s="9">
        <v>0.35416666666666702</v>
      </c>
      <c r="F597" s="9">
        <v>0.72916666666666696</v>
      </c>
      <c r="G597" s="6">
        <v>0</v>
      </c>
      <c r="H597" s="6">
        <v>7.9999999999999982</v>
      </c>
      <c r="I597" s="6">
        <v>7.9999999999999982</v>
      </c>
      <c r="J597" s="50" t="s">
        <v>9</v>
      </c>
      <c r="K597" s="50" t="s">
        <v>229</v>
      </c>
      <c r="L597" s="58" t="str">
        <f t="shared" si="18"/>
        <v/>
      </c>
      <c r="M597" s="8" t="str">
        <f t="shared" si="19"/>
        <v>Jul_2017</v>
      </c>
    </row>
    <row r="598" spans="1:13" ht="15.75" x14ac:dyDescent="0.25">
      <c r="A598" s="2" t="s">
        <v>117</v>
      </c>
      <c r="B598" s="8" t="s">
        <v>118</v>
      </c>
      <c r="C598" s="18">
        <v>42929</v>
      </c>
      <c r="D598" s="3" t="s">
        <v>18</v>
      </c>
      <c r="E598" s="9">
        <v>0.35416666666666702</v>
      </c>
      <c r="F598" s="9">
        <v>0.72916666666666696</v>
      </c>
      <c r="G598" s="6">
        <v>0</v>
      </c>
      <c r="H598" s="6">
        <v>7.9999999999999982</v>
      </c>
      <c r="I598" s="6">
        <v>7.9999999999999982</v>
      </c>
      <c r="J598" s="50" t="s">
        <v>9</v>
      </c>
      <c r="K598" s="50" t="s">
        <v>230</v>
      </c>
      <c r="L598" s="58" t="str">
        <f t="shared" si="18"/>
        <v/>
      </c>
      <c r="M598" s="8" t="str">
        <f t="shared" si="19"/>
        <v>Jul_2017</v>
      </c>
    </row>
    <row r="599" spans="1:13" ht="15.75" x14ac:dyDescent="0.25">
      <c r="A599" s="2" t="s">
        <v>117</v>
      </c>
      <c r="B599" s="8" t="s">
        <v>118</v>
      </c>
      <c r="C599" s="18">
        <v>42930</v>
      </c>
      <c r="D599" s="3" t="s">
        <v>17</v>
      </c>
      <c r="E599" s="9">
        <v>0.35416666666666702</v>
      </c>
      <c r="F599" s="9">
        <v>0.72916666666666696</v>
      </c>
      <c r="G599" s="6">
        <v>0</v>
      </c>
      <c r="H599" s="6">
        <v>7.9999999999999982</v>
      </c>
      <c r="I599" s="6">
        <v>7.9999999999999982</v>
      </c>
      <c r="J599" s="50" t="s">
        <v>9</v>
      </c>
      <c r="K599" s="50" t="s">
        <v>231</v>
      </c>
      <c r="L599" s="58" t="str">
        <f t="shared" si="18"/>
        <v/>
      </c>
      <c r="M599" s="8" t="str">
        <f t="shared" si="19"/>
        <v>Jul_2017</v>
      </c>
    </row>
    <row r="600" spans="1:13" ht="15.75" x14ac:dyDescent="0.25">
      <c r="A600" s="2" t="s">
        <v>0</v>
      </c>
      <c r="B600" s="8" t="s">
        <v>10</v>
      </c>
      <c r="C600" s="18">
        <v>42933</v>
      </c>
      <c r="D600" s="3" t="s">
        <v>21</v>
      </c>
      <c r="E600" s="9">
        <v>0.72916666666666696</v>
      </c>
      <c r="F600" s="9">
        <v>0.84375</v>
      </c>
      <c r="G600" s="6">
        <v>8.0000000000000036</v>
      </c>
      <c r="H600" s="6">
        <v>2.7499999999999876</v>
      </c>
      <c r="I600" s="6">
        <v>2.7499999999999876</v>
      </c>
      <c r="J600" s="50" t="s">
        <v>9</v>
      </c>
      <c r="K600" s="50" t="s">
        <v>83</v>
      </c>
      <c r="L600" s="58">
        <f t="shared" si="18"/>
        <v>1</v>
      </c>
      <c r="M600" s="8" t="str">
        <f t="shared" si="19"/>
        <v>Jul_2017</v>
      </c>
    </row>
    <row r="601" spans="1:13" ht="15.75" x14ac:dyDescent="0.25">
      <c r="A601" s="2" t="s">
        <v>0</v>
      </c>
      <c r="B601" s="8" t="s">
        <v>12</v>
      </c>
      <c r="C601" s="18">
        <v>42933</v>
      </c>
      <c r="D601" s="3" t="s">
        <v>21</v>
      </c>
      <c r="E601" s="9">
        <v>0.72916666666666696</v>
      </c>
      <c r="F601" s="9">
        <v>0.84375</v>
      </c>
      <c r="G601" s="6">
        <v>8.0000000000000036</v>
      </c>
      <c r="H601" s="6">
        <v>2.7499999999999876</v>
      </c>
      <c r="I601" s="6">
        <v>2.7499999999999876</v>
      </c>
      <c r="J601" s="50" t="s">
        <v>9</v>
      </c>
      <c r="K601" s="50" t="s">
        <v>83</v>
      </c>
      <c r="L601" s="58">
        <f t="shared" si="18"/>
        <v>1</v>
      </c>
      <c r="M601" s="8" t="str">
        <f t="shared" si="19"/>
        <v>Jul_2017</v>
      </c>
    </row>
    <row r="602" spans="1:13" ht="15.75" x14ac:dyDescent="0.25">
      <c r="A602" s="2" t="s">
        <v>0</v>
      </c>
      <c r="B602" s="8" t="s">
        <v>34</v>
      </c>
      <c r="C602" s="18">
        <v>42933</v>
      </c>
      <c r="D602" s="3" t="s">
        <v>21</v>
      </c>
      <c r="E602" s="9">
        <v>0.72916666666666696</v>
      </c>
      <c r="F602" s="9">
        <v>0.84375</v>
      </c>
      <c r="G602" s="6">
        <v>8.0000000000000036</v>
      </c>
      <c r="H602" s="6">
        <v>2.7499999999999876</v>
      </c>
      <c r="I602" s="6">
        <v>2.7499999999999876</v>
      </c>
      <c r="J602" s="50" t="s">
        <v>9</v>
      </c>
      <c r="K602" s="50" t="s">
        <v>83</v>
      </c>
      <c r="L602" s="58">
        <f t="shared" si="18"/>
        <v>1</v>
      </c>
      <c r="M602" s="8" t="str">
        <f t="shared" si="19"/>
        <v>Jul_2017</v>
      </c>
    </row>
    <row r="603" spans="1:13" ht="15.75" x14ac:dyDescent="0.25">
      <c r="A603" s="2" t="s">
        <v>0</v>
      </c>
      <c r="B603" s="8" t="s">
        <v>69</v>
      </c>
      <c r="C603" s="18">
        <v>42933</v>
      </c>
      <c r="D603" s="3" t="s">
        <v>21</v>
      </c>
      <c r="E603" s="9">
        <v>0.72916666666666696</v>
      </c>
      <c r="F603" s="9">
        <v>0.84375</v>
      </c>
      <c r="G603" s="6">
        <v>8.0000000000000036</v>
      </c>
      <c r="H603" s="6">
        <v>2.7499999999999876</v>
      </c>
      <c r="I603" s="6">
        <v>2.7499999999999876</v>
      </c>
      <c r="J603" s="49" t="s">
        <v>9</v>
      </c>
      <c r="K603" s="50" t="s">
        <v>83</v>
      </c>
      <c r="L603" s="58">
        <f t="shared" si="18"/>
        <v>1</v>
      </c>
      <c r="M603" s="8" t="str">
        <f t="shared" si="19"/>
        <v>Jul_2017</v>
      </c>
    </row>
    <row r="604" spans="1:13" ht="15.75" x14ac:dyDescent="0.25">
      <c r="A604" s="2" t="s">
        <v>117</v>
      </c>
      <c r="B604" s="8" t="s">
        <v>118</v>
      </c>
      <c r="C604" s="18">
        <v>42933</v>
      </c>
      <c r="D604" s="3" t="s">
        <v>21</v>
      </c>
      <c r="E604" s="9">
        <v>0.35416666666666702</v>
      </c>
      <c r="F604" s="9">
        <v>0.84375</v>
      </c>
      <c r="G604" s="6">
        <v>0</v>
      </c>
      <c r="H604" s="6">
        <v>10.749999999999991</v>
      </c>
      <c r="I604" s="6">
        <v>10.749999999999991</v>
      </c>
      <c r="J604" s="50" t="s">
        <v>9</v>
      </c>
      <c r="K604" s="50" t="s">
        <v>83</v>
      </c>
      <c r="L604" s="58" t="str">
        <f t="shared" si="18"/>
        <v/>
      </c>
      <c r="M604" s="8" t="str">
        <f t="shared" si="19"/>
        <v>Jul_2017</v>
      </c>
    </row>
    <row r="605" spans="1:13" ht="15.75" x14ac:dyDescent="0.25">
      <c r="A605" s="2" t="s">
        <v>0</v>
      </c>
      <c r="B605" s="8" t="s">
        <v>77</v>
      </c>
      <c r="C605" s="18">
        <v>42933</v>
      </c>
      <c r="D605" s="3" t="s">
        <v>21</v>
      </c>
      <c r="E605" s="9">
        <v>0.72916666666666696</v>
      </c>
      <c r="F605" s="9">
        <v>0.84375</v>
      </c>
      <c r="G605" s="6">
        <v>8.0000000000000036</v>
      </c>
      <c r="H605" s="6">
        <v>2.7499999999999876</v>
      </c>
      <c r="I605" s="6">
        <v>2.7499999999999876</v>
      </c>
      <c r="J605" s="50" t="s">
        <v>9</v>
      </c>
      <c r="K605" s="50" t="s">
        <v>83</v>
      </c>
      <c r="L605" s="58">
        <f t="shared" si="18"/>
        <v>1</v>
      </c>
      <c r="M605" s="8" t="str">
        <f t="shared" si="19"/>
        <v>Jul_2017</v>
      </c>
    </row>
    <row r="606" spans="1:13" ht="15.75" x14ac:dyDescent="0.25">
      <c r="A606" s="2" t="s">
        <v>117</v>
      </c>
      <c r="B606" s="8" t="s">
        <v>118</v>
      </c>
      <c r="C606" s="18">
        <v>42934</v>
      </c>
      <c r="D606" s="3" t="s">
        <v>16</v>
      </c>
      <c r="E606" s="9">
        <v>0.35416666666666702</v>
      </c>
      <c r="F606" s="9">
        <v>0.72916666666666696</v>
      </c>
      <c r="G606" s="6">
        <v>0</v>
      </c>
      <c r="H606" s="6">
        <v>7.9999999999999982</v>
      </c>
      <c r="I606" s="6">
        <v>7.9999999999999982</v>
      </c>
      <c r="J606" s="50" t="s">
        <v>9</v>
      </c>
      <c r="K606" s="50" t="s">
        <v>232</v>
      </c>
      <c r="L606" s="58" t="str">
        <f t="shared" si="18"/>
        <v/>
      </c>
      <c r="M606" s="8" t="str">
        <f t="shared" si="19"/>
        <v>Jul_2017</v>
      </c>
    </row>
    <row r="607" spans="1:13" ht="15.75" x14ac:dyDescent="0.25">
      <c r="A607" s="2" t="s">
        <v>117</v>
      </c>
      <c r="B607" s="8" t="s">
        <v>118</v>
      </c>
      <c r="C607" s="18">
        <v>42935</v>
      </c>
      <c r="D607" s="3" t="s">
        <v>19</v>
      </c>
      <c r="E607" s="9">
        <v>0.35416666666666702</v>
      </c>
      <c r="F607" s="9">
        <v>0.72916666666666696</v>
      </c>
      <c r="G607" s="6">
        <v>0</v>
      </c>
      <c r="H607" s="6">
        <v>7.9999999999999982</v>
      </c>
      <c r="I607" s="6">
        <v>7.9999999999999982</v>
      </c>
      <c r="J607" s="49" t="s">
        <v>9</v>
      </c>
      <c r="K607" s="50" t="s">
        <v>233</v>
      </c>
      <c r="L607" s="58" t="str">
        <f t="shared" si="18"/>
        <v/>
      </c>
      <c r="M607" s="8" t="str">
        <f t="shared" si="19"/>
        <v>Jul_2017</v>
      </c>
    </row>
    <row r="608" spans="1:13" ht="15.75" x14ac:dyDescent="0.25">
      <c r="A608" s="2" t="s">
        <v>117</v>
      </c>
      <c r="B608" s="8" t="s">
        <v>118</v>
      </c>
      <c r="C608" s="18">
        <v>42936</v>
      </c>
      <c r="D608" s="3" t="s">
        <v>18</v>
      </c>
      <c r="E608" s="9">
        <v>0.35416666666666702</v>
      </c>
      <c r="F608" s="9">
        <v>0.72916666666666696</v>
      </c>
      <c r="G608" s="6">
        <v>0</v>
      </c>
      <c r="H608" s="6">
        <v>7.9999999999999982</v>
      </c>
      <c r="I608" s="6">
        <v>7.9999999999999982</v>
      </c>
      <c r="J608" s="50" t="s">
        <v>9</v>
      </c>
      <c r="K608" s="50" t="s">
        <v>234</v>
      </c>
      <c r="L608" s="58" t="str">
        <f t="shared" si="18"/>
        <v/>
      </c>
      <c r="M608" s="8" t="str">
        <f t="shared" si="19"/>
        <v>Jul_2017</v>
      </c>
    </row>
    <row r="609" spans="1:13" ht="15.75" x14ac:dyDescent="0.25">
      <c r="A609" s="2" t="s">
        <v>117</v>
      </c>
      <c r="B609" s="8" t="s">
        <v>118</v>
      </c>
      <c r="C609" s="18">
        <v>42937</v>
      </c>
      <c r="D609" s="3" t="s">
        <v>17</v>
      </c>
      <c r="E609" s="9">
        <v>0.35416666666666702</v>
      </c>
      <c r="F609" s="9">
        <v>0.72916666666666696</v>
      </c>
      <c r="G609" s="6">
        <v>0</v>
      </c>
      <c r="H609" s="6">
        <v>7.9999999999999982</v>
      </c>
      <c r="I609" s="6">
        <v>7.9999999999999982</v>
      </c>
      <c r="J609" s="50" t="s">
        <v>9</v>
      </c>
      <c r="K609" s="50" t="s">
        <v>235</v>
      </c>
      <c r="L609" s="58" t="str">
        <f t="shared" si="18"/>
        <v/>
      </c>
      <c r="M609" s="8" t="str">
        <f t="shared" si="19"/>
        <v>Jul_2017</v>
      </c>
    </row>
    <row r="610" spans="1:13" ht="15.75" x14ac:dyDescent="0.25">
      <c r="A610" s="2" t="s">
        <v>117</v>
      </c>
      <c r="B610" s="8" t="s">
        <v>118</v>
      </c>
      <c r="C610" s="18">
        <v>42940</v>
      </c>
      <c r="D610" s="3" t="s">
        <v>21</v>
      </c>
      <c r="E610" s="9">
        <v>0.35416666666666702</v>
      </c>
      <c r="F610" s="9">
        <v>0.72916666666666696</v>
      </c>
      <c r="G610" s="6">
        <v>0</v>
      </c>
      <c r="H610" s="6">
        <v>7.9999999999999982</v>
      </c>
      <c r="I610" s="6">
        <v>7.9999999999999982</v>
      </c>
      <c r="J610" s="50" t="s">
        <v>9</v>
      </c>
      <c r="K610" s="50" t="s">
        <v>236</v>
      </c>
      <c r="L610" s="58" t="str">
        <f t="shared" si="18"/>
        <v/>
      </c>
      <c r="M610" s="8" t="str">
        <f t="shared" si="19"/>
        <v>Jul_2017</v>
      </c>
    </row>
    <row r="611" spans="1:13" ht="15.75" x14ac:dyDescent="0.25">
      <c r="A611" s="2" t="s">
        <v>0</v>
      </c>
      <c r="B611" s="8" t="s">
        <v>10</v>
      </c>
      <c r="C611" s="18">
        <v>42941</v>
      </c>
      <c r="D611" s="3" t="s">
        <v>16</v>
      </c>
      <c r="E611" s="9">
        <v>0.72916666666666696</v>
      </c>
      <c r="F611" s="9">
        <v>0.875</v>
      </c>
      <c r="G611" s="6">
        <v>8.0000000000000036</v>
      </c>
      <c r="H611" s="6">
        <v>3.4999999999999893</v>
      </c>
      <c r="I611" s="6">
        <v>3.4999999999999893</v>
      </c>
      <c r="J611" s="50" t="s">
        <v>9</v>
      </c>
      <c r="K611" s="50" t="s">
        <v>84</v>
      </c>
      <c r="L611" s="58">
        <f t="shared" si="18"/>
        <v>1</v>
      </c>
      <c r="M611" s="8" t="str">
        <f t="shared" si="19"/>
        <v>Jul_2017</v>
      </c>
    </row>
    <row r="612" spans="1:13" ht="15.75" x14ac:dyDescent="0.25">
      <c r="A612" s="2" t="s">
        <v>0</v>
      </c>
      <c r="B612" s="8" t="s">
        <v>12</v>
      </c>
      <c r="C612" s="18">
        <v>42941</v>
      </c>
      <c r="D612" s="3" t="s">
        <v>16</v>
      </c>
      <c r="E612" s="9">
        <v>0.72916666666666696</v>
      </c>
      <c r="F612" s="9">
        <v>0.875</v>
      </c>
      <c r="G612" s="6">
        <v>8.0000000000000036</v>
      </c>
      <c r="H612" s="6">
        <v>3.4999999999999893</v>
      </c>
      <c r="I612" s="6">
        <v>3.4999999999999893</v>
      </c>
      <c r="J612" s="50" t="s">
        <v>9</v>
      </c>
      <c r="K612" s="50" t="s">
        <v>84</v>
      </c>
      <c r="L612" s="58">
        <f t="shared" si="18"/>
        <v>1</v>
      </c>
      <c r="M612" s="8" t="str">
        <f t="shared" si="19"/>
        <v>Jul_2017</v>
      </c>
    </row>
    <row r="613" spans="1:13" ht="15.75" x14ac:dyDescent="0.25">
      <c r="A613" s="2" t="s">
        <v>0</v>
      </c>
      <c r="B613" s="8" t="s">
        <v>34</v>
      </c>
      <c r="C613" s="18">
        <v>42941</v>
      </c>
      <c r="D613" s="3" t="s">
        <v>16</v>
      </c>
      <c r="E613" s="9">
        <v>0.72916666666666696</v>
      </c>
      <c r="F613" s="9">
        <v>0.875</v>
      </c>
      <c r="G613" s="6">
        <v>8.0000000000000036</v>
      </c>
      <c r="H613" s="6">
        <v>3.4999999999999893</v>
      </c>
      <c r="I613" s="6">
        <v>3.4999999999999893</v>
      </c>
      <c r="J613" s="50" t="s">
        <v>9</v>
      </c>
      <c r="K613" s="50" t="s">
        <v>84</v>
      </c>
      <c r="L613" s="58">
        <f t="shared" si="18"/>
        <v>1</v>
      </c>
      <c r="M613" s="8" t="str">
        <f t="shared" si="19"/>
        <v>Jul_2017</v>
      </c>
    </row>
    <row r="614" spans="1:13" ht="15.75" x14ac:dyDescent="0.25">
      <c r="A614" s="2" t="s">
        <v>0</v>
      </c>
      <c r="B614" s="8" t="s">
        <v>68</v>
      </c>
      <c r="C614" s="18">
        <v>42941</v>
      </c>
      <c r="D614" s="3" t="s">
        <v>16</v>
      </c>
      <c r="E614" s="9">
        <v>0.72916666666666696</v>
      </c>
      <c r="F614" s="9">
        <v>0.875</v>
      </c>
      <c r="G614" s="6">
        <v>8.0000000000000036</v>
      </c>
      <c r="H614" s="6">
        <v>3.4999999999999893</v>
      </c>
      <c r="I614" s="6">
        <v>3.4999999999999893</v>
      </c>
      <c r="J614" s="50" t="s">
        <v>9</v>
      </c>
      <c r="K614" s="50" t="s">
        <v>84</v>
      </c>
      <c r="L614" s="58">
        <f t="shared" si="18"/>
        <v>1</v>
      </c>
      <c r="M614" s="8" t="str">
        <f t="shared" si="19"/>
        <v>Jul_2017</v>
      </c>
    </row>
    <row r="615" spans="1:13" ht="15.75" x14ac:dyDescent="0.25">
      <c r="A615" s="2" t="s">
        <v>0</v>
      </c>
      <c r="B615" s="8" t="s">
        <v>69</v>
      </c>
      <c r="C615" s="18">
        <v>42941</v>
      </c>
      <c r="D615" s="3" t="s">
        <v>16</v>
      </c>
      <c r="E615" s="9">
        <v>0.72916666666666696</v>
      </c>
      <c r="F615" s="9">
        <v>0.875</v>
      </c>
      <c r="G615" s="6">
        <v>8.0000000000000036</v>
      </c>
      <c r="H615" s="6">
        <v>3.4999999999999893</v>
      </c>
      <c r="I615" s="6">
        <v>3.4999999999999893</v>
      </c>
      <c r="J615" s="49" t="s">
        <v>9</v>
      </c>
      <c r="K615" s="50" t="s">
        <v>84</v>
      </c>
      <c r="L615" s="58">
        <f t="shared" si="18"/>
        <v>1</v>
      </c>
      <c r="M615" s="8" t="str">
        <f t="shared" si="19"/>
        <v>Jul_2017</v>
      </c>
    </row>
    <row r="616" spans="1:13" ht="15.75" x14ac:dyDescent="0.25">
      <c r="A616" s="2" t="s">
        <v>117</v>
      </c>
      <c r="B616" s="8" t="s">
        <v>118</v>
      </c>
      <c r="C616" s="18">
        <v>42941</v>
      </c>
      <c r="D616" s="3" t="s">
        <v>16</v>
      </c>
      <c r="E616" s="9">
        <v>0.35416666666666702</v>
      </c>
      <c r="F616" s="9">
        <v>0.875</v>
      </c>
      <c r="G616" s="6">
        <v>0</v>
      </c>
      <c r="H616" s="6">
        <v>11.499999999999993</v>
      </c>
      <c r="I616" s="6">
        <v>11.499999999999993</v>
      </c>
      <c r="J616" s="50" t="s">
        <v>9</v>
      </c>
      <c r="K616" s="50" t="s">
        <v>84</v>
      </c>
      <c r="L616" s="58" t="str">
        <f t="shared" si="18"/>
        <v/>
      </c>
      <c r="M616" s="8" t="str">
        <f t="shared" si="19"/>
        <v>Jul_2017</v>
      </c>
    </row>
    <row r="617" spans="1:13" ht="15.75" x14ac:dyDescent="0.25">
      <c r="A617" s="2" t="s">
        <v>0</v>
      </c>
      <c r="B617" s="8" t="s">
        <v>77</v>
      </c>
      <c r="C617" s="18">
        <v>42941</v>
      </c>
      <c r="D617" s="3" t="s">
        <v>16</v>
      </c>
      <c r="E617" s="9">
        <v>0.72916666666666696</v>
      </c>
      <c r="F617" s="9">
        <v>0.875</v>
      </c>
      <c r="G617" s="6">
        <v>8.0000000000000036</v>
      </c>
      <c r="H617" s="6">
        <v>3.4999999999999893</v>
      </c>
      <c r="I617" s="6">
        <v>3.4999999999999893</v>
      </c>
      <c r="J617" s="50" t="s">
        <v>9</v>
      </c>
      <c r="K617" s="50" t="s">
        <v>84</v>
      </c>
      <c r="L617" s="58">
        <f t="shared" si="18"/>
        <v>1</v>
      </c>
      <c r="M617" s="8" t="str">
        <f t="shared" si="19"/>
        <v>Jul_2017</v>
      </c>
    </row>
    <row r="618" spans="1:13" ht="15.75" x14ac:dyDescent="0.25">
      <c r="A618" s="2" t="s">
        <v>117</v>
      </c>
      <c r="B618" s="8" t="s">
        <v>177</v>
      </c>
      <c r="C618" s="18">
        <v>42941</v>
      </c>
      <c r="D618" s="3" t="s">
        <v>16</v>
      </c>
      <c r="E618" s="9">
        <v>0.52083333333333304</v>
      </c>
      <c r="F618" s="9">
        <v>0.875</v>
      </c>
      <c r="G618" s="6">
        <v>0</v>
      </c>
      <c r="H618" s="6">
        <v>7.5000000000000071</v>
      </c>
      <c r="I618" s="6">
        <v>7.5000000000000071</v>
      </c>
      <c r="J618" s="50" t="s">
        <v>9</v>
      </c>
      <c r="K618" s="50" t="s">
        <v>84</v>
      </c>
      <c r="L618" s="58" t="str">
        <f t="shared" si="18"/>
        <v/>
      </c>
      <c r="M618" s="8" t="str">
        <f t="shared" si="19"/>
        <v>Jul_2017</v>
      </c>
    </row>
    <row r="619" spans="1:13" ht="15.75" x14ac:dyDescent="0.25">
      <c r="A619" s="2" t="s">
        <v>0</v>
      </c>
      <c r="B619" s="8" t="s">
        <v>10</v>
      </c>
      <c r="C619" s="18">
        <v>42942</v>
      </c>
      <c r="D619" s="3" t="s">
        <v>19</v>
      </c>
      <c r="E619" s="9">
        <v>0.70833333333333304</v>
      </c>
      <c r="F619" s="9">
        <v>0.875</v>
      </c>
      <c r="G619" s="6">
        <v>8.0000000000000036</v>
      </c>
      <c r="H619" s="6">
        <v>4.0000000000000036</v>
      </c>
      <c r="I619" s="6">
        <v>4.0000000000000036</v>
      </c>
      <c r="J619" s="49" t="s">
        <v>9</v>
      </c>
      <c r="K619" s="50" t="s">
        <v>85</v>
      </c>
      <c r="L619" s="58">
        <f t="shared" si="18"/>
        <v>1</v>
      </c>
      <c r="M619" s="8" t="str">
        <f t="shared" si="19"/>
        <v>Jul_2017</v>
      </c>
    </row>
    <row r="620" spans="1:13" ht="15.75" x14ac:dyDescent="0.25">
      <c r="A620" s="2" t="s">
        <v>0</v>
      </c>
      <c r="B620" s="8" t="s">
        <v>12</v>
      </c>
      <c r="C620" s="18">
        <v>42942</v>
      </c>
      <c r="D620" s="3" t="s">
        <v>19</v>
      </c>
      <c r="E620" s="9">
        <v>0.70833333333333304</v>
      </c>
      <c r="F620" s="9">
        <v>0.875</v>
      </c>
      <c r="G620" s="6">
        <v>8.0000000000000036</v>
      </c>
      <c r="H620" s="6">
        <v>4.0000000000000036</v>
      </c>
      <c r="I620" s="6">
        <v>4.0000000000000036</v>
      </c>
      <c r="J620" s="50" t="s">
        <v>9</v>
      </c>
      <c r="K620" s="50" t="s">
        <v>85</v>
      </c>
      <c r="L620" s="58">
        <f t="shared" si="18"/>
        <v>1</v>
      </c>
      <c r="M620" s="8" t="str">
        <f t="shared" si="19"/>
        <v>Jul_2017</v>
      </c>
    </row>
    <row r="621" spans="1:13" ht="15.75" x14ac:dyDescent="0.25">
      <c r="A621" s="2" t="s">
        <v>0</v>
      </c>
      <c r="B621" s="8" t="s">
        <v>34</v>
      </c>
      <c r="C621" s="18">
        <v>42942</v>
      </c>
      <c r="D621" s="3" t="s">
        <v>19</v>
      </c>
      <c r="E621" s="9">
        <v>0.70833333333333304</v>
      </c>
      <c r="F621" s="9">
        <v>0.875</v>
      </c>
      <c r="G621" s="6">
        <v>8.0000000000000036</v>
      </c>
      <c r="H621" s="6">
        <v>4.0000000000000036</v>
      </c>
      <c r="I621" s="6">
        <v>4.0000000000000036</v>
      </c>
      <c r="J621" s="49" t="s">
        <v>9</v>
      </c>
      <c r="K621" s="50" t="s">
        <v>85</v>
      </c>
      <c r="L621" s="58">
        <f t="shared" si="18"/>
        <v>1</v>
      </c>
      <c r="M621" s="8" t="str">
        <f t="shared" si="19"/>
        <v>Jul_2017</v>
      </c>
    </row>
    <row r="622" spans="1:13" ht="15.75" x14ac:dyDescent="0.25">
      <c r="A622" s="2" t="s">
        <v>0</v>
      </c>
      <c r="B622" s="8" t="s">
        <v>68</v>
      </c>
      <c r="C622" s="18">
        <v>42942</v>
      </c>
      <c r="D622" s="3" t="s">
        <v>19</v>
      </c>
      <c r="E622" s="9">
        <v>0.70833333333333304</v>
      </c>
      <c r="F622" s="9">
        <v>0.72916666666666696</v>
      </c>
      <c r="G622" s="6">
        <v>8.0000000000000036</v>
      </c>
      <c r="H622" s="6">
        <v>0.50000000000001243</v>
      </c>
      <c r="I622" s="6">
        <v>0.50000000000001243</v>
      </c>
      <c r="J622" s="49" t="s">
        <v>9</v>
      </c>
      <c r="K622" s="50" t="s">
        <v>85</v>
      </c>
      <c r="L622" s="58" t="str">
        <f t="shared" si="18"/>
        <v/>
      </c>
      <c r="M622" s="8" t="str">
        <f t="shared" si="19"/>
        <v>Jul_2017</v>
      </c>
    </row>
    <row r="623" spans="1:13" ht="15.75" x14ac:dyDescent="0.25">
      <c r="A623" s="2" t="s">
        <v>0</v>
      </c>
      <c r="B623" s="8" t="s">
        <v>69</v>
      </c>
      <c r="C623" s="18">
        <v>42942</v>
      </c>
      <c r="D623" s="3" t="s">
        <v>19</v>
      </c>
      <c r="E623" s="9">
        <v>0.70833333333333304</v>
      </c>
      <c r="F623" s="9">
        <v>0.875</v>
      </c>
      <c r="G623" s="6">
        <v>8.0000000000000036</v>
      </c>
      <c r="H623" s="6">
        <v>4.0000000000000036</v>
      </c>
      <c r="I623" s="6">
        <v>4.0000000000000036</v>
      </c>
      <c r="J623" s="49" t="s">
        <v>9</v>
      </c>
      <c r="K623" s="50" t="s">
        <v>85</v>
      </c>
      <c r="L623" s="58">
        <f t="shared" si="18"/>
        <v>1</v>
      </c>
      <c r="M623" s="8" t="str">
        <f t="shared" si="19"/>
        <v>Jul_2017</v>
      </c>
    </row>
    <row r="624" spans="1:13" ht="15.75" x14ac:dyDescent="0.25">
      <c r="A624" s="2" t="s">
        <v>117</v>
      </c>
      <c r="B624" s="8" t="s">
        <v>118</v>
      </c>
      <c r="C624" s="18">
        <v>42942</v>
      </c>
      <c r="D624" s="3" t="s">
        <v>19</v>
      </c>
      <c r="E624" s="9">
        <v>0.33333333333333298</v>
      </c>
      <c r="F624" s="9">
        <v>0.875</v>
      </c>
      <c r="G624" s="6">
        <v>0</v>
      </c>
      <c r="H624" s="6">
        <v>12.000000000000007</v>
      </c>
      <c r="I624" s="6">
        <v>12.000000000000007</v>
      </c>
      <c r="J624" s="50" t="s">
        <v>9</v>
      </c>
      <c r="K624" s="50" t="s">
        <v>85</v>
      </c>
      <c r="L624" s="58" t="str">
        <f t="shared" si="18"/>
        <v/>
      </c>
      <c r="M624" s="8" t="str">
        <f t="shared" si="19"/>
        <v>Jul_2017</v>
      </c>
    </row>
    <row r="625" spans="1:13" ht="15.75" x14ac:dyDescent="0.25">
      <c r="A625" s="2" t="s">
        <v>0</v>
      </c>
      <c r="B625" s="8" t="s">
        <v>77</v>
      </c>
      <c r="C625" s="18">
        <v>42942</v>
      </c>
      <c r="D625" s="3" t="s">
        <v>19</v>
      </c>
      <c r="E625" s="9">
        <v>0.70833333333333304</v>
      </c>
      <c r="F625" s="9">
        <v>0.875</v>
      </c>
      <c r="G625" s="6">
        <v>8.0000000000000036</v>
      </c>
      <c r="H625" s="6">
        <v>4.0000000000000036</v>
      </c>
      <c r="I625" s="6">
        <v>4.0000000000000036</v>
      </c>
      <c r="J625" s="49" t="s">
        <v>9</v>
      </c>
      <c r="K625" s="50" t="s">
        <v>85</v>
      </c>
      <c r="L625" s="58">
        <f t="shared" si="18"/>
        <v>1</v>
      </c>
      <c r="M625" s="8" t="str">
        <f t="shared" si="19"/>
        <v>Jul_2017</v>
      </c>
    </row>
    <row r="626" spans="1:13" ht="15.75" x14ac:dyDescent="0.25">
      <c r="A626" s="2" t="s">
        <v>117</v>
      </c>
      <c r="B626" s="8" t="s">
        <v>177</v>
      </c>
      <c r="C626" s="18">
        <v>42942</v>
      </c>
      <c r="D626" s="3" t="s">
        <v>19</v>
      </c>
      <c r="E626" s="9">
        <v>0.52083333333333304</v>
      </c>
      <c r="F626" s="9">
        <v>0.875</v>
      </c>
      <c r="G626" s="6">
        <v>0</v>
      </c>
      <c r="H626" s="6">
        <v>7.5000000000000071</v>
      </c>
      <c r="I626" s="6">
        <v>7.5000000000000071</v>
      </c>
      <c r="J626" s="50" t="s">
        <v>9</v>
      </c>
      <c r="K626" s="50" t="s">
        <v>85</v>
      </c>
      <c r="L626" s="58" t="str">
        <f t="shared" si="18"/>
        <v/>
      </c>
      <c r="M626" s="8" t="str">
        <f t="shared" si="19"/>
        <v>Jul_2017</v>
      </c>
    </row>
    <row r="627" spans="1:13" ht="15.75" x14ac:dyDescent="0.25">
      <c r="A627" s="2" t="s">
        <v>0</v>
      </c>
      <c r="B627" s="8" t="s">
        <v>10</v>
      </c>
      <c r="C627" s="18">
        <v>42943</v>
      </c>
      <c r="D627" s="3" t="s">
        <v>18</v>
      </c>
      <c r="E627" s="9">
        <v>0.75</v>
      </c>
      <c r="F627" s="9">
        <v>0.875</v>
      </c>
      <c r="G627" s="6">
        <v>8.0000000000000036</v>
      </c>
      <c r="H627" s="6">
        <v>2.9999999999999964</v>
      </c>
      <c r="I627" s="6">
        <v>2.9999999999999964</v>
      </c>
      <c r="J627" s="49" t="s">
        <v>9</v>
      </c>
      <c r="K627" s="50" t="s">
        <v>86</v>
      </c>
      <c r="L627" s="58">
        <f t="shared" si="18"/>
        <v>1</v>
      </c>
      <c r="M627" s="8" t="str">
        <f t="shared" si="19"/>
        <v>Jul_2017</v>
      </c>
    </row>
    <row r="628" spans="1:13" ht="15.75" x14ac:dyDescent="0.25">
      <c r="A628" s="2" t="s">
        <v>0</v>
      </c>
      <c r="B628" s="8" t="s">
        <v>12</v>
      </c>
      <c r="C628" s="18">
        <v>42943</v>
      </c>
      <c r="D628" s="3" t="s">
        <v>18</v>
      </c>
      <c r="E628" s="9">
        <v>0.70833333333333304</v>
      </c>
      <c r="F628" s="9">
        <v>0.875</v>
      </c>
      <c r="G628" s="6">
        <v>8.0000000000000036</v>
      </c>
      <c r="H628" s="6">
        <v>4.0000000000000036</v>
      </c>
      <c r="I628" s="6">
        <v>4.0000000000000036</v>
      </c>
      <c r="J628" s="49" t="s">
        <v>9</v>
      </c>
      <c r="K628" s="50" t="s">
        <v>86</v>
      </c>
      <c r="L628" s="58">
        <f t="shared" si="18"/>
        <v>1</v>
      </c>
      <c r="M628" s="8" t="str">
        <f t="shared" si="19"/>
        <v>Jul_2017</v>
      </c>
    </row>
    <row r="629" spans="1:13" ht="15.75" x14ac:dyDescent="0.25">
      <c r="A629" s="2" t="s">
        <v>0</v>
      </c>
      <c r="B629" s="8" t="s">
        <v>34</v>
      </c>
      <c r="C629" s="18">
        <v>42943</v>
      </c>
      <c r="D629" s="3" t="s">
        <v>18</v>
      </c>
      <c r="E629" s="9">
        <v>0.72916666666666696</v>
      </c>
      <c r="F629" s="9">
        <v>0.875</v>
      </c>
      <c r="G629" s="6">
        <v>8.0000000000000036</v>
      </c>
      <c r="H629" s="6">
        <v>3.4999999999999893</v>
      </c>
      <c r="I629" s="6">
        <v>3.4999999999999893</v>
      </c>
      <c r="J629" s="50" t="s">
        <v>9</v>
      </c>
      <c r="K629" s="50" t="s">
        <v>86</v>
      </c>
      <c r="L629" s="58">
        <f t="shared" si="18"/>
        <v>1</v>
      </c>
      <c r="M629" s="8" t="str">
        <f t="shared" si="19"/>
        <v>Jul_2017</v>
      </c>
    </row>
    <row r="630" spans="1:13" ht="15.75" x14ac:dyDescent="0.25">
      <c r="A630" s="2" t="s">
        <v>0</v>
      </c>
      <c r="B630" s="8" t="s">
        <v>68</v>
      </c>
      <c r="C630" s="18">
        <v>42943</v>
      </c>
      <c r="D630" s="3" t="s">
        <v>18</v>
      </c>
      <c r="E630" s="9">
        <v>0.72916666666666696</v>
      </c>
      <c r="F630" s="9">
        <v>0.875</v>
      </c>
      <c r="G630" s="6">
        <v>8.0000000000000036</v>
      </c>
      <c r="H630" s="6">
        <v>3.4999999999999893</v>
      </c>
      <c r="I630" s="6">
        <v>3.4999999999999893</v>
      </c>
      <c r="J630" s="49" t="s">
        <v>9</v>
      </c>
      <c r="K630" s="50" t="s">
        <v>86</v>
      </c>
      <c r="L630" s="58">
        <f t="shared" si="18"/>
        <v>1</v>
      </c>
      <c r="M630" s="8" t="str">
        <f t="shared" si="19"/>
        <v>Jul_2017</v>
      </c>
    </row>
    <row r="631" spans="1:13" ht="15.75" x14ac:dyDescent="0.25">
      <c r="A631" s="2" t="s">
        <v>0</v>
      </c>
      <c r="B631" s="8" t="s">
        <v>69</v>
      </c>
      <c r="C631" s="18">
        <v>42943</v>
      </c>
      <c r="D631" s="3" t="s">
        <v>18</v>
      </c>
      <c r="E631" s="9">
        <v>0.72916666666666696</v>
      </c>
      <c r="F631" s="9">
        <v>0.875</v>
      </c>
      <c r="G631" s="6">
        <v>8.0000000000000036</v>
      </c>
      <c r="H631" s="6">
        <v>3.4999999999999893</v>
      </c>
      <c r="I631" s="6">
        <v>3.4999999999999893</v>
      </c>
      <c r="J631" s="49" t="s">
        <v>9</v>
      </c>
      <c r="K631" s="50" t="s">
        <v>86</v>
      </c>
      <c r="L631" s="58">
        <f t="shared" si="18"/>
        <v>1</v>
      </c>
      <c r="M631" s="8" t="str">
        <f t="shared" si="19"/>
        <v>Jul_2017</v>
      </c>
    </row>
    <row r="632" spans="1:13" ht="15.75" x14ac:dyDescent="0.25">
      <c r="A632" s="2" t="s">
        <v>117</v>
      </c>
      <c r="B632" s="8" t="s">
        <v>118</v>
      </c>
      <c r="C632" s="18">
        <v>42943</v>
      </c>
      <c r="D632" s="3" t="s">
        <v>18</v>
      </c>
      <c r="E632" s="9">
        <v>0.35416666666666702</v>
      </c>
      <c r="F632" s="9">
        <v>0.875</v>
      </c>
      <c r="G632" s="6">
        <v>0</v>
      </c>
      <c r="H632" s="6">
        <v>11.499999999999993</v>
      </c>
      <c r="I632" s="6">
        <v>11.499999999999993</v>
      </c>
      <c r="J632" s="49" t="s">
        <v>9</v>
      </c>
      <c r="K632" s="50" t="s">
        <v>86</v>
      </c>
      <c r="L632" s="58" t="str">
        <f t="shared" si="18"/>
        <v/>
      </c>
      <c r="M632" s="8" t="str">
        <f t="shared" si="19"/>
        <v>Jul_2017</v>
      </c>
    </row>
    <row r="633" spans="1:13" ht="15.75" x14ac:dyDescent="0.25">
      <c r="A633" s="2" t="s">
        <v>0</v>
      </c>
      <c r="B633" s="8" t="s">
        <v>77</v>
      </c>
      <c r="C633" s="18">
        <v>42943</v>
      </c>
      <c r="D633" s="3" t="s">
        <v>18</v>
      </c>
      <c r="E633" s="9">
        <v>0.72916666666666696</v>
      </c>
      <c r="F633" s="9">
        <v>0.875</v>
      </c>
      <c r="G633" s="6">
        <v>8.0000000000000036</v>
      </c>
      <c r="H633" s="6">
        <v>3.4999999999999893</v>
      </c>
      <c r="I633" s="6">
        <v>3.4999999999999893</v>
      </c>
      <c r="J633" s="50" t="s">
        <v>9</v>
      </c>
      <c r="K633" s="50" t="s">
        <v>86</v>
      </c>
      <c r="L633" s="58">
        <f t="shared" si="18"/>
        <v>1</v>
      </c>
      <c r="M633" s="8" t="str">
        <f t="shared" si="19"/>
        <v>Jul_2017</v>
      </c>
    </row>
    <row r="634" spans="1:13" ht="15.75" x14ac:dyDescent="0.25">
      <c r="A634" s="2" t="s">
        <v>117</v>
      </c>
      <c r="B634" s="8" t="s">
        <v>171</v>
      </c>
      <c r="C634" s="18">
        <v>42943</v>
      </c>
      <c r="D634" s="3" t="s">
        <v>18</v>
      </c>
      <c r="E634" s="9">
        <v>0.77083333333333304</v>
      </c>
      <c r="F634" s="9">
        <v>0.875</v>
      </c>
      <c r="G634" s="6">
        <v>0</v>
      </c>
      <c r="H634" s="6">
        <v>2.5000000000000071</v>
      </c>
      <c r="I634" s="6">
        <v>2.5000000000000071</v>
      </c>
      <c r="J634" s="50" t="s">
        <v>9</v>
      </c>
      <c r="K634" s="50" t="s">
        <v>86</v>
      </c>
      <c r="L634" s="58" t="str">
        <f t="shared" si="18"/>
        <v/>
      </c>
      <c r="M634" s="8" t="str">
        <f t="shared" si="19"/>
        <v>Jul_2017</v>
      </c>
    </row>
    <row r="635" spans="1:13" ht="15.75" x14ac:dyDescent="0.25">
      <c r="A635" s="2" t="s">
        <v>117</v>
      </c>
      <c r="B635" s="8" t="s">
        <v>177</v>
      </c>
      <c r="C635" s="18">
        <v>42943</v>
      </c>
      <c r="D635" s="3" t="s">
        <v>18</v>
      </c>
      <c r="E635" s="9">
        <v>0.35416666666666702</v>
      </c>
      <c r="F635" s="9">
        <v>0.875</v>
      </c>
      <c r="G635" s="6">
        <v>0</v>
      </c>
      <c r="H635" s="6">
        <v>11.499999999999993</v>
      </c>
      <c r="I635" s="6">
        <v>11.499999999999993</v>
      </c>
      <c r="J635" s="50" t="s">
        <v>9</v>
      </c>
      <c r="K635" s="50" t="s">
        <v>86</v>
      </c>
      <c r="L635" s="58" t="str">
        <f t="shared" si="18"/>
        <v/>
      </c>
      <c r="M635" s="8" t="str">
        <f t="shared" si="19"/>
        <v>Jul_2017</v>
      </c>
    </row>
    <row r="636" spans="1:13" ht="15.75" x14ac:dyDescent="0.25">
      <c r="A636" s="2" t="s">
        <v>0</v>
      </c>
      <c r="B636" s="8" t="s">
        <v>10</v>
      </c>
      <c r="C636" s="18">
        <v>42944</v>
      </c>
      <c r="D636" s="3" t="s">
        <v>17</v>
      </c>
      <c r="E636" s="9">
        <v>0.75</v>
      </c>
      <c r="F636" s="9">
        <v>0.875</v>
      </c>
      <c r="G636" s="6">
        <v>8.0000000000000036</v>
      </c>
      <c r="H636" s="6">
        <v>2.9999999999999964</v>
      </c>
      <c r="I636" s="6">
        <v>2.9999999999999964</v>
      </c>
      <c r="J636" s="49" t="s">
        <v>9</v>
      </c>
      <c r="K636" s="50" t="s">
        <v>87</v>
      </c>
      <c r="L636" s="58">
        <f t="shared" si="18"/>
        <v>1</v>
      </c>
      <c r="M636" s="8" t="str">
        <f t="shared" si="19"/>
        <v>Jul_2017</v>
      </c>
    </row>
    <row r="637" spans="1:13" ht="15.75" x14ac:dyDescent="0.25">
      <c r="A637" s="2" t="s">
        <v>0</v>
      </c>
      <c r="B637" s="8" t="s">
        <v>12</v>
      </c>
      <c r="C637" s="18">
        <v>42944</v>
      </c>
      <c r="D637" s="3" t="s">
        <v>17</v>
      </c>
      <c r="E637" s="9">
        <v>0.70833333333333304</v>
      </c>
      <c r="F637" s="9">
        <v>0.83333333333333304</v>
      </c>
      <c r="G637" s="6">
        <v>8.0000000000000036</v>
      </c>
      <c r="H637" s="6">
        <v>2.9999999999999964</v>
      </c>
      <c r="I637" s="6">
        <v>2.9999999999999964</v>
      </c>
      <c r="J637" s="49" t="s">
        <v>9</v>
      </c>
      <c r="K637" s="50" t="s">
        <v>87</v>
      </c>
      <c r="L637" s="58">
        <f t="shared" si="18"/>
        <v>1</v>
      </c>
      <c r="M637" s="8" t="str">
        <f t="shared" si="19"/>
        <v>Jul_2017</v>
      </c>
    </row>
    <row r="638" spans="1:13" ht="15.75" x14ac:dyDescent="0.25">
      <c r="A638" s="2" t="s">
        <v>0</v>
      </c>
      <c r="B638" s="8" t="s">
        <v>34</v>
      </c>
      <c r="C638" s="18">
        <v>42944</v>
      </c>
      <c r="D638" s="3" t="s">
        <v>17</v>
      </c>
      <c r="E638" s="9">
        <v>0.70833333333333304</v>
      </c>
      <c r="F638" s="9">
        <v>0.72916666666666696</v>
      </c>
      <c r="G638" s="6">
        <v>8.0000000000000036</v>
      </c>
      <c r="H638" s="6">
        <v>0.50000000000001243</v>
      </c>
      <c r="I638" s="6">
        <v>0.50000000000001243</v>
      </c>
      <c r="J638" s="49" t="s">
        <v>9</v>
      </c>
      <c r="K638" s="50" t="s">
        <v>87</v>
      </c>
      <c r="L638" s="58" t="str">
        <f t="shared" si="18"/>
        <v/>
      </c>
      <c r="M638" s="8" t="str">
        <f t="shared" si="19"/>
        <v>Jul_2017</v>
      </c>
    </row>
    <row r="639" spans="1:13" ht="15.75" x14ac:dyDescent="0.25">
      <c r="A639" s="2" t="s">
        <v>0</v>
      </c>
      <c r="B639" s="8" t="s">
        <v>68</v>
      </c>
      <c r="C639" s="18">
        <v>42944</v>
      </c>
      <c r="D639" s="3" t="s">
        <v>17</v>
      </c>
      <c r="E639" s="9">
        <v>0.70833333333333304</v>
      </c>
      <c r="F639" s="9">
        <v>0.875</v>
      </c>
      <c r="G639" s="6">
        <v>8.0000000000000036</v>
      </c>
      <c r="H639" s="6">
        <v>4.0000000000000036</v>
      </c>
      <c r="I639" s="6">
        <v>4.0000000000000036</v>
      </c>
      <c r="J639" s="49" t="s">
        <v>9</v>
      </c>
      <c r="K639" s="50" t="s">
        <v>87</v>
      </c>
      <c r="L639" s="58">
        <f t="shared" si="18"/>
        <v>1</v>
      </c>
      <c r="M639" s="8" t="str">
        <f t="shared" si="19"/>
        <v>Jul_2017</v>
      </c>
    </row>
    <row r="640" spans="1:13" ht="15.75" x14ac:dyDescent="0.25">
      <c r="A640" s="2" t="s">
        <v>0</v>
      </c>
      <c r="B640" s="8" t="s">
        <v>69</v>
      </c>
      <c r="C640" s="18">
        <v>42944</v>
      </c>
      <c r="D640" s="3" t="s">
        <v>17</v>
      </c>
      <c r="E640" s="9">
        <v>0.70833333333333304</v>
      </c>
      <c r="F640" s="9">
        <v>0.875</v>
      </c>
      <c r="G640" s="6">
        <v>8.0000000000000036</v>
      </c>
      <c r="H640" s="6">
        <v>4.0000000000000036</v>
      </c>
      <c r="I640" s="6">
        <v>4.0000000000000036</v>
      </c>
      <c r="J640" s="49" t="s">
        <v>9</v>
      </c>
      <c r="K640" s="50" t="s">
        <v>87</v>
      </c>
      <c r="L640" s="58">
        <f t="shared" si="18"/>
        <v>1</v>
      </c>
      <c r="M640" s="8" t="str">
        <f t="shared" si="19"/>
        <v>Jul_2017</v>
      </c>
    </row>
    <row r="641" spans="1:13" ht="15.75" x14ac:dyDescent="0.25">
      <c r="A641" s="2" t="s">
        <v>117</v>
      </c>
      <c r="B641" s="8" t="s">
        <v>118</v>
      </c>
      <c r="C641" s="18">
        <v>42944</v>
      </c>
      <c r="D641" s="3" t="s">
        <v>17</v>
      </c>
      <c r="E641" s="9">
        <v>0.33333333333333298</v>
      </c>
      <c r="F641" s="9">
        <v>0.875</v>
      </c>
      <c r="G641" s="6">
        <v>0</v>
      </c>
      <c r="H641" s="6">
        <v>12.000000000000007</v>
      </c>
      <c r="I641" s="6">
        <v>12.000000000000007</v>
      </c>
      <c r="J641" s="49" t="s">
        <v>9</v>
      </c>
      <c r="K641" s="50" t="s">
        <v>87</v>
      </c>
      <c r="L641" s="58" t="str">
        <f t="shared" si="18"/>
        <v/>
      </c>
      <c r="M641" s="8" t="str">
        <f t="shared" si="19"/>
        <v>Jul_2017</v>
      </c>
    </row>
    <row r="642" spans="1:13" ht="15.75" x14ac:dyDescent="0.25">
      <c r="A642" s="2" t="s">
        <v>117</v>
      </c>
      <c r="B642" s="8" t="s">
        <v>177</v>
      </c>
      <c r="C642" s="18">
        <v>42944</v>
      </c>
      <c r="D642" s="3" t="s">
        <v>17</v>
      </c>
      <c r="E642" s="9">
        <v>0.33333333333333298</v>
      </c>
      <c r="F642" s="9">
        <v>0.875</v>
      </c>
      <c r="G642" s="6">
        <v>0</v>
      </c>
      <c r="H642" s="6">
        <v>12.000000000000007</v>
      </c>
      <c r="I642" s="6">
        <v>12.000000000000007</v>
      </c>
      <c r="J642" s="50" t="s">
        <v>9</v>
      </c>
      <c r="K642" s="50" t="s">
        <v>87</v>
      </c>
      <c r="L642" s="58" t="str">
        <f t="shared" si="18"/>
        <v/>
      </c>
      <c r="M642" s="8" t="str">
        <f t="shared" si="19"/>
        <v>Jul_2017</v>
      </c>
    </row>
    <row r="643" spans="1:13" ht="15.75" x14ac:dyDescent="0.25">
      <c r="A643" s="2" t="s">
        <v>117</v>
      </c>
      <c r="B643" s="8" t="s">
        <v>175</v>
      </c>
      <c r="C643" s="18">
        <v>42944</v>
      </c>
      <c r="D643" s="3" t="s">
        <v>17</v>
      </c>
      <c r="E643" s="9">
        <v>0.70833333333333304</v>
      </c>
      <c r="F643" s="9">
        <v>0.875</v>
      </c>
      <c r="G643" s="6">
        <v>0</v>
      </c>
      <c r="H643" s="6">
        <v>4.0000000000000071</v>
      </c>
      <c r="I643" s="6">
        <v>4.0000000000000071</v>
      </c>
      <c r="J643" s="50" t="s">
        <v>9</v>
      </c>
      <c r="K643" s="50" t="s">
        <v>87</v>
      </c>
      <c r="L643" s="58" t="str">
        <f t="shared" ref="L643:L706" si="20">IF(AND($A643="Perm Staff Onsite",$H643&gt;=2),1,"")</f>
        <v/>
      </c>
      <c r="M643" s="8" t="str">
        <f t="shared" ref="M643:M706" si="21">IF($C643="","",TEXT(DATE(YEAR($C643),MONTH($C643),DAY($C643)),"MMM")&amp;"_"&amp;YEAR($C643))</f>
        <v>Jul_2017</v>
      </c>
    </row>
    <row r="644" spans="1:13" ht="15.75" x14ac:dyDescent="0.25">
      <c r="A644" s="2" t="s">
        <v>117</v>
      </c>
      <c r="B644" s="8" t="s">
        <v>118</v>
      </c>
      <c r="C644" s="18">
        <v>42945</v>
      </c>
      <c r="D644" s="3" t="s">
        <v>24</v>
      </c>
      <c r="E644" s="9">
        <v>0.33333333333333298</v>
      </c>
      <c r="F644" s="9">
        <v>0.70833333333333304</v>
      </c>
      <c r="G644" s="6">
        <v>0</v>
      </c>
      <c r="H644" s="6">
        <v>8.0000000000000018</v>
      </c>
      <c r="I644" s="6">
        <v>8.0000000000000018</v>
      </c>
      <c r="J644" s="49" t="s">
        <v>46</v>
      </c>
      <c r="K644" s="50" t="s">
        <v>237</v>
      </c>
      <c r="L644" s="58" t="str">
        <f t="shared" si="20"/>
        <v/>
      </c>
      <c r="M644" s="8" t="str">
        <f t="shared" si="21"/>
        <v>Jul_2017</v>
      </c>
    </row>
    <row r="645" spans="1:13" ht="15.75" x14ac:dyDescent="0.25">
      <c r="A645" s="2" t="s">
        <v>117</v>
      </c>
      <c r="B645" s="8" t="s">
        <v>177</v>
      </c>
      <c r="C645" s="18">
        <v>42945</v>
      </c>
      <c r="D645" s="3" t="s">
        <v>24</v>
      </c>
      <c r="E645" s="9">
        <v>0.33333333333333298</v>
      </c>
      <c r="F645" s="9">
        <v>0.70833333333333304</v>
      </c>
      <c r="G645" s="6">
        <v>0</v>
      </c>
      <c r="H645" s="6">
        <v>8.0000000000000018</v>
      </c>
      <c r="I645" s="6">
        <v>8.0000000000000018</v>
      </c>
      <c r="J645" s="49" t="s">
        <v>46</v>
      </c>
      <c r="K645" s="50" t="s">
        <v>237</v>
      </c>
      <c r="L645" s="58" t="str">
        <f t="shared" si="20"/>
        <v/>
      </c>
      <c r="M645" s="8" t="str">
        <f t="shared" si="21"/>
        <v>Jul_2017</v>
      </c>
    </row>
    <row r="646" spans="1:13" ht="15.75" x14ac:dyDescent="0.25">
      <c r="A646" s="2" t="s">
        <v>117</v>
      </c>
      <c r="B646" s="8" t="s">
        <v>175</v>
      </c>
      <c r="C646" s="18">
        <v>42945</v>
      </c>
      <c r="D646" s="3" t="s">
        <v>24</v>
      </c>
      <c r="E646" s="9">
        <v>0.33333333333333298</v>
      </c>
      <c r="F646" s="9">
        <v>0.70833333333333304</v>
      </c>
      <c r="G646" s="6">
        <v>0</v>
      </c>
      <c r="H646" s="6">
        <v>8.0000000000000018</v>
      </c>
      <c r="I646" s="6">
        <v>8.0000000000000018</v>
      </c>
      <c r="J646" s="50" t="s">
        <v>46</v>
      </c>
      <c r="K646" s="50" t="s">
        <v>237</v>
      </c>
      <c r="L646" s="58" t="str">
        <f t="shared" si="20"/>
        <v/>
      </c>
      <c r="M646" s="8" t="str">
        <f t="shared" si="21"/>
        <v>Jul_2017</v>
      </c>
    </row>
    <row r="647" spans="1:13" ht="15.75" x14ac:dyDescent="0.25">
      <c r="A647" s="2" t="s">
        <v>0</v>
      </c>
      <c r="B647" s="8" t="s">
        <v>10</v>
      </c>
      <c r="C647" s="18">
        <v>42946</v>
      </c>
      <c r="D647" s="3" t="s">
        <v>23</v>
      </c>
      <c r="E647" s="9">
        <v>0.33333333333333298</v>
      </c>
      <c r="F647" s="9">
        <v>0.83333333333333304</v>
      </c>
      <c r="G647" s="6" t="s">
        <v>222</v>
      </c>
      <c r="H647" s="6">
        <v>11</v>
      </c>
      <c r="I647" s="6">
        <v>11</v>
      </c>
      <c r="J647" s="49" t="s">
        <v>46</v>
      </c>
      <c r="K647" s="50" t="s">
        <v>238</v>
      </c>
      <c r="L647" s="58">
        <f t="shared" si="20"/>
        <v>1</v>
      </c>
      <c r="M647" s="8" t="str">
        <f t="shared" si="21"/>
        <v>Jul_2017</v>
      </c>
    </row>
    <row r="648" spans="1:13" ht="15.75" x14ac:dyDescent="0.25">
      <c r="A648" s="2" t="s">
        <v>0</v>
      </c>
      <c r="B648" s="8" t="s">
        <v>12</v>
      </c>
      <c r="C648" s="18">
        <v>42946</v>
      </c>
      <c r="D648" s="3" t="s">
        <v>23</v>
      </c>
      <c r="E648" s="9">
        <v>0.33333333333333298</v>
      </c>
      <c r="F648" s="9">
        <v>0.70833333333333304</v>
      </c>
      <c r="G648" s="6" t="s">
        <v>222</v>
      </c>
      <c r="H648" s="6">
        <v>8.0000000000000018</v>
      </c>
      <c r="I648" s="6">
        <v>8.0000000000000018</v>
      </c>
      <c r="J648" s="49" t="s">
        <v>46</v>
      </c>
      <c r="K648" s="50" t="s">
        <v>239</v>
      </c>
      <c r="L648" s="58">
        <f t="shared" si="20"/>
        <v>1</v>
      </c>
      <c r="M648" s="8" t="str">
        <f t="shared" si="21"/>
        <v>Jul_2017</v>
      </c>
    </row>
    <row r="649" spans="1:13" ht="15.75" x14ac:dyDescent="0.25">
      <c r="A649" s="2" t="s">
        <v>0</v>
      </c>
      <c r="B649" s="8" t="s">
        <v>34</v>
      </c>
      <c r="C649" s="18">
        <v>42946</v>
      </c>
      <c r="D649" s="3" t="s">
        <v>23</v>
      </c>
      <c r="E649" s="9">
        <v>0.33333333333333298</v>
      </c>
      <c r="F649" s="9">
        <v>0.83333333333333304</v>
      </c>
      <c r="G649" s="6" t="s">
        <v>222</v>
      </c>
      <c r="H649" s="6">
        <v>11</v>
      </c>
      <c r="I649" s="6">
        <v>11</v>
      </c>
      <c r="J649" s="50" t="s">
        <v>46</v>
      </c>
      <c r="K649" s="50" t="s">
        <v>239</v>
      </c>
      <c r="L649" s="58">
        <f t="shared" si="20"/>
        <v>1</v>
      </c>
      <c r="M649" s="8" t="str">
        <f t="shared" si="21"/>
        <v>Jul_2017</v>
      </c>
    </row>
    <row r="650" spans="1:13" ht="15.75" x14ac:dyDescent="0.25">
      <c r="A650" s="2" t="s">
        <v>0</v>
      </c>
      <c r="B650" s="8" t="s">
        <v>68</v>
      </c>
      <c r="C650" s="18">
        <v>42946</v>
      </c>
      <c r="D650" s="3" t="s">
        <v>23</v>
      </c>
      <c r="E650" s="9">
        <v>0.33333333333333298</v>
      </c>
      <c r="F650" s="9">
        <v>0.83333333333333304</v>
      </c>
      <c r="G650" s="6" t="s">
        <v>222</v>
      </c>
      <c r="H650" s="6">
        <v>11</v>
      </c>
      <c r="I650" s="6">
        <v>11</v>
      </c>
      <c r="J650" s="49" t="s">
        <v>46</v>
      </c>
      <c r="K650" s="50" t="s">
        <v>239</v>
      </c>
      <c r="L650" s="58">
        <f t="shared" si="20"/>
        <v>1</v>
      </c>
      <c r="M650" s="8" t="str">
        <f t="shared" si="21"/>
        <v>Jul_2017</v>
      </c>
    </row>
    <row r="651" spans="1:13" ht="15.75" x14ac:dyDescent="0.25">
      <c r="A651" s="2" t="s">
        <v>0</v>
      </c>
      <c r="B651" s="8" t="s">
        <v>69</v>
      </c>
      <c r="C651" s="18">
        <v>42946</v>
      </c>
      <c r="D651" s="3" t="s">
        <v>23</v>
      </c>
      <c r="E651" s="9">
        <v>0.33333333333333298</v>
      </c>
      <c r="F651" s="9">
        <v>0.83333333333333304</v>
      </c>
      <c r="G651" s="6" t="s">
        <v>222</v>
      </c>
      <c r="H651" s="6">
        <v>11</v>
      </c>
      <c r="I651" s="6">
        <v>11</v>
      </c>
      <c r="J651" s="49" t="s">
        <v>46</v>
      </c>
      <c r="K651" s="50" t="s">
        <v>239</v>
      </c>
      <c r="L651" s="58">
        <f t="shared" si="20"/>
        <v>1</v>
      </c>
      <c r="M651" s="8" t="str">
        <f t="shared" si="21"/>
        <v>Jul_2017</v>
      </c>
    </row>
    <row r="652" spans="1:13" ht="15.75" x14ac:dyDescent="0.25">
      <c r="A652" s="2" t="s">
        <v>117</v>
      </c>
      <c r="B652" s="8" t="s">
        <v>118</v>
      </c>
      <c r="C652" s="18">
        <v>42946</v>
      </c>
      <c r="D652" s="3" t="s">
        <v>23</v>
      </c>
      <c r="E652" s="9">
        <v>0.33333333333333298</v>
      </c>
      <c r="F652" s="9">
        <v>0.83333333333333304</v>
      </c>
      <c r="G652" s="6" t="s">
        <v>222</v>
      </c>
      <c r="H652" s="6">
        <v>11</v>
      </c>
      <c r="I652" s="6">
        <v>11</v>
      </c>
      <c r="J652" s="49" t="s">
        <v>46</v>
      </c>
      <c r="K652" s="50" t="s">
        <v>239</v>
      </c>
      <c r="L652" s="58" t="str">
        <f t="shared" si="20"/>
        <v/>
      </c>
      <c r="M652" s="8" t="str">
        <f t="shared" si="21"/>
        <v>Jul_2017</v>
      </c>
    </row>
    <row r="653" spans="1:13" ht="15.75" x14ac:dyDescent="0.25">
      <c r="A653" s="2" t="s">
        <v>117</v>
      </c>
      <c r="B653" s="8" t="s">
        <v>177</v>
      </c>
      <c r="C653" s="18">
        <v>42946</v>
      </c>
      <c r="D653" s="3" t="s">
        <v>23</v>
      </c>
      <c r="E653" s="9">
        <v>0.33333333333333298</v>
      </c>
      <c r="F653" s="9">
        <v>0.83333333333333304</v>
      </c>
      <c r="G653" s="6" t="s">
        <v>222</v>
      </c>
      <c r="H653" s="6">
        <v>11</v>
      </c>
      <c r="I653" s="6">
        <v>11</v>
      </c>
      <c r="J653" s="49" t="s">
        <v>46</v>
      </c>
      <c r="K653" s="50" t="s">
        <v>239</v>
      </c>
      <c r="L653" s="58" t="str">
        <f t="shared" si="20"/>
        <v/>
      </c>
      <c r="M653" s="8" t="str">
        <f t="shared" si="21"/>
        <v>Jul_2017</v>
      </c>
    </row>
    <row r="654" spans="1:13" ht="15.75" x14ac:dyDescent="0.25">
      <c r="A654" s="2" t="s">
        <v>117</v>
      </c>
      <c r="B654" s="8" t="s">
        <v>175</v>
      </c>
      <c r="C654" s="18">
        <v>42946</v>
      </c>
      <c r="D654" s="3" t="s">
        <v>23</v>
      </c>
      <c r="E654" s="9">
        <v>0.33333333333333298</v>
      </c>
      <c r="F654" s="9">
        <v>0.83333333333333304</v>
      </c>
      <c r="G654" s="6" t="s">
        <v>222</v>
      </c>
      <c r="H654" s="6">
        <v>11</v>
      </c>
      <c r="I654" s="6">
        <v>11</v>
      </c>
      <c r="J654" s="50" t="s">
        <v>46</v>
      </c>
      <c r="K654" s="50" t="s">
        <v>239</v>
      </c>
      <c r="L654" s="58" t="str">
        <f t="shared" si="20"/>
        <v/>
      </c>
      <c r="M654" s="8" t="str">
        <f t="shared" si="21"/>
        <v>Jul_2017</v>
      </c>
    </row>
    <row r="655" spans="1:13" ht="15.75" x14ac:dyDescent="0.25">
      <c r="A655" s="2" t="s">
        <v>0</v>
      </c>
      <c r="B655" s="8" t="s">
        <v>10</v>
      </c>
      <c r="C655" s="18">
        <v>42947</v>
      </c>
      <c r="D655" s="3" t="s">
        <v>21</v>
      </c>
      <c r="E655" s="9">
        <v>0.70833333333333304</v>
      </c>
      <c r="F655" s="9">
        <v>0.79166666666666663</v>
      </c>
      <c r="G655" s="6">
        <v>8.0000000000000036</v>
      </c>
      <c r="H655" s="6">
        <v>2.0000000000000036</v>
      </c>
      <c r="I655" s="6">
        <v>2.0000000000000036</v>
      </c>
      <c r="J655" s="50" t="s">
        <v>9</v>
      </c>
      <c r="K655" s="50" t="s">
        <v>88</v>
      </c>
      <c r="L655" s="58">
        <f t="shared" si="20"/>
        <v>1</v>
      </c>
      <c r="M655" s="8" t="str">
        <f t="shared" si="21"/>
        <v>Jul_2017</v>
      </c>
    </row>
    <row r="656" spans="1:13" ht="15.75" x14ac:dyDescent="0.25">
      <c r="A656" s="2" t="s">
        <v>0</v>
      </c>
      <c r="B656" s="8" t="s">
        <v>12</v>
      </c>
      <c r="C656" s="18">
        <v>42947</v>
      </c>
      <c r="D656" s="3" t="s">
        <v>21</v>
      </c>
      <c r="E656" s="9">
        <v>0.70833333333333304</v>
      </c>
      <c r="F656" s="9">
        <v>0.875</v>
      </c>
      <c r="G656" s="6">
        <v>8.0000000000000036</v>
      </c>
      <c r="H656" s="6">
        <v>4.0000000000000036</v>
      </c>
      <c r="I656" s="6">
        <v>4.0000000000000036</v>
      </c>
      <c r="J656" s="50" t="s">
        <v>9</v>
      </c>
      <c r="K656" s="50" t="s">
        <v>88</v>
      </c>
      <c r="L656" s="58">
        <f t="shared" si="20"/>
        <v>1</v>
      </c>
      <c r="M656" s="8" t="str">
        <f t="shared" si="21"/>
        <v>Jul_2017</v>
      </c>
    </row>
    <row r="657" spans="1:13" ht="15.75" x14ac:dyDescent="0.25">
      <c r="A657" s="2" t="s">
        <v>0</v>
      </c>
      <c r="B657" s="8" t="s">
        <v>68</v>
      </c>
      <c r="C657" s="18">
        <v>42947</v>
      </c>
      <c r="D657" s="3" t="s">
        <v>21</v>
      </c>
      <c r="E657" s="9">
        <v>0.70833333333333304</v>
      </c>
      <c r="F657" s="9">
        <v>0.875</v>
      </c>
      <c r="G657" s="6">
        <v>8.0000000000000036</v>
      </c>
      <c r="H657" s="6">
        <v>4.0000000000000036</v>
      </c>
      <c r="I657" s="6">
        <v>4.0000000000000036</v>
      </c>
      <c r="J657" s="50" t="s">
        <v>9</v>
      </c>
      <c r="K657" s="50" t="s">
        <v>88</v>
      </c>
      <c r="L657" s="58">
        <f t="shared" si="20"/>
        <v>1</v>
      </c>
      <c r="M657" s="8" t="str">
        <f t="shared" si="21"/>
        <v>Jul_2017</v>
      </c>
    </row>
    <row r="658" spans="1:13" ht="15.75" x14ac:dyDescent="0.25">
      <c r="A658" s="2" t="s">
        <v>0</v>
      </c>
      <c r="B658" s="8" t="s">
        <v>69</v>
      </c>
      <c r="C658" s="18">
        <v>42947</v>
      </c>
      <c r="D658" s="3" t="s">
        <v>21</v>
      </c>
      <c r="E658" s="9">
        <v>0.70833333333333304</v>
      </c>
      <c r="F658" s="9">
        <v>0.875</v>
      </c>
      <c r="G658" s="6">
        <v>8.0000000000000036</v>
      </c>
      <c r="H658" s="6">
        <v>4.0000000000000036</v>
      </c>
      <c r="I658" s="6">
        <v>4.0000000000000036</v>
      </c>
      <c r="J658" s="50" t="s">
        <v>9</v>
      </c>
      <c r="K658" s="50" t="s">
        <v>88</v>
      </c>
      <c r="L658" s="58">
        <f t="shared" si="20"/>
        <v>1</v>
      </c>
      <c r="M658" s="8" t="str">
        <f t="shared" si="21"/>
        <v>Jul_2017</v>
      </c>
    </row>
    <row r="659" spans="1:13" ht="15.75" x14ac:dyDescent="0.25">
      <c r="A659" s="2" t="s">
        <v>117</v>
      </c>
      <c r="B659" s="8" t="s">
        <v>118</v>
      </c>
      <c r="C659" s="18">
        <v>42947</v>
      </c>
      <c r="D659" s="3" t="s">
        <v>21</v>
      </c>
      <c r="E659" s="9">
        <v>0.33333333333333298</v>
      </c>
      <c r="F659" s="9">
        <v>0.875</v>
      </c>
      <c r="G659" s="6">
        <v>0</v>
      </c>
      <c r="H659" s="6">
        <v>12.000000000000007</v>
      </c>
      <c r="I659" s="6">
        <v>12.000000000000007</v>
      </c>
      <c r="J659" s="50" t="s">
        <v>9</v>
      </c>
      <c r="K659" s="50" t="s">
        <v>88</v>
      </c>
      <c r="L659" s="58" t="str">
        <f t="shared" si="20"/>
        <v/>
      </c>
      <c r="M659" s="8" t="str">
        <f t="shared" si="21"/>
        <v>Jul_2017</v>
      </c>
    </row>
    <row r="660" spans="1:13" ht="15.75" x14ac:dyDescent="0.25">
      <c r="A660" s="2" t="s">
        <v>117</v>
      </c>
      <c r="B660" s="8" t="s">
        <v>171</v>
      </c>
      <c r="C660" s="18">
        <v>42947</v>
      </c>
      <c r="D660" s="3" t="s">
        <v>21</v>
      </c>
      <c r="E660" s="9">
        <v>0.33333333333333298</v>
      </c>
      <c r="F660" s="9">
        <v>0.875</v>
      </c>
      <c r="G660" s="6">
        <v>0</v>
      </c>
      <c r="H660" s="6">
        <v>12.000000000000007</v>
      </c>
      <c r="I660" s="6">
        <v>12.000000000000007</v>
      </c>
      <c r="J660" s="50" t="s">
        <v>9</v>
      </c>
      <c r="K660" s="50" t="s">
        <v>88</v>
      </c>
      <c r="L660" s="58" t="str">
        <f t="shared" si="20"/>
        <v/>
      </c>
      <c r="M660" s="8" t="str">
        <f t="shared" si="21"/>
        <v>Jul_2017</v>
      </c>
    </row>
    <row r="661" spans="1:13" ht="15.75" x14ac:dyDescent="0.25">
      <c r="A661" s="2" t="s">
        <v>117</v>
      </c>
      <c r="B661" s="8" t="s">
        <v>177</v>
      </c>
      <c r="C661" s="18">
        <v>42947</v>
      </c>
      <c r="D661" s="3" t="s">
        <v>21</v>
      </c>
      <c r="E661" s="9">
        <v>0.33333333333333298</v>
      </c>
      <c r="F661" s="9">
        <v>0.875</v>
      </c>
      <c r="G661" s="6">
        <v>0</v>
      </c>
      <c r="H661" s="6">
        <v>12.000000000000007</v>
      </c>
      <c r="I661" s="6">
        <v>12.000000000000007</v>
      </c>
      <c r="J661" s="50" t="s">
        <v>9</v>
      </c>
      <c r="K661" s="50" t="s">
        <v>88</v>
      </c>
      <c r="L661" s="58" t="str">
        <f t="shared" si="20"/>
        <v/>
      </c>
      <c r="M661" s="8" t="str">
        <f t="shared" si="21"/>
        <v>Jul_2017</v>
      </c>
    </row>
    <row r="662" spans="1:13" ht="15.75" x14ac:dyDescent="0.25">
      <c r="A662" s="2" t="s">
        <v>117</v>
      </c>
      <c r="B662" s="8" t="s">
        <v>175</v>
      </c>
      <c r="C662" s="18">
        <v>42947</v>
      </c>
      <c r="D662" s="3" t="s">
        <v>21</v>
      </c>
      <c r="E662" s="9">
        <v>0.70833333333333337</v>
      </c>
      <c r="F662" s="9">
        <v>0.875</v>
      </c>
      <c r="G662" s="6">
        <v>0</v>
      </c>
      <c r="H662" s="6">
        <v>3.9999999999999991</v>
      </c>
      <c r="I662" s="6">
        <v>3.9999999999999991</v>
      </c>
      <c r="J662" s="50" t="s">
        <v>9</v>
      </c>
      <c r="K662" s="50" t="s">
        <v>88</v>
      </c>
      <c r="L662" s="58" t="str">
        <f t="shared" si="20"/>
        <v/>
      </c>
      <c r="M662" s="8" t="str">
        <f t="shared" si="21"/>
        <v>Jul_2017</v>
      </c>
    </row>
    <row r="663" spans="1:13" ht="15.75" x14ac:dyDescent="0.25">
      <c r="A663" s="16" t="s">
        <v>0</v>
      </c>
      <c r="B663" s="17" t="s">
        <v>12</v>
      </c>
      <c r="C663" s="18">
        <v>42948</v>
      </c>
      <c r="D663" s="19" t="s">
        <v>16</v>
      </c>
      <c r="E663" s="20">
        <v>0.70833333333333304</v>
      </c>
      <c r="F663" s="20">
        <v>0.8125</v>
      </c>
      <c r="G663" s="21">
        <v>8.0000000000000036</v>
      </c>
      <c r="H663" s="21">
        <v>2.5000000000000053</v>
      </c>
      <c r="I663" s="21">
        <v>2.5000000000000053</v>
      </c>
      <c r="J663" s="22" t="s">
        <v>9</v>
      </c>
      <c r="K663" s="23" t="s">
        <v>105</v>
      </c>
      <c r="L663" s="58">
        <f t="shared" si="20"/>
        <v>1</v>
      </c>
      <c r="M663" s="8" t="str">
        <f t="shared" si="21"/>
        <v>Aug_2017</v>
      </c>
    </row>
    <row r="664" spans="1:13" ht="15.75" x14ac:dyDescent="0.25">
      <c r="A664" s="16" t="s">
        <v>0</v>
      </c>
      <c r="B664" s="17" t="s">
        <v>68</v>
      </c>
      <c r="C664" s="18">
        <v>42948</v>
      </c>
      <c r="D664" s="19" t="s">
        <v>16</v>
      </c>
      <c r="E664" s="20">
        <v>0.70833333333333304</v>
      </c>
      <c r="F664" s="20">
        <v>0.8125</v>
      </c>
      <c r="G664" s="21">
        <v>8.0000000000000036</v>
      </c>
      <c r="H664" s="21">
        <v>2.5000000000000053</v>
      </c>
      <c r="I664" s="21">
        <v>2.5000000000000053</v>
      </c>
      <c r="J664" s="24" t="s">
        <v>9</v>
      </c>
      <c r="K664" s="23" t="s">
        <v>105</v>
      </c>
      <c r="L664" s="58">
        <f t="shared" si="20"/>
        <v>1</v>
      </c>
      <c r="M664" s="8" t="str">
        <f t="shared" si="21"/>
        <v>Aug_2017</v>
      </c>
    </row>
    <row r="665" spans="1:13" ht="15.75" x14ac:dyDescent="0.25">
      <c r="A665" s="16" t="s">
        <v>0</v>
      </c>
      <c r="B665" s="17" t="s">
        <v>69</v>
      </c>
      <c r="C665" s="18">
        <v>42948</v>
      </c>
      <c r="D665" s="19" t="s">
        <v>16</v>
      </c>
      <c r="E665" s="20">
        <v>0.70833333333333304</v>
      </c>
      <c r="F665" s="20">
        <v>0.8125</v>
      </c>
      <c r="G665" s="21">
        <v>8.0000000000000036</v>
      </c>
      <c r="H665" s="21">
        <v>2.5000000000000053</v>
      </c>
      <c r="I665" s="21">
        <v>2.5000000000000053</v>
      </c>
      <c r="J665" s="24" t="s">
        <v>9</v>
      </c>
      <c r="K665" s="23" t="s">
        <v>105</v>
      </c>
      <c r="L665" s="58">
        <f t="shared" si="20"/>
        <v>1</v>
      </c>
      <c r="M665" s="8" t="str">
        <f t="shared" si="21"/>
        <v>Aug_2017</v>
      </c>
    </row>
    <row r="666" spans="1:13" ht="15.75" x14ac:dyDescent="0.25">
      <c r="A666" s="16" t="s">
        <v>117</v>
      </c>
      <c r="B666" s="17" t="s">
        <v>118</v>
      </c>
      <c r="C666" s="18">
        <v>42948</v>
      </c>
      <c r="D666" s="19" t="s">
        <v>16</v>
      </c>
      <c r="E666" s="20">
        <v>0.33333333333333298</v>
      </c>
      <c r="F666" s="20">
        <v>0.8125</v>
      </c>
      <c r="G666" s="21">
        <v>0</v>
      </c>
      <c r="H666" s="21">
        <v>10.500000000000009</v>
      </c>
      <c r="I666" s="21">
        <v>10.500000000000009</v>
      </c>
      <c r="J666" s="22" t="s">
        <v>9</v>
      </c>
      <c r="K666" s="23" t="s">
        <v>105</v>
      </c>
      <c r="L666" s="58" t="str">
        <f t="shared" si="20"/>
        <v/>
      </c>
      <c r="M666" s="8" t="str">
        <f t="shared" si="21"/>
        <v>Aug_2017</v>
      </c>
    </row>
    <row r="667" spans="1:13" ht="15.75" x14ac:dyDescent="0.25">
      <c r="A667" s="16" t="s">
        <v>117</v>
      </c>
      <c r="B667" s="17" t="s">
        <v>171</v>
      </c>
      <c r="C667" s="18">
        <v>42948</v>
      </c>
      <c r="D667" s="19" t="s">
        <v>16</v>
      </c>
      <c r="E667" s="20">
        <v>0.33333333333333298</v>
      </c>
      <c r="F667" s="20">
        <v>0.8125</v>
      </c>
      <c r="G667" s="21">
        <v>0</v>
      </c>
      <c r="H667" s="21">
        <v>10.500000000000009</v>
      </c>
      <c r="I667" s="21">
        <v>10.500000000000009</v>
      </c>
      <c r="J667" s="22" t="s">
        <v>9</v>
      </c>
      <c r="K667" s="23" t="s">
        <v>105</v>
      </c>
      <c r="L667" s="58" t="str">
        <f t="shared" si="20"/>
        <v/>
      </c>
      <c r="M667" s="8" t="str">
        <f t="shared" si="21"/>
        <v>Aug_2017</v>
      </c>
    </row>
    <row r="668" spans="1:13" ht="15.75" x14ac:dyDescent="0.25">
      <c r="A668" s="16" t="s">
        <v>117</v>
      </c>
      <c r="B668" s="17" t="s">
        <v>175</v>
      </c>
      <c r="C668" s="18">
        <v>42948</v>
      </c>
      <c r="D668" s="19" t="s">
        <v>16</v>
      </c>
      <c r="E668" s="20">
        <v>0.33333333333333298</v>
      </c>
      <c r="F668" s="20">
        <v>0.8125</v>
      </c>
      <c r="G668" s="21">
        <v>0</v>
      </c>
      <c r="H668" s="21">
        <v>10.500000000000009</v>
      </c>
      <c r="I668" s="21">
        <v>10.500000000000009</v>
      </c>
      <c r="J668" s="24" t="s">
        <v>9</v>
      </c>
      <c r="K668" s="23" t="s">
        <v>105</v>
      </c>
      <c r="L668" s="58" t="str">
        <f t="shared" si="20"/>
        <v/>
      </c>
      <c r="M668" s="8" t="str">
        <f t="shared" si="21"/>
        <v>Aug_2017</v>
      </c>
    </row>
    <row r="669" spans="1:13" ht="15.75" x14ac:dyDescent="0.25">
      <c r="A669" s="16" t="s">
        <v>0</v>
      </c>
      <c r="B669" s="17" t="s">
        <v>10</v>
      </c>
      <c r="C669" s="18">
        <v>42949</v>
      </c>
      <c r="D669" s="19" t="s">
        <v>19</v>
      </c>
      <c r="E669" s="20">
        <v>0.70833333333333304</v>
      </c>
      <c r="F669" s="20">
        <v>0.89583333333333304</v>
      </c>
      <c r="G669" s="21">
        <v>8.0000000000000036</v>
      </c>
      <c r="H669" s="21">
        <v>4.4999999999999964</v>
      </c>
      <c r="I669" s="21">
        <v>4.4999999999999964</v>
      </c>
      <c r="J669" s="24" t="s">
        <v>9</v>
      </c>
      <c r="K669" s="23" t="s">
        <v>106</v>
      </c>
      <c r="L669" s="58">
        <f t="shared" si="20"/>
        <v>1</v>
      </c>
      <c r="M669" s="8" t="str">
        <f t="shared" si="21"/>
        <v>Aug_2017</v>
      </c>
    </row>
    <row r="670" spans="1:13" ht="15.75" x14ac:dyDescent="0.25">
      <c r="A670" s="16" t="s">
        <v>0</v>
      </c>
      <c r="B670" s="17" t="s">
        <v>12</v>
      </c>
      <c r="C670" s="18">
        <v>42949</v>
      </c>
      <c r="D670" s="19" t="s">
        <v>19</v>
      </c>
      <c r="E670" s="20">
        <v>0.70833333333333304</v>
      </c>
      <c r="F670" s="20">
        <v>0.89583333333333304</v>
      </c>
      <c r="G670" s="21">
        <v>8.0000000000000036</v>
      </c>
      <c r="H670" s="21">
        <v>4.4999999999999964</v>
      </c>
      <c r="I670" s="21">
        <v>4.4999999999999964</v>
      </c>
      <c r="J670" s="24" t="s">
        <v>9</v>
      </c>
      <c r="K670" s="23" t="s">
        <v>106</v>
      </c>
      <c r="L670" s="58">
        <f t="shared" si="20"/>
        <v>1</v>
      </c>
      <c r="M670" s="8" t="str">
        <f t="shared" si="21"/>
        <v>Aug_2017</v>
      </c>
    </row>
    <row r="671" spans="1:13" ht="15.75" x14ac:dyDescent="0.25">
      <c r="A671" s="16" t="s">
        <v>0</v>
      </c>
      <c r="B671" s="17" t="s">
        <v>34</v>
      </c>
      <c r="C671" s="18">
        <v>42949</v>
      </c>
      <c r="D671" s="19" t="s">
        <v>19</v>
      </c>
      <c r="E671" s="20">
        <v>0.54166666666666696</v>
      </c>
      <c r="F671" s="20">
        <v>0.85416666666666696</v>
      </c>
      <c r="G671" s="21">
        <v>7.5</v>
      </c>
      <c r="H671" s="21">
        <v>3</v>
      </c>
      <c r="I671" s="21">
        <v>3</v>
      </c>
      <c r="J671" s="22" t="s">
        <v>9</v>
      </c>
      <c r="K671" s="23" t="s">
        <v>106</v>
      </c>
      <c r="L671" s="58">
        <f t="shared" si="20"/>
        <v>1</v>
      </c>
      <c r="M671" s="8" t="str">
        <f t="shared" si="21"/>
        <v>Aug_2017</v>
      </c>
    </row>
    <row r="672" spans="1:13" ht="15.75" x14ac:dyDescent="0.25">
      <c r="A672" s="16" t="s">
        <v>0</v>
      </c>
      <c r="B672" s="17" t="s">
        <v>68</v>
      </c>
      <c r="C672" s="18">
        <v>42949</v>
      </c>
      <c r="D672" s="19" t="s">
        <v>19</v>
      </c>
      <c r="E672" s="20">
        <v>0.70833333333333304</v>
      </c>
      <c r="F672" s="20">
        <v>0.89583333333333304</v>
      </c>
      <c r="G672" s="21">
        <v>8.0000000000000036</v>
      </c>
      <c r="H672" s="21">
        <v>4.4999999999999964</v>
      </c>
      <c r="I672" s="21">
        <v>4.4999999999999964</v>
      </c>
      <c r="J672" s="24" t="s">
        <v>9</v>
      </c>
      <c r="K672" s="23" t="s">
        <v>106</v>
      </c>
      <c r="L672" s="58">
        <f t="shared" si="20"/>
        <v>1</v>
      </c>
      <c r="M672" s="8" t="str">
        <f t="shared" si="21"/>
        <v>Aug_2017</v>
      </c>
    </row>
    <row r="673" spans="1:13" ht="15.75" x14ac:dyDescent="0.25">
      <c r="A673" s="16" t="s">
        <v>0</v>
      </c>
      <c r="B673" s="17" t="s">
        <v>69</v>
      </c>
      <c r="C673" s="18">
        <v>42949</v>
      </c>
      <c r="D673" s="19" t="s">
        <v>19</v>
      </c>
      <c r="E673" s="20">
        <v>0.70833333333333304</v>
      </c>
      <c r="F673" s="20">
        <v>0.89583333333333304</v>
      </c>
      <c r="G673" s="21">
        <v>8.0000000000000036</v>
      </c>
      <c r="H673" s="21">
        <v>4.4999999999999964</v>
      </c>
      <c r="I673" s="21">
        <v>4.4999999999999964</v>
      </c>
      <c r="J673" s="24" t="s">
        <v>9</v>
      </c>
      <c r="K673" s="23" t="s">
        <v>106</v>
      </c>
      <c r="L673" s="58">
        <f t="shared" si="20"/>
        <v>1</v>
      </c>
      <c r="M673" s="8" t="str">
        <f t="shared" si="21"/>
        <v>Aug_2017</v>
      </c>
    </row>
    <row r="674" spans="1:13" ht="15.75" x14ac:dyDescent="0.25">
      <c r="A674" s="16" t="s">
        <v>117</v>
      </c>
      <c r="B674" s="17" t="s">
        <v>118</v>
      </c>
      <c r="C674" s="18">
        <v>42949</v>
      </c>
      <c r="D674" s="19" t="s">
        <v>19</v>
      </c>
      <c r="E674" s="20">
        <v>0.33333333333333298</v>
      </c>
      <c r="F674" s="20">
        <v>0.89583333333333304</v>
      </c>
      <c r="G674" s="21">
        <v>0</v>
      </c>
      <c r="H674" s="21">
        <v>12.5</v>
      </c>
      <c r="I674" s="21">
        <v>12.5</v>
      </c>
      <c r="J674" s="24" t="s">
        <v>9</v>
      </c>
      <c r="K674" s="23" t="s">
        <v>106</v>
      </c>
      <c r="L674" s="58" t="str">
        <f t="shared" si="20"/>
        <v/>
      </c>
      <c r="M674" s="8" t="str">
        <f t="shared" si="21"/>
        <v>Aug_2017</v>
      </c>
    </row>
    <row r="675" spans="1:13" ht="15.75" x14ac:dyDescent="0.25">
      <c r="A675" s="16" t="s">
        <v>117</v>
      </c>
      <c r="B675" s="17" t="s">
        <v>224</v>
      </c>
      <c r="C675" s="18">
        <v>42949</v>
      </c>
      <c r="D675" s="19" t="s">
        <v>19</v>
      </c>
      <c r="E675" s="20">
        <v>0.70833333333333304</v>
      </c>
      <c r="F675" s="20">
        <v>0.89583333333333304</v>
      </c>
      <c r="G675" s="21">
        <v>0</v>
      </c>
      <c r="H675" s="21">
        <v>4.5</v>
      </c>
      <c r="I675" s="21">
        <v>4.5</v>
      </c>
      <c r="J675" s="22" t="s">
        <v>9</v>
      </c>
      <c r="K675" s="23" t="s">
        <v>106</v>
      </c>
      <c r="L675" s="58" t="str">
        <f t="shared" si="20"/>
        <v/>
      </c>
      <c r="M675" s="8" t="str">
        <f t="shared" si="21"/>
        <v>Aug_2017</v>
      </c>
    </row>
    <row r="676" spans="1:13" ht="15.75" x14ac:dyDescent="0.25">
      <c r="A676" s="16" t="s">
        <v>0</v>
      </c>
      <c r="B676" s="17" t="s">
        <v>10</v>
      </c>
      <c r="C676" s="18">
        <v>42950</v>
      </c>
      <c r="D676" s="19" t="s">
        <v>18</v>
      </c>
      <c r="E676" s="20">
        <v>0.70833333333333304</v>
      </c>
      <c r="F676" s="20">
        <v>0.875</v>
      </c>
      <c r="G676" s="21">
        <v>8.0000000000000036</v>
      </c>
      <c r="H676" s="21">
        <v>4.0000000000000036</v>
      </c>
      <c r="I676" s="21">
        <v>4.0000000000000036</v>
      </c>
      <c r="J676" s="24" t="s">
        <v>9</v>
      </c>
      <c r="K676" s="23" t="s">
        <v>107</v>
      </c>
      <c r="L676" s="58">
        <f t="shared" si="20"/>
        <v>1</v>
      </c>
      <c r="M676" s="8" t="str">
        <f t="shared" si="21"/>
        <v>Aug_2017</v>
      </c>
    </row>
    <row r="677" spans="1:13" ht="15.75" x14ac:dyDescent="0.25">
      <c r="A677" s="16" t="s">
        <v>0</v>
      </c>
      <c r="B677" s="17" t="s">
        <v>12</v>
      </c>
      <c r="C677" s="18">
        <v>42950</v>
      </c>
      <c r="D677" s="19" t="s">
        <v>18</v>
      </c>
      <c r="E677" s="20">
        <v>0.70833333333333304</v>
      </c>
      <c r="F677" s="20">
        <v>0.875</v>
      </c>
      <c r="G677" s="21">
        <v>8.0000000000000036</v>
      </c>
      <c r="H677" s="21">
        <v>4.0000000000000036</v>
      </c>
      <c r="I677" s="21">
        <v>4.0000000000000036</v>
      </c>
      <c r="J677" s="24" t="s">
        <v>9</v>
      </c>
      <c r="K677" s="23" t="s">
        <v>107</v>
      </c>
      <c r="L677" s="58">
        <f t="shared" si="20"/>
        <v>1</v>
      </c>
      <c r="M677" s="8" t="str">
        <f t="shared" si="21"/>
        <v>Aug_2017</v>
      </c>
    </row>
    <row r="678" spans="1:13" ht="15.75" x14ac:dyDescent="0.25">
      <c r="A678" s="16" t="s">
        <v>0</v>
      </c>
      <c r="B678" s="17" t="s">
        <v>34</v>
      </c>
      <c r="C678" s="18">
        <v>42950</v>
      </c>
      <c r="D678" s="19" t="s">
        <v>18</v>
      </c>
      <c r="E678" s="20">
        <v>0.70833333333333304</v>
      </c>
      <c r="F678" s="20">
        <v>0.875</v>
      </c>
      <c r="G678" s="21">
        <v>8.0000000000000036</v>
      </c>
      <c r="H678" s="21">
        <v>4.0000000000000036</v>
      </c>
      <c r="I678" s="21">
        <v>4.0000000000000036</v>
      </c>
      <c r="J678" s="24" t="s">
        <v>9</v>
      </c>
      <c r="K678" s="23" t="s">
        <v>107</v>
      </c>
      <c r="L678" s="58">
        <f t="shared" si="20"/>
        <v>1</v>
      </c>
      <c r="M678" s="8" t="str">
        <f t="shared" si="21"/>
        <v>Aug_2017</v>
      </c>
    </row>
    <row r="679" spans="1:13" ht="15.75" x14ac:dyDescent="0.25">
      <c r="A679" s="16" t="s">
        <v>0</v>
      </c>
      <c r="B679" s="17" t="s">
        <v>68</v>
      </c>
      <c r="C679" s="18">
        <v>42950</v>
      </c>
      <c r="D679" s="19" t="s">
        <v>18</v>
      </c>
      <c r="E679" s="20">
        <v>0.70833333333333304</v>
      </c>
      <c r="F679" s="20">
        <v>0.875</v>
      </c>
      <c r="G679" s="21">
        <v>8.0000000000000036</v>
      </c>
      <c r="H679" s="21">
        <v>4.0000000000000036</v>
      </c>
      <c r="I679" s="21">
        <v>4.0000000000000036</v>
      </c>
      <c r="J679" s="24" t="s">
        <v>9</v>
      </c>
      <c r="K679" s="23" t="s">
        <v>107</v>
      </c>
      <c r="L679" s="58">
        <f t="shared" si="20"/>
        <v>1</v>
      </c>
      <c r="M679" s="8" t="str">
        <f t="shared" si="21"/>
        <v>Aug_2017</v>
      </c>
    </row>
    <row r="680" spans="1:13" ht="15.75" x14ac:dyDescent="0.25">
      <c r="A680" s="16" t="s">
        <v>0</v>
      </c>
      <c r="B680" s="17" t="s">
        <v>69</v>
      </c>
      <c r="C680" s="18">
        <v>42950</v>
      </c>
      <c r="D680" s="19" t="s">
        <v>18</v>
      </c>
      <c r="E680" s="20">
        <v>0.70833333333333304</v>
      </c>
      <c r="F680" s="20">
        <v>0.875</v>
      </c>
      <c r="G680" s="21">
        <v>8.0000000000000036</v>
      </c>
      <c r="H680" s="21">
        <v>4.0000000000000036</v>
      </c>
      <c r="I680" s="21">
        <v>4.0000000000000036</v>
      </c>
      <c r="J680" s="24" t="s">
        <v>9</v>
      </c>
      <c r="K680" s="23" t="s">
        <v>107</v>
      </c>
      <c r="L680" s="58">
        <f t="shared" si="20"/>
        <v>1</v>
      </c>
      <c r="M680" s="8" t="str">
        <f t="shared" si="21"/>
        <v>Aug_2017</v>
      </c>
    </row>
    <row r="681" spans="1:13" ht="15.75" x14ac:dyDescent="0.25">
      <c r="A681" s="16" t="s">
        <v>117</v>
      </c>
      <c r="B681" s="17" t="s">
        <v>118</v>
      </c>
      <c r="C681" s="18">
        <v>42950</v>
      </c>
      <c r="D681" s="19" t="s">
        <v>18</v>
      </c>
      <c r="E681" s="20">
        <v>0.33333333333333298</v>
      </c>
      <c r="F681" s="20">
        <v>0.875</v>
      </c>
      <c r="G681" s="21">
        <v>0</v>
      </c>
      <c r="H681" s="21">
        <v>12.000000000000007</v>
      </c>
      <c r="I681" s="21">
        <v>12.000000000000007</v>
      </c>
      <c r="J681" s="24" t="s">
        <v>9</v>
      </c>
      <c r="K681" s="23" t="s">
        <v>107</v>
      </c>
      <c r="L681" s="58" t="str">
        <f t="shared" si="20"/>
        <v/>
      </c>
      <c r="M681" s="8" t="str">
        <f t="shared" si="21"/>
        <v>Aug_2017</v>
      </c>
    </row>
    <row r="682" spans="1:13" ht="15.75" x14ac:dyDescent="0.25">
      <c r="A682" s="16" t="s">
        <v>117</v>
      </c>
      <c r="B682" s="17" t="s">
        <v>224</v>
      </c>
      <c r="C682" s="18">
        <v>42950</v>
      </c>
      <c r="D682" s="19" t="s">
        <v>18</v>
      </c>
      <c r="E682" s="20">
        <v>0.72916666666666696</v>
      </c>
      <c r="F682" s="20">
        <v>0.875</v>
      </c>
      <c r="G682" s="21">
        <v>0</v>
      </c>
      <c r="H682" s="21">
        <v>3.4999999999999929</v>
      </c>
      <c r="I682" s="21">
        <v>3.4999999999999929</v>
      </c>
      <c r="J682" s="22" t="s">
        <v>9</v>
      </c>
      <c r="K682" s="23" t="s">
        <v>107</v>
      </c>
      <c r="L682" s="58" t="str">
        <f t="shared" si="20"/>
        <v/>
      </c>
      <c r="M682" s="8" t="str">
        <f t="shared" si="21"/>
        <v>Aug_2017</v>
      </c>
    </row>
    <row r="683" spans="1:13" ht="15.75" x14ac:dyDescent="0.25">
      <c r="A683" s="16" t="s">
        <v>117</v>
      </c>
      <c r="B683" s="17" t="s">
        <v>118</v>
      </c>
      <c r="C683" s="18">
        <v>42951</v>
      </c>
      <c r="D683" s="19" t="s">
        <v>17</v>
      </c>
      <c r="E683" s="20">
        <v>0.35416666666666702</v>
      </c>
      <c r="F683" s="20">
        <v>0.72916666666666696</v>
      </c>
      <c r="G683" s="21">
        <v>0</v>
      </c>
      <c r="H683" s="21">
        <v>7.9999999999999982</v>
      </c>
      <c r="I683" s="21">
        <v>7.9999999999999982</v>
      </c>
      <c r="J683" s="24" t="s">
        <v>9</v>
      </c>
      <c r="K683" s="23" t="s">
        <v>240</v>
      </c>
      <c r="L683" s="58" t="str">
        <f t="shared" si="20"/>
        <v/>
      </c>
      <c r="M683" s="8" t="str">
        <f t="shared" si="21"/>
        <v>Aug_2017</v>
      </c>
    </row>
    <row r="684" spans="1:13" ht="15.75" x14ac:dyDescent="0.25">
      <c r="A684" s="16" t="s">
        <v>117</v>
      </c>
      <c r="B684" s="17" t="s">
        <v>118</v>
      </c>
      <c r="C684" s="18">
        <v>42954</v>
      </c>
      <c r="D684" s="19" t="s">
        <v>21</v>
      </c>
      <c r="E684" s="20">
        <v>0.35416666666666702</v>
      </c>
      <c r="F684" s="20">
        <v>0.72916666666666696</v>
      </c>
      <c r="G684" s="21">
        <v>0</v>
      </c>
      <c r="H684" s="21">
        <v>7.9999999999999982</v>
      </c>
      <c r="I684" s="21">
        <v>7.9999999999999982</v>
      </c>
      <c r="J684" s="22" t="s">
        <v>9</v>
      </c>
      <c r="K684" s="23" t="s">
        <v>241</v>
      </c>
      <c r="L684" s="58" t="str">
        <f t="shared" si="20"/>
        <v/>
      </c>
      <c r="M684" s="8" t="str">
        <f t="shared" si="21"/>
        <v>Aug_2017</v>
      </c>
    </row>
    <row r="685" spans="1:13" ht="15.75" x14ac:dyDescent="0.25">
      <c r="A685" s="16" t="s">
        <v>117</v>
      </c>
      <c r="B685" s="17" t="s">
        <v>118</v>
      </c>
      <c r="C685" s="18">
        <v>42955</v>
      </c>
      <c r="D685" s="19" t="s">
        <v>16</v>
      </c>
      <c r="E685" s="20">
        <v>0.35416666666666702</v>
      </c>
      <c r="F685" s="20">
        <v>0.72916666666666696</v>
      </c>
      <c r="G685" s="21">
        <v>0</v>
      </c>
      <c r="H685" s="21">
        <v>7.9999999999999982</v>
      </c>
      <c r="I685" s="21">
        <v>7.9999999999999982</v>
      </c>
      <c r="J685" s="22" t="s">
        <v>9</v>
      </c>
      <c r="K685" s="23" t="s">
        <v>242</v>
      </c>
      <c r="L685" s="58" t="str">
        <f t="shared" si="20"/>
        <v/>
      </c>
      <c r="M685" s="8" t="str">
        <f t="shared" si="21"/>
        <v>Aug_2017</v>
      </c>
    </row>
    <row r="686" spans="1:13" ht="15.75" x14ac:dyDescent="0.25">
      <c r="A686" s="16" t="s">
        <v>117</v>
      </c>
      <c r="B686" s="17" t="s">
        <v>118</v>
      </c>
      <c r="C686" s="18">
        <v>42956</v>
      </c>
      <c r="D686" s="19" t="s">
        <v>19</v>
      </c>
      <c r="E686" s="20">
        <v>0.35416666666666702</v>
      </c>
      <c r="F686" s="20">
        <v>0.72916666666666696</v>
      </c>
      <c r="G686" s="21">
        <v>0</v>
      </c>
      <c r="H686" s="21">
        <v>7.9999999999999982</v>
      </c>
      <c r="I686" s="21">
        <v>7.9999999999999982</v>
      </c>
      <c r="J686" s="22" t="s">
        <v>9</v>
      </c>
      <c r="K686" s="23" t="s">
        <v>243</v>
      </c>
      <c r="L686" s="58" t="str">
        <f t="shared" si="20"/>
        <v/>
      </c>
      <c r="M686" s="8" t="str">
        <f t="shared" si="21"/>
        <v>Aug_2017</v>
      </c>
    </row>
    <row r="687" spans="1:13" ht="15.75" x14ac:dyDescent="0.25">
      <c r="A687" s="16" t="s">
        <v>117</v>
      </c>
      <c r="B687" s="17" t="s">
        <v>118</v>
      </c>
      <c r="C687" s="18">
        <v>42957</v>
      </c>
      <c r="D687" s="19" t="s">
        <v>18</v>
      </c>
      <c r="E687" s="20">
        <v>0.35416666666666702</v>
      </c>
      <c r="F687" s="20">
        <v>0.72916666666666696</v>
      </c>
      <c r="G687" s="21">
        <v>0</v>
      </c>
      <c r="H687" s="21">
        <v>7.9999999999999982</v>
      </c>
      <c r="I687" s="21">
        <v>7.9999999999999982</v>
      </c>
      <c r="J687" s="22" t="s">
        <v>9</v>
      </c>
      <c r="K687" s="23" t="s">
        <v>244</v>
      </c>
      <c r="L687" s="58" t="str">
        <f t="shared" si="20"/>
        <v/>
      </c>
      <c r="M687" s="8" t="str">
        <f t="shared" si="21"/>
        <v>Aug_2017</v>
      </c>
    </row>
    <row r="688" spans="1:13" ht="15.75" x14ac:dyDescent="0.25">
      <c r="A688" s="16" t="s">
        <v>117</v>
      </c>
      <c r="B688" s="17" t="s">
        <v>118</v>
      </c>
      <c r="C688" s="18">
        <v>42958</v>
      </c>
      <c r="D688" s="19" t="s">
        <v>17</v>
      </c>
      <c r="E688" s="20">
        <v>0.35416666666666702</v>
      </c>
      <c r="F688" s="20">
        <v>0.72916666666666696</v>
      </c>
      <c r="G688" s="21">
        <v>0</v>
      </c>
      <c r="H688" s="21">
        <v>7.9999999999999982</v>
      </c>
      <c r="I688" s="21">
        <v>7.9999999999999982</v>
      </c>
      <c r="J688" s="22" t="s">
        <v>9</v>
      </c>
      <c r="K688" s="23" t="s">
        <v>245</v>
      </c>
      <c r="L688" s="58" t="str">
        <f t="shared" si="20"/>
        <v/>
      </c>
      <c r="M688" s="8" t="str">
        <f t="shared" si="21"/>
        <v>Aug_2017</v>
      </c>
    </row>
    <row r="689" spans="1:13" ht="15.75" x14ac:dyDescent="0.25">
      <c r="A689" s="16" t="s">
        <v>117</v>
      </c>
      <c r="B689" s="17" t="s">
        <v>118</v>
      </c>
      <c r="C689" s="18">
        <v>42961</v>
      </c>
      <c r="D689" s="19" t="s">
        <v>21</v>
      </c>
      <c r="E689" s="20">
        <v>0.35416666666666702</v>
      </c>
      <c r="F689" s="20">
        <v>0.72916666666666696</v>
      </c>
      <c r="G689" s="21">
        <v>0</v>
      </c>
      <c r="H689" s="21">
        <v>7.9999999999999982</v>
      </c>
      <c r="I689" s="21">
        <v>7.9999999999999982</v>
      </c>
      <c r="J689" s="22" t="s">
        <v>9</v>
      </c>
      <c r="K689" s="23" t="s">
        <v>246</v>
      </c>
      <c r="L689" s="58" t="str">
        <f t="shared" si="20"/>
        <v/>
      </c>
      <c r="M689" s="8" t="str">
        <f t="shared" si="21"/>
        <v>Aug_2017</v>
      </c>
    </row>
    <row r="690" spans="1:13" ht="15.75" x14ac:dyDescent="0.25">
      <c r="A690" s="16" t="s">
        <v>117</v>
      </c>
      <c r="B690" s="17" t="s">
        <v>247</v>
      </c>
      <c r="C690" s="18">
        <v>42961</v>
      </c>
      <c r="D690" s="19" t="s">
        <v>21</v>
      </c>
      <c r="E690" s="20">
        <v>0.35416666666666702</v>
      </c>
      <c r="F690" s="20">
        <v>0.72916666666666696</v>
      </c>
      <c r="G690" s="21">
        <v>0</v>
      </c>
      <c r="H690" s="21">
        <v>7.9999999999999982</v>
      </c>
      <c r="I690" s="21">
        <v>7.9999999999999982</v>
      </c>
      <c r="J690" s="22" t="s">
        <v>9</v>
      </c>
      <c r="K690" s="23" t="s">
        <v>246</v>
      </c>
      <c r="L690" s="58" t="str">
        <f t="shared" si="20"/>
        <v/>
      </c>
      <c r="M690" s="8" t="str">
        <f t="shared" si="21"/>
        <v>Aug_2017</v>
      </c>
    </row>
    <row r="691" spans="1:13" ht="15.75" x14ac:dyDescent="0.25">
      <c r="A691" s="16" t="s">
        <v>117</v>
      </c>
      <c r="B691" s="17" t="s">
        <v>118</v>
      </c>
      <c r="C691" s="18">
        <v>42962</v>
      </c>
      <c r="D691" s="19" t="s">
        <v>16</v>
      </c>
      <c r="E691" s="20">
        <v>0.35416666666666702</v>
      </c>
      <c r="F691" s="20">
        <v>0.72916666666666696</v>
      </c>
      <c r="G691" s="21">
        <v>0</v>
      </c>
      <c r="H691" s="21">
        <v>7.9999999999999982</v>
      </c>
      <c r="I691" s="21">
        <v>7.9999999999999982</v>
      </c>
      <c r="J691" s="22" t="s">
        <v>9</v>
      </c>
      <c r="K691" s="23" t="s">
        <v>248</v>
      </c>
      <c r="L691" s="58" t="str">
        <f t="shared" si="20"/>
        <v/>
      </c>
      <c r="M691" s="8" t="str">
        <f t="shared" si="21"/>
        <v>Aug_2017</v>
      </c>
    </row>
    <row r="692" spans="1:13" ht="15.75" x14ac:dyDescent="0.25">
      <c r="A692" s="16" t="s">
        <v>117</v>
      </c>
      <c r="B692" s="17" t="s">
        <v>175</v>
      </c>
      <c r="C692" s="18">
        <v>42962</v>
      </c>
      <c r="D692" s="19" t="s">
        <v>16</v>
      </c>
      <c r="E692" s="20">
        <v>0.35416666666666702</v>
      </c>
      <c r="F692" s="20">
        <v>0.72916666666666696</v>
      </c>
      <c r="G692" s="21">
        <v>0</v>
      </c>
      <c r="H692" s="21">
        <v>7.9999999999999982</v>
      </c>
      <c r="I692" s="21">
        <v>7.9999999999999982</v>
      </c>
      <c r="J692" s="22" t="s">
        <v>9</v>
      </c>
      <c r="K692" s="23" t="s">
        <v>248</v>
      </c>
      <c r="L692" s="58" t="str">
        <f t="shared" si="20"/>
        <v/>
      </c>
      <c r="M692" s="8" t="str">
        <f t="shared" si="21"/>
        <v>Aug_2017</v>
      </c>
    </row>
    <row r="693" spans="1:13" ht="15.75" x14ac:dyDescent="0.25">
      <c r="A693" s="16" t="s">
        <v>117</v>
      </c>
      <c r="B693" s="17" t="s">
        <v>247</v>
      </c>
      <c r="C693" s="18">
        <v>42962</v>
      </c>
      <c r="D693" s="19" t="s">
        <v>16</v>
      </c>
      <c r="E693" s="20">
        <v>0.35416666666666702</v>
      </c>
      <c r="F693" s="20">
        <v>0.72916666666666696</v>
      </c>
      <c r="G693" s="21">
        <v>0</v>
      </c>
      <c r="H693" s="21">
        <v>7.9999999999999982</v>
      </c>
      <c r="I693" s="21">
        <v>7.9999999999999982</v>
      </c>
      <c r="J693" s="22" t="s">
        <v>9</v>
      </c>
      <c r="K693" s="23" t="s">
        <v>248</v>
      </c>
      <c r="L693" s="58" t="str">
        <f t="shared" si="20"/>
        <v/>
      </c>
      <c r="M693" s="8" t="str">
        <f t="shared" si="21"/>
        <v>Aug_2017</v>
      </c>
    </row>
    <row r="694" spans="1:13" ht="15.75" x14ac:dyDescent="0.25">
      <c r="A694" s="16" t="s">
        <v>117</v>
      </c>
      <c r="B694" s="17" t="s">
        <v>249</v>
      </c>
      <c r="C694" s="18">
        <v>42962</v>
      </c>
      <c r="D694" s="19" t="s">
        <v>16</v>
      </c>
      <c r="E694" s="20">
        <v>0.35416666666666702</v>
      </c>
      <c r="F694" s="20">
        <v>0.72916666666666696</v>
      </c>
      <c r="G694" s="21">
        <v>0</v>
      </c>
      <c r="H694" s="21">
        <v>7.9999999999999982</v>
      </c>
      <c r="I694" s="21">
        <v>7.9999999999999982</v>
      </c>
      <c r="J694" s="22" t="s">
        <v>9</v>
      </c>
      <c r="K694" s="23" t="s">
        <v>248</v>
      </c>
      <c r="L694" s="58" t="str">
        <f t="shared" si="20"/>
        <v/>
      </c>
      <c r="M694" s="8" t="str">
        <f t="shared" si="21"/>
        <v>Aug_2017</v>
      </c>
    </row>
    <row r="695" spans="1:13" ht="15.75" x14ac:dyDescent="0.25">
      <c r="A695" s="16" t="s">
        <v>0</v>
      </c>
      <c r="B695" s="17" t="s">
        <v>10</v>
      </c>
      <c r="C695" s="18">
        <v>42963</v>
      </c>
      <c r="D695" s="19" t="s">
        <v>19</v>
      </c>
      <c r="E695" s="20">
        <v>0.72916666666666696</v>
      </c>
      <c r="F695" s="20">
        <v>0.83333333333333304</v>
      </c>
      <c r="G695" s="21">
        <v>8.0000000000000036</v>
      </c>
      <c r="H695" s="21">
        <v>2.4999999999999805</v>
      </c>
      <c r="I695" s="21">
        <v>2.4999999999999805</v>
      </c>
      <c r="J695" s="22" t="s">
        <v>9</v>
      </c>
      <c r="K695" s="23" t="s">
        <v>108</v>
      </c>
      <c r="L695" s="58">
        <f t="shared" si="20"/>
        <v>1</v>
      </c>
      <c r="M695" s="8" t="str">
        <f t="shared" si="21"/>
        <v>Aug_2017</v>
      </c>
    </row>
    <row r="696" spans="1:13" ht="15.75" x14ac:dyDescent="0.25">
      <c r="A696" s="16" t="s">
        <v>0</v>
      </c>
      <c r="B696" s="17" t="s">
        <v>12</v>
      </c>
      <c r="C696" s="18">
        <v>42963</v>
      </c>
      <c r="D696" s="19" t="s">
        <v>19</v>
      </c>
      <c r="E696" s="20">
        <v>0.72916666666666696</v>
      </c>
      <c r="F696" s="20">
        <v>0.75</v>
      </c>
      <c r="G696" s="21">
        <v>8.0000000000000036</v>
      </c>
      <c r="H696" s="21">
        <v>0.49999999999998757</v>
      </c>
      <c r="I696" s="21">
        <v>0.49999999999998757</v>
      </c>
      <c r="J696" s="22" t="s">
        <v>9</v>
      </c>
      <c r="K696" s="23" t="s">
        <v>108</v>
      </c>
      <c r="L696" s="58" t="str">
        <f t="shared" si="20"/>
        <v/>
      </c>
      <c r="M696" s="8" t="str">
        <f t="shared" si="21"/>
        <v>Aug_2017</v>
      </c>
    </row>
    <row r="697" spans="1:13" ht="15.75" x14ac:dyDescent="0.25">
      <c r="A697" s="16" t="s">
        <v>0</v>
      </c>
      <c r="B697" s="17" t="s">
        <v>34</v>
      </c>
      <c r="C697" s="18">
        <v>42963</v>
      </c>
      <c r="D697" s="19" t="s">
        <v>19</v>
      </c>
      <c r="E697" s="20">
        <v>0.72916666666666696</v>
      </c>
      <c r="F697" s="20">
        <v>0.83333333333333304</v>
      </c>
      <c r="G697" s="21">
        <v>8.0000000000000036</v>
      </c>
      <c r="H697" s="21">
        <v>2.4999999999999805</v>
      </c>
      <c r="I697" s="21">
        <v>2.4999999999999805</v>
      </c>
      <c r="J697" s="22" t="s">
        <v>9</v>
      </c>
      <c r="K697" s="23" t="s">
        <v>108</v>
      </c>
      <c r="L697" s="58">
        <f t="shared" si="20"/>
        <v>1</v>
      </c>
      <c r="M697" s="8" t="str">
        <f t="shared" si="21"/>
        <v>Aug_2017</v>
      </c>
    </row>
    <row r="698" spans="1:13" ht="15.75" x14ac:dyDescent="0.25">
      <c r="A698" s="16" t="s">
        <v>117</v>
      </c>
      <c r="B698" s="17" t="s">
        <v>118</v>
      </c>
      <c r="C698" s="18">
        <v>42963</v>
      </c>
      <c r="D698" s="19" t="s">
        <v>19</v>
      </c>
      <c r="E698" s="20">
        <v>0.35416666666666702</v>
      </c>
      <c r="F698" s="20">
        <v>0.83333333333333304</v>
      </c>
      <c r="G698" s="21">
        <v>0</v>
      </c>
      <c r="H698" s="21">
        <v>10.499999999999984</v>
      </c>
      <c r="I698" s="21">
        <v>10.499999999999984</v>
      </c>
      <c r="J698" s="22" t="s">
        <v>9</v>
      </c>
      <c r="K698" s="23" t="s">
        <v>108</v>
      </c>
      <c r="L698" s="58" t="str">
        <f t="shared" si="20"/>
        <v/>
      </c>
      <c r="M698" s="8" t="str">
        <f t="shared" si="21"/>
        <v>Aug_2017</v>
      </c>
    </row>
    <row r="699" spans="1:13" ht="15.75" x14ac:dyDescent="0.25">
      <c r="A699" s="16" t="s">
        <v>117</v>
      </c>
      <c r="B699" s="17" t="s">
        <v>175</v>
      </c>
      <c r="C699" s="18">
        <v>42963</v>
      </c>
      <c r="D699" s="19" t="s">
        <v>19</v>
      </c>
      <c r="E699" s="20">
        <v>0.35416666666666702</v>
      </c>
      <c r="F699" s="20">
        <v>0.83333333333333304</v>
      </c>
      <c r="G699" s="21">
        <v>0</v>
      </c>
      <c r="H699" s="21">
        <v>10.499999999999984</v>
      </c>
      <c r="I699" s="21">
        <v>10.499999999999984</v>
      </c>
      <c r="J699" s="22" t="s">
        <v>9</v>
      </c>
      <c r="K699" s="23" t="s">
        <v>108</v>
      </c>
      <c r="L699" s="58" t="str">
        <f t="shared" si="20"/>
        <v/>
      </c>
      <c r="M699" s="8" t="str">
        <f t="shared" si="21"/>
        <v>Aug_2017</v>
      </c>
    </row>
    <row r="700" spans="1:13" ht="15.75" x14ac:dyDescent="0.25">
      <c r="A700" s="16" t="s">
        <v>117</v>
      </c>
      <c r="B700" s="17" t="s">
        <v>247</v>
      </c>
      <c r="C700" s="18">
        <v>42963</v>
      </c>
      <c r="D700" s="19" t="s">
        <v>19</v>
      </c>
      <c r="E700" s="20">
        <v>0.52083333333333304</v>
      </c>
      <c r="F700" s="20">
        <v>0.83333333333333304</v>
      </c>
      <c r="G700" s="21">
        <v>0</v>
      </c>
      <c r="H700" s="21">
        <v>7.5</v>
      </c>
      <c r="I700" s="21">
        <v>7.5</v>
      </c>
      <c r="J700" s="22" t="s">
        <v>9</v>
      </c>
      <c r="K700" s="23" t="s">
        <v>108</v>
      </c>
      <c r="L700" s="58" t="str">
        <f t="shared" si="20"/>
        <v/>
      </c>
      <c r="M700" s="8" t="str">
        <f t="shared" si="21"/>
        <v>Aug_2017</v>
      </c>
    </row>
    <row r="701" spans="1:13" ht="15.75" x14ac:dyDescent="0.25">
      <c r="A701" s="16" t="s">
        <v>117</v>
      </c>
      <c r="B701" s="17" t="s">
        <v>249</v>
      </c>
      <c r="C701" s="18">
        <v>42963</v>
      </c>
      <c r="D701" s="19" t="s">
        <v>19</v>
      </c>
      <c r="E701" s="20">
        <v>0.35416666666666702</v>
      </c>
      <c r="F701" s="20">
        <v>0.83333333333333304</v>
      </c>
      <c r="G701" s="21">
        <v>0</v>
      </c>
      <c r="H701" s="21">
        <v>10.499999999999984</v>
      </c>
      <c r="I701" s="21">
        <v>10.499999999999984</v>
      </c>
      <c r="J701" s="22" t="s">
        <v>9</v>
      </c>
      <c r="K701" s="23" t="s">
        <v>108</v>
      </c>
      <c r="L701" s="58" t="str">
        <f t="shared" si="20"/>
        <v/>
      </c>
      <c r="M701" s="8" t="str">
        <f t="shared" si="21"/>
        <v>Aug_2017</v>
      </c>
    </row>
    <row r="702" spans="1:13" ht="15.75" x14ac:dyDescent="0.25">
      <c r="A702" s="16" t="s">
        <v>117</v>
      </c>
      <c r="B702" s="17" t="s">
        <v>118</v>
      </c>
      <c r="C702" s="18">
        <v>42964</v>
      </c>
      <c r="D702" s="19" t="s">
        <v>18</v>
      </c>
      <c r="E702" s="20">
        <v>0.35416666666666702</v>
      </c>
      <c r="F702" s="20">
        <v>0.72916666666666696</v>
      </c>
      <c r="G702" s="21">
        <v>0</v>
      </c>
      <c r="H702" s="21">
        <v>7.9999999999999982</v>
      </c>
      <c r="I702" s="21">
        <v>7.9999999999999982</v>
      </c>
      <c r="J702" s="22" t="s">
        <v>9</v>
      </c>
      <c r="K702" s="23" t="s">
        <v>250</v>
      </c>
      <c r="L702" s="58" t="str">
        <f t="shared" si="20"/>
        <v/>
      </c>
      <c r="M702" s="8" t="str">
        <f t="shared" si="21"/>
        <v>Aug_2017</v>
      </c>
    </row>
    <row r="703" spans="1:13" ht="15.75" x14ac:dyDescent="0.25">
      <c r="A703" s="16" t="s">
        <v>117</v>
      </c>
      <c r="B703" s="17" t="s">
        <v>247</v>
      </c>
      <c r="C703" s="18">
        <v>42964</v>
      </c>
      <c r="D703" s="19" t="s">
        <v>18</v>
      </c>
      <c r="E703" s="20">
        <v>0.35416666666666702</v>
      </c>
      <c r="F703" s="20">
        <v>0.72916666666666696</v>
      </c>
      <c r="G703" s="21">
        <v>0</v>
      </c>
      <c r="H703" s="21">
        <v>7.9999999999999982</v>
      </c>
      <c r="I703" s="21">
        <v>7.9999999999999982</v>
      </c>
      <c r="J703" s="22" t="s">
        <v>9</v>
      </c>
      <c r="K703" s="23" t="s">
        <v>250</v>
      </c>
      <c r="L703" s="58" t="str">
        <f t="shared" si="20"/>
        <v/>
      </c>
      <c r="M703" s="8" t="str">
        <f t="shared" si="21"/>
        <v>Aug_2017</v>
      </c>
    </row>
    <row r="704" spans="1:13" ht="15.75" x14ac:dyDescent="0.25">
      <c r="A704" s="16" t="s">
        <v>117</v>
      </c>
      <c r="B704" s="17" t="s">
        <v>249</v>
      </c>
      <c r="C704" s="18">
        <v>42964</v>
      </c>
      <c r="D704" s="19" t="s">
        <v>18</v>
      </c>
      <c r="E704" s="20">
        <v>0.35416666666666702</v>
      </c>
      <c r="F704" s="20">
        <v>0.72916666666666696</v>
      </c>
      <c r="G704" s="21">
        <v>0</v>
      </c>
      <c r="H704" s="21">
        <v>7.9999999999999982</v>
      </c>
      <c r="I704" s="21">
        <v>7.9999999999999982</v>
      </c>
      <c r="J704" s="22" t="s">
        <v>9</v>
      </c>
      <c r="K704" s="23" t="s">
        <v>250</v>
      </c>
      <c r="L704" s="58" t="str">
        <f t="shared" si="20"/>
        <v/>
      </c>
      <c r="M704" s="8" t="str">
        <f t="shared" si="21"/>
        <v>Aug_2017</v>
      </c>
    </row>
    <row r="705" spans="1:13" ht="15.75" x14ac:dyDescent="0.25">
      <c r="A705" s="16" t="s">
        <v>117</v>
      </c>
      <c r="B705" s="17" t="s">
        <v>118</v>
      </c>
      <c r="C705" s="18">
        <v>42965</v>
      </c>
      <c r="D705" s="19" t="s">
        <v>17</v>
      </c>
      <c r="E705" s="20">
        <v>0.35416666666666702</v>
      </c>
      <c r="F705" s="20">
        <v>0.72916666666666696</v>
      </c>
      <c r="G705" s="21">
        <v>0</v>
      </c>
      <c r="H705" s="21">
        <v>7.9999999999999982</v>
      </c>
      <c r="I705" s="21">
        <v>7.9999999999999982</v>
      </c>
      <c r="J705" s="22" t="s">
        <v>9</v>
      </c>
      <c r="K705" s="23" t="s">
        <v>251</v>
      </c>
      <c r="L705" s="58" t="str">
        <f t="shared" si="20"/>
        <v/>
      </c>
      <c r="M705" s="8" t="str">
        <f t="shared" si="21"/>
        <v>Aug_2017</v>
      </c>
    </row>
    <row r="706" spans="1:13" ht="15.75" x14ac:dyDescent="0.25">
      <c r="A706" s="16" t="s">
        <v>117</v>
      </c>
      <c r="B706" s="17" t="s">
        <v>247</v>
      </c>
      <c r="C706" s="18">
        <v>42965</v>
      </c>
      <c r="D706" s="19" t="s">
        <v>17</v>
      </c>
      <c r="E706" s="20">
        <v>0.35416666666666702</v>
      </c>
      <c r="F706" s="20">
        <v>0.66666666666666696</v>
      </c>
      <c r="G706" s="21">
        <v>0</v>
      </c>
      <c r="H706" s="21">
        <v>6.4999999999999982</v>
      </c>
      <c r="I706" s="21">
        <v>6.4999999999999982</v>
      </c>
      <c r="J706" s="22" t="s">
        <v>9</v>
      </c>
      <c r="K706" s="23" t="s">
        <v>251</v>
      </c>
      <c r="L706" s="58" t="str">
        <f t="shared" si="20"/>
        <v/>
      </c>
      <c r="M706" s="8" t="str">
        <f t="shared" si="21"/>
        <v>Aug_2017</v>
      </c>
    </row>
    <row r="707" spans="1:13" ht="15.75" x14ac:dyDescent="0.25">
      <c r="A707" s="16" t="s">
        <v>117</v>
      </c>
      <c r="B707" s="17" t="s">
        <v>249</v>
      </c>
      <c r="C707" s="18">
        <v>42965</v>
      </c>
      <c r="D707" s="19" t="s">
        <v>17</v>
      </c>
      <c r="E707" s="20">
        <v>0.35416666666666702</v>
      </c>
      <c r="F707" s="20">
        <v>0.66666666666666696</v>
      </c>
      <c r="G707" s="21">
        <v>0</v>
      </c>
      <c r="H707" s="21">
        <v>6.4999999999999982</v>
      </c>
      <c r="I707" s="21">
        <v>6.4999999999999982</v>
      </c>
      <c r="J707" s="22" t="s">
        <v>9</v>
      </c>
      <c r="K707" s="23" t="s">
        <v>251</v>
      </c>
      <c r="L707" s="58" t="str">
        <f t="shared" ref="L707:L766" si="22">IF(AND($A707="Perm Staff Onsite",$H707&gt;=2),1,"")</f>
        <v/>
      </c>
      <c r="M707" s="8" t="str">
        <f t="shared" ref="M707:M766" si="23">IF($C707="","",TEXT(DATE(YEAR($C707),MONTH($C707),DAY($C707)),"MMM")&amp;"_"&amp;YEAR($C707))</f>
        <v>Aug_2017</v>
      </c>
    </row>
    <row r="708" spans="1:13" ht="15.75" x14ac:dyDescent="0.25">
      <c r="A708" s="16" t="s">
        <v>117</v>
      </c>
      <c r="B708" s="17" t="s">
        <v>118</v>
      </c>
      <c r="C708" s="18">
        <v>42968</v>
      </c>
      <c r="D708" s="19" t="s">
        <v>21</v>
      </c>
      <c r="E708" s="20">
        <v>0.35416666666666702</v>
      </c>
      <c r="F708" s="20">
        <v>0.72916666666666696</v>
      </c>
      <c r="G708" s="21">
        <v>0</v>
      </c>
      <c r="H708" s="21">
        <v>7.9999999999999982</v>
      </c>
      <c r="I708" s="21">
        <v>7.9999999999999982</v>
      </c>
      <c r="J708" s="22" t="s">
        <v>9</v>
      </c>
      <c r="K708" s="23" t="s">
        <v>252</v>
      </c>
      <c r="L708" s="58" t="str">
        <f t="shared" si="22"/>
        <v/>
      </c>
      <c r="M708" s="8" t="str">
        <f t="shared" si="23"/>
        <v>Aug_2017</v>
      </c>
    </row>
    <row r="709" spans="1:13" ht="15.75" x14ac:dyDescent="0.25">
      <c r="A709" s="16" t="s">
        <v>0</v>
      </c>
      <c r="B709" s="17" t="s">
        <v>10</v>
      </c>
      <c r="C709" s="18">
        <v>42969</v>
      </c>
      <c r="D709" s="19" t="s">
        <v>16</v>
      </c>
      <c r="E709" s="20">
        <v>0.72916666666666696</v>
      </c>
      <c r="F709" s="20">
        <v>0.89583333333333304</v>
      </c>
      <c r="G709" s="21">
        <v>8.0000000000000036</v>
      </c>
      <c r="H709" s="21">
        <v>3.9999999999999822</v>
      </c>
      <c r="I709" s="21">
        <v>3.9999999999999822</v>
      </c>
      <c r="J709" s="22" t="s">
        <v>9</v>
      </c>
      <c r="K709" s="23" t="s">
        <v>109</v>
      </c>
      <c r="L709" s="58">
        <f t="shared" si="22"/>
        <v>1</v>
      </c>
      <c r="M709" s="8" t="str">
        <f t="shared" si="23"/>
        <v>Aug_2017</v>
      </c>
    </row>
    <row r="710" spans="1:13" ht="15.75" x14ac:dyDescent="0.25">
      <c r="A710" s="16" t="s">
        <v>0</v>
      </c>
      <c r="B710" s="17" t="s">
        <v>12</v>
      </c>
      <c r="C710" s="18">
        <v>42969</v>
      </c>
      <c r="D710" s="19" t="s">
        <v>16</v>
      </c>
      <c r="E710" s="20">
        <v>0.72916666666666696</v>
      </c>
      <c r="F710" s="20">
        <v>0.89583333333333304</v>
      </c>
      <c r="G710" s="21">
        <v>8.0000000000000036</v>
      </c>
      <c r="H710" s="21">
        <v>3.9999999999999822</v>
      </c>
      <c r="I710" s="21">
        <v>3.9999999999999822</v>
      </c>
      <c r="J710" s="22" t="s">
        <v>9</v>
      </c>
      <c r="K710" s="23" t="s">
        <v>109</v>
      </c>
      <c r="L710" s="58">
        <f t="shared" si="22"/>
        <v>1</v>
      </c>
      <c r="M710" s="8" t="str">
        <f t="shared" si="23"/>
        <v>Aug_2017</v>
      </c>
    </row>
    <row r="711" spans="1:13" ht="15.75" x14ac:dyDescent="0.25">
      <c r="A711" s="16" t="s">
        <v>0</v>
      </c>
      <c r="B711" s="17" t="s">
        <v>34</v>
      </c>
      <c r="C711" s="18">
        <v>42969</v>
      </c>
      <c r="D711" s="19" t="s">
        <v>16</v>
      </c>
      <c r="E711" s="20">
        <v>0.72916666666666696</v>
      </c>
      <c r="F711" s="20">
        <v>0.89583333333333304</v>
      </c>
      <c r="G711" s="21">
        <v>8.0000000000000036</v>
      </c>
      <c r="H711" s="21">
        <v>3.9999999999999822</v>
      </c>
      <c r="I711" s="21">
        <v>3.9999999999999822</v>
      </c>
      <c r="J711" s="22" t="s">
        <v>9</v>
      </c>
      <c r="K711" s="23" t="s">
        <v>109</v>
      </c>
      <c r="L711" s="58">
        <f t="shared" si="22"/>
        <v>1</v>
      </c>
      <c r="M711" s="8" t="str">
        <f t="shared" si="23"/>
        <v>Aug_2017</v>
      </c>
    </row>
    <row r="712" spans="1:13" ht="15.75" x14ac:dyDescent="0.25">
      <c r="A712" s="16" t="s">
        <v>0</v>
      </c>
      <c r="B712" s="17" t="s">
        <v>68</v>
      </c>
      <c r="C712" s="18">
        <v>42969</v>
      </c>
      <c r="D712" s="19" t="s">
        <v>16</v>
      </c>
      <c r="E712" s="20">
        <v>0.72916666666666696</v>
      </c>
      <c r="F712" s="20">
        <v>0.89583333333333304</v>
      </c>
      <c r="G712" s="21">
        <v>8.0000000000000036</v>
      </c>
      <c r="H712" s="21">
        <v>3.9999999999999822</v>
      </c>
      <c r="I712" s="21">
        <v>3.9999999999999822</v>
      </c>
      <c r="J712" s="22" t="s">
        <v>9</v>
      </c>
      <c r="K712" s="23" t="s">
        <v>109</v>
      </c>
      <c r="L712" s="58">
        <f t="shared" si="22"/>
        <v>1</v>
      </c>
      <c r="M712" s="8" t="str">
        <f t="shared" si="23"/>
        <v>Aug_2017</v>
      </c>
    </row>
    <row r="713" spans="1:13" ht="15.75" x14ac:dyDescent="0.25">
      <c r="A713" s="16" t="s">
        <v>0</v>
      </c>
      <c r="B713" s="17" t="s">
        <v>69</v>
      </c>
      <c r="C713" s="18">
        <v>42969</v>
      </c>
      <c r="D713" s="19" t="s">
        <v>16</v>
      </c>
      <c r="E713" s="20">
        <v>0.72916666666666696</v>
      </c>
      <c r="F713" s="20">
        <v>0.89583333333333304</v>
      </c>
      <c r="G713" s="21">
        <v>8.0000000000000036</v>
      </c>
      <c r="H713" s="21">
        <v>3.9999999999999822</v>
      </c>
      <c r="I713" s="21">
        <v>3.9999999999999822</v>
      </c>
      <c r="J713" s="22" t="s">
        <v>9</v>
      </c>
      <c r="K713" s="23" t="s">
        <v>109</v>
      </c>
      <c r="L713" s="58">
        <f t="shared" si="22"/>
        <v>1</v>
      </c>
      <c r="M713" s="8" t="str">
        <f t="shared" si="23"/>
        <v>Aug_2017</v>
      </c>
    </row>
    <row r="714" spans="1:13" ht="15.75" x14ac:dyDescent="0.25">
      <c r="A714" s="16" t="s">
        <v>117</v>
      </c>
      <c r="B714" s="17" t="s">
        <v>175</v>
      </c>
      <c r="C714" s="18">
        <v>42969</v>
      </c>
      <c r="D714" s="19" t="s">
        <v>16</v>
      </c>
      <c r="E714" s="20">
        <v>0.45833333333333298</v>
      </c>
      <c r="F714" s="20">
        <v>0.89583333333333304</v>
      </c>
      <c r="G714" s="21">
        <v>0</v>
      </c>
      <c r="H714" s="21">
        <v>9.5000000000000018</v>
      </c>
      <c r="I714" s="21">
        <v>9.5000000000000018</v>
      </c>
      <c r="J714" s="22" t="s">
        <v>9</v>
      </c>
      <c r="K714" s="23" t="s">
        <v>109</v>
      </c>
      <c r="L714" s="58" t="str">
        <f t="shared" si="22"/>
        <v/>
      </c>
      <c r="M714" s="8" t="str">
        <f t="shared" si="23"/>
        <v>Aug_2017</v>
      </c>
    </row>
    <row r="715" spans="1:13" ht="15.75" x14ac:dyDescent="0.25">
      <c r="A715" s="16" t="s">
        <v>117</v>
      </c>
      <c r="B715" s="17" t="s">
        <v>247</v>
      </c>
      <c r="C715" s="18">
        <v>42969</v>
      </c>
      <c r="D715" s="19" t="s">
        <v>16</v>
      </c>
      <c r="E715" s="20">
        <v>0.4375</v>
      </c>
      <c r="F715" s="20">
        <v>0.89583333333333304</v>
      </c>
      <c r="G715" s="21">
        <v>0</v>
      </c>
      <c r="H715" s="21">
        <v>9.9999999999999929</v>
      </c>
      <c r="I715" s="21">
        <v>9.9999999999999929</v>
      </c>
      <c r="J715" s="22" t="s">
        <v>9</v>
      </c>
      <c r="K715" s="23" t="s">
        <v>109</v>
      </c>
      <c r="L715" s="58" t="str">
        <f t="shared" si="22"/>
        <v/>
      </c>
      <c r="M715" s="8" t="str">
        <f t="shared" si="23"/>
        <v>Aug_2017</v>
      </c>
    </row>
    <row r="716" spans="1:13" ht="15.75" x14ac:dyDescent="0.25">
      <c r="A716" s="16" t="s">
        <v>0</v>
      </c>
      <c r="B716" s="17" t="s">
        <v>10</v>
      </c>
      <c r="C716" s="18">
        <v>42970</v>
      </c>
      <c r="D716" s="19" t="s">
        <v>19</v>
      </c>
      <c r="E716" s="20">
        <v>0.75</v>
      </c>
      <c r="F716" s="20">
        <v>0.875</v>
      </c>
      <c r="G716" s="21">
        <v>8.0000000000000036</v>
      </c>
      <c r="H716" s="21">
        <v>2.9999999999999964</v>
      </c>
      <c r="I716" s="21">
        <v>2.9999999999999964</v>
      </c>
      <c r="J716" s="22" t="s">
        <v>9</v>
      </c>
      <c r="K716" s="23" t="s">
        <v>110</v>
      </c>
      <c r="L716" s="58">
        <f t="shared" si="22"/>
        <v>1</v>
      </c>
      <c r="M716" s="8" t="str">
        <f t="shared" si="23"/>
        <v>Aug_2017</v>
      </c>
    </row>
    <row r="717" spans="1:13" ht="15.75" x14ac:dyDescent="0.25">
      <c r="A717" s="16" t="s">
        <v>0</v>
      </c>
      <c r="B717" s="17" t="s">
        <v>12</v>
      </c>
      <c r="C717" s="18">
        <v>42970</v>
      </c>
      <c r="D717" s="19" t="s">
        <v>19</v>
      </c>
      <c r="E717" s="20">
        <v>0.72916666666666696</v>
      </c>
      <c r="F717" s="20">
        <v>0.875</v>
      </c>
      <c r="G717" s="21">
        <v>8.0000000000000036</v>
      </c>
      <c r="H717" s="21">
        <v>3.4999999999999893</v>
      </c>
      <c r="I717" s="21">
        <v>3.4999999999999893</v>
      </c>
      <c r="J717" s="22" t="s">
        <v>9</v>
      </c>
      <c r="K717" s="23" t="s">
        <v>110</v>
      </c>
      <c r="L717" s="58">
        <f t="shared" si="22"/>
        <v>1</v>
      </c>
      <c r="M717" s="8" t="str">
        <f t="shared" si="23"/>
        <v>Aug_2017</v>
      </c>
    </row>
    <row r="718" spans="1:13" ht="15.75" x14ac:dyDescent="0.25">
      <c r="A718" s="16" t="s">
        <v>0</v>
      </c>
      <c r="B718" s="17" t="s">
        <v>34</v>
      </c>
      <c r="C718" s="18">
        <v>42970</v>
      </c>
      <c r="D718" s="19" t="s">
        <v>19</v>
      </c>
      <c r="E718" s="20">
        <v>0.72916666666666696</v>
      </c>
      <c r="F718" s="20">
        <v>0.875</v>
      </c>
      <c r="G718" s="21">
        <v>8.0000000000000036</v>
      </c>
      <c r="H718" s="21">
        <v>3.4999999999999893</v>
      </c>
      <c r="I718" s="21">
        <v>3.4999999999999893</v>
      </c>
      <c r="J718" s="22" t="s">
        <v>9</v>
      </c>
      <c r="K718" s="23" t="s">
        <v>110</v>
      </c>
      <c r="L718" s="58">
        <f t="shared" si="22"/>
        <v>1</v>
      </c>
      <c r="M718" s="8" t="str">
        <f t="shared" si="23"/>
        <v>Aug_2017</v>
      </c>
    </row>
    <row r="719" spans="1:13" ht="15.75" x14ac:dyDescent="0.25">
      <c r="A719" s="16" t="s">
        <v>0</v>
      </c>
      <c r="B719" s="17" t="s">
        <v>68</v>
      </c>
      <c r="C719" s="18">
        <v>42970</v>
      </c>
      <c r="D719" s="19" t="s">
        <v>19</v>
      </c>
      <c r="E719" s="20">
        <v>0.72916666666666696</v>
      </c>
      <c r="F719" s="20">
        <v>0.875</v>
      </c>
      <c r="G719" s="21">
        <v>8.0000000000000036</v>
      </c>
      <c r="H719" s="21">
        <v>3.4999999999999893</v>
      </c>
      <c r="I719" s="21">
        <v>3.4999999999999893</v>
      </c>
      <c r="J719" s="22" t="s">
        <v>9</v>
      </c>
      <c r="K719" s="23" t="s">
        <v>110</v>
      </c>
      <c r="L719" s="58">
        <f t="shared" si="22"/>
        <v>1</v>
      </c>
      <c r="M719" s="8" t="str">
        <f t="shared" si="23"/>
        <v>Aug_2017</v>
      </c>
    </row>
    <row r="720" spans="1:13" ht="15.75" x14ac:dyDescent="0.25">
      <c r="A720" s="16" t="s">
        <v>0</v>
      </c>
      <c r="B720" s="17" t="s">
        <v>69</v>
      </c>
      <c r="C720" s="18">
        <v>42970</v>
      </c>
      <c r="D720" s="19" t="s">
        <v>19</v>
      </c>
      <c r="E720" s="20">
        <v>0.72916666666666696</v>
      </c>
      <c r="F720" s="20">
        <v>0.875</v>
      </c>
      <c r="G720" s="21">
        <v>8.0000000000000036</v>
      </c>
      <c r="H720" s="21">
        <v>3.4999999999999893</v>
      </c>
      <c r="I720" s="21">
        <v>3.4999999999999893</v>
      </c>
      <c r="J720" s="22" t="s">
        <v>9</v>
      </c>
      <c r="K720" s="23" t="s">
        <v>110</v>
      </c>
      <c r="L720" s="58">
        <f t="shared" si="22"/>
        <v>1</v>
      </c>
      <c r="M720" s="8" t="str">
        <f t="shared" si="23"/>
        <v>Aug_2017</v>
      </c>
    </row>
    <row r="721" spans="1:13" ht="15.75" x14ac:dyDescent="0.25">
      <c r="A721" s="16" t="s">
        <v>117</v>
      </c>
      <c r="B721" s="17" t="s">
        <v>171</v>
      </c>
      <c r="C721" s="18">
        <v>42970</v>
      </c>
      <c r="D721" s="19" t="s">
        <v>19</v>
      </c>
      <c r="E721" s="20">
        <v>0.77083333333333304</v>
      </c>
      <c r="F721" s="20">
        <v>0.875</v>
      </c>
      <c r="G721" s="21">
        <v>0</v>
      </c>
      <c r="H721" s="21">
        <v>2.5000000000000071</v>
      </c>
      <c r="I721" s="21">
        <v>2.5000000000000071</v>
      </c>
      <c r="J721" s="22" t="s">
        <v>9</v>
      </c>
      <c r="K721" s="23" t="s">
        <v>110</v>
      </c>
      <c r="L721" s="58" t="str">
        <f t="shared" si="22"/>
        <v/>
      </c>
      <c r="M721" s="8" t="str">
        <f t="shared" si="23"/>
        <v>Aug_2017</v>
      </c>
    </row>
    <row r="722" spans="1:13" ht="15.75" x14ac:dyDescent="0.25">
      <c r="A722" s="16" t="s">
        <v>117</v>
      </c>
      <c r="B722" s="17" t="s">
        <v>177</v>
      </c>
      <c r="C722" s="18">
        <v>42970</v>
      </c>
      <c r="D722" s="19" t="s">
        <v>19</v>
      </c>
      <c r="E722" s="20">
        <v>0.77083333333333304</v>
      </c>
      <c r="F722" s="20">
        <v>0.875</v>
      </c>
      <c r="G722" s="21">
        <v>0</v>
      </c>
      <c r="H722" s="21">
        <v>2.5000000000000071</v>
      </c>
      <c r="I722" s="21">
        <v>2.5000000000000071</v>
      </c>
      <c r="J722" s="22" t="s">
        <v>9</v>
      </c>
      <c r="K722" s="23" t="s">
        <v>110</v>
      </c>
      <c r="L722" s="58" t="str">
        <f t="shared" si="22"/>
        <v/>
      </c>
      <c r="M722" s="8" t="str">
        <f t="shared" si="23"/>
        <v>Aug_2017</v>
      </c>
    </row>
    <row r="723" spans="1:13" ht="15.75" x14ac:dyDescent="0.25">
      <c r="A723" s="16" t="s">
        <v>117</v>
      </c>
      <c r="B723" s="17" t="s">
        <v>175</v>
      </c>
      <c r="C723" s="18">
        <v>42970</v>
      </c>
      <c r="D723" s="19" t="s">
        <v>19</v>
      </c>
      <c r="E723" s="20">
        <v>0.77083333333333304</v>
      </c>
      <c r="F723" s="20">
        <v>0.875</v>
      </c>
      <c r="G723" s="21">
        <v>0</v>
      </c>
      <c r="H723" s="21">
        <v>2.5000000000000071</v>
      </c>
      <c r="I723" s="21">
        <v>2.5000000000000071</v>
      </c>
      <c r="J723" s="22" t="s">
        <v>9</v>
      </c>
      <c r="K723" s="23" t="s">
        <v>110</v>
      </c>
      <c r="L723" s="58" t="str">
        <f t="shared" si="22"/>
        <v/>
      </c>
      <c r="M723" s="8" t="str">
        <f t="shared" si="23"/>
        <v>Aug_2017</v>
      </c>
    </row>
    <row r="724" spans="1:13" ht="15.75" x14ac:dyDescent="0.25">
      <c r="A724" s="16" t="s">
        <v>117</v>
      </c>
      <c r="B724" s="17" t="s">
        <v>247</v>
      </c>
      <c r="C724" s="18">
        <v>42970</v>
      </c>
      <c r="D724" s="19" t="s">
        <v>19</v>
      </c>
      <c r="E724" s="20">
        <v>0.35416666666666702</v>
      </c>
      <c r="F724" s="20">
        <v>0.875</v>
      </c>
      <c r="G724" s="21">
        <v>0</v>
      </c>
      <c r="H724" s="21">
        <v>11.499999999999993</v>
      </c>
      <c r="I724" s="21">
        <v>11.499999999999993</v>
      </c>
      <c r="J724" s="22" t="s">
        <v>9</v>
      </c>
      <c r="K724" s="23" t="s">
        <v>110</v>
      </c>
      <c r="L724" s="58" t="str">
        <f t="shared" si="22"/>
        <v/>
      </c>
      <c r="M724" s="8" t="str">
        <f t="shared" si="23"/>
        <v>Aug_2017</v>
      </c>
    </row>
    <row r="725" spans="1:13" ht="15.75" x14ac:dyDescent="0.25">
      <c r="A725" s="16" t="s">
        <v>0</v>
      </c>
      <c r="B725" s="17" t="s">
        <v>10</v>
      </c>
      <c r="C725" s="18">
        <v>42971</v>
      </c>
      <c r="D725" s="19" t="s">
        <v>18</v>
      </c>
      <c r="E725" s="20">
        <v>0.70833333333333304</v>
      </c>
      <c r="F725" s="20">
        <v>0.875</v>
      </c>
      <c r="G725" s="21">
        <v>8.0000000000000036</v>
      </c>
      <c r="H725" s="21">
        <v>4.0000000000000036</v>
      </c>
      <c r="I725" s="21">
        <v>4.0000000000000036</v>
      </c>
      <c r="J725" s="22" t="s">
        <v>9</v>
      </c>
      <c r="K725" s="23" t="s">
        <v>111</v>
      </c>
      <c r="L725" s="58">
        <f t="shared" si="22"/>
        <v>1</v>
      </c>
      <c r="M725" s="8" t="str">
        <f t="shared" si="23"/>
        <v>Aug_2017</v>
      </c>
    </row>
    <row r="726" spans="1:13" ht="15.75" x14ac:dyDescent="0.25">
      <c r="A726" s="16" t="s">
        <v>0</v>
      </c>
      <c r="B726" s="17" t="s">
        <v>12</v>
      </c>
      <c r="C726" s="18">
        <v>42971</v>
      </c>
      <c r="D726" s="19" t="s">
        <v>18</v>
      </c>
      <c r="E726" s="20">
        <v>0.70833333333333304</v>
      </c>
      <c r="F726" s="20">
        <v>0.875</v>
      </c>
      <c r="G726" s="21">
        <v>8.0000000000000036</v>
      </c>
      <c r="H726" s="21">
        <v>4.0000000000000036</v>
      </c>
      <c r="I726" s="21">
        <v>4.0000000000000036</v>
      </c>
      <c r="J726" s="22" t="s">
        <v>9</v>
      </c>
      <c r="K726" s="23" t="s">
        <v>111</v>
      </c>
      <c r="L726" s="58">
        <f t="shared" si="22"/>
        <v>1</v>
      </c>
      <c r="M726" s="8" t="str">
        <f t="shared" si="23"/>
        <v>Aug_2017</v>
      </c>
    </row>
    <row r="727" spans="1:13" ht="15.75" x14ac:dyDescent="0.25">
      <c r="A727" s="16" t="s">
        <v>0</v>
      </c>
      <c r="B727" s="17" t="s">
        <v>34</v>
      </c>
      <c r="C727" s="18">
        <v>42971</v>
      </c>
      <c r="D727" s="19" t="s">
        <v>18</v>
      </c>
      <c r="E727" s="20">
        <v>0.70833333333333304</v>
      </c>
      <c r="F727" s="20">
        <v>0.875</v>
      </c>
      <c r="G727" s="21">
        <v>8.0000000000000036</v>
      </c>
      <c r="H727" s="21">
        <v>4.0000000000000036</v>
      </c>
      <c r="I727" s="21">
        <v>4.0000000000000036</v>
      </c>
      <c r="J727" s="22" t="s">
        <v>9</v>
      </c>
      <c r="K727" s="23" t="s">
        <v>111</v>
      </c>
      <c r="L727" s="58">
        <f t="shared" si="22"/>
        <v>1</v>
      </c>
      <c r="M727" s="8" t="str">
        <f t="shared" si="23"/>
        <v>Aug_2017</v>
      </c>
    </row>
    <row r="728" spans="1:13" ht="15.75" x14ac:dyDescent="0.25">
      <c r="A728" s="16" t="s">
        <v>0</v>
      </c>
      <c r="B728" s="17" t="s">
        <v>68</v>
      </c>
      <c r="C728" s="18">
        <v>42971</v>
      </c>
      <c r="D728" s="19" t="s">
        <v>18</v>
      </c>
      <c r="E728" s="20">
        <v>0.70833333333333304</v>
      </c>
      <c r="F728" s="20">
        <v>0.875</v>
      </c>
      <c r="G728" s="21">
        <v>8.0000000000000036</v>
      </c>
      <c r="H728" s="21">
        <v>4.0000000000000036</v>
      </c>
      <c r="I728" s="21">
        <v>4.0000000000000036</v>
      </c>
      <c r="J728" s="22" t="s">
        <v>9</v>
      </c>
      <c r="K728" s="23" t="s">
        <v>111</v>
      </c>
      <c r="L728" s="58">
        <f t="shared" si="22"/>
        <v>1</v>
      </c>
      <c r="M728" s="8" t="str">
        <f t="shared" si="23"/>
        <v>Aug_2017</v>
      </c>
    </row>
    <row r="729" spans="1:13" ht="15.75" x14ac:dyDescent="0.25">
      <c r="A729" s="16" t="s">
        <v>0</v>
      </c>
      <c r="B729" s="17" t="s">
        <v>69</v>
      </c>
      <c r="C729" s="18">
        <v>42971</v>
      </c>
      <c r="D729" s="19" t="s">
        <v>18</v>
      </c>
      <c r="E729" s="20">
        <v>0.70833333333333304</v>
      </c>
      <c r="F729" s="20">
        <v>0.875</v>
      </c>
      <c r="G729" s="21">
        <v>8.0000000000000036</v>
      </c>
      <c r="H729" s="21">
        <v>4.0000000000000036</v>
      </c>
      <c r="I729" s="21">
        <v>4.0000000000000036</v>
      </c>
      <c r="J729" s="22" t="s">
        <v>9</v>
      </c>
      <c r="K729" s="23" t="s">
        <v>111</v>
      </c>
      <c r="L729" s="58">
        <f t="shared" si="22"/>
        <v>1</v>
      </c>
      <c r="M729" s="8" t="str">
        <f t="shared" si="23"/>
        <v>Aug_2017</v>
      </c>
    </row>
    <row r="730" spans="1:13" ht="15.75" x14ac:dyDescent="0.25">
      <c r="A730" s="16" t="s">
        <v>117</v>
      </c>
      <c r="B730" s="17" t="s">
        <v>177</v>
      </c>
      <c r="C730" s="18">
        <v>42971</v>
      </c>
      <c r="D730" s="19" t="s">
        <v>18</v>
      </c>
      <c r="E730" s="20">
        <v>0.52083333333333304</v>
      </c>
      <c r="F730" s="20">
        <v>0.875</v>
      </c>
      <c r="G730" s="21">
        <v>0</v>
      </c>
      <c r="H730" s="21">
        <v>7.5000000000000071</v>
      </c>
      <c r="I730" s="21">
        <v>7.5000000000000071</v>
      </c>
      <c r="J730" s="22" t="s">
        <v>9</v>
      </c>
      <c r="K730" s="23" t="s">
        <v>111</v>
      </c>
      <c r="L730" s="58" t="str">
        <f t="shared" si="22"/>
        <v/>
      </c>
      <c r="M730" s="8" t="str">
        <f t="shared" si="23"/>
        <v>Aug_2017</v>
      </c>
    </row>
    <row r="731" spans="1:13" ht="15.75" x14ac:dyDescent="0.25">
      <c r="A731" s="16" t="s">
        <v>117</v>
      </c>
      <c r="B731" s="17" t="s">
        <v>175</v>
      </c>
      <c r="C731" s="18">
        <v>42971</v>
      </c>
      <c r="D731" s="19" t="s">
        <v>18</v>
      </c>
      <c r="E731" s="20">
        <v>0.33333333333333298</v>
      </c>
      <c r="F731" s="20">
        <v>0.875</v>
      </c>
      <c r="G731" s="21">
        <v>0</v>
      </c>
      <c r="H731" s="21">
        <v>12.000000000000007</v>
      </c>
      <c r="I731" s="21">
        <v>12.000000000000007</v>
      </c>
      <c r="J731" s="22" t="s">
        <v>9</v>
      </c>
      <c r="K731" s="23" t="s">
        <v>111</v>
      </c>
      <c r="L731" s="58" t="str">
        <f t="shared" si="22"/>
        <v/>
      </c>
      <c r="M731" s="8" t="str">
        <f t="shared" si="23"/>
        <v>Aug_2017</v>
      </c>
    </row>
    <row r="732" spans="1:13" ht="15.75" x14ac:dyDescent="0.25">
      <c r="A732" s="16" t="s">
        <v>117</v>
      </c>
      <c r="B732" s="17" t="s">
        <v>247</v>
      </c>
      <c r="C732" s="18">
        <v>42971</v>
      </c>
      <c r="D732" s="19" t="s">
        <v>18</v>
      </c>
      <c r="E732" s="20">
        <v>0.4375</v>
      </c>
      <c r="F732" s="20">
        <v>0.875</v>
      </c>
      <c r="G732" s="21">
        <v>0</v>
      </c>
      <c r="H732" s="21">
        <v>9.5</v>
      </c>
      <c r="I732" s="21">
        <v>9.5</v>
      </c>
      <c r="J732" s="22" t="s">
        <v>9</v>
      </c>
      <c r="K732" s="23" t="s">
        <v>111</v>
      </c>
      <c r="L732" s="58" t="str">
        <f t="shared" si="22"/>
        <v/>
      </c>
      <c r="M732" s="8" t="str">
        <f t="shared" si="23"/>
        <v>Aug_2017</v>
      </c>
    </row>
    <row r="733" spans="1:13" ht="15.75" x14ac:dyDescent="0.25">
      <c r="A733" s="16" t="s">
        <v>117</v>
      </c>
      <c r="B733" s="17" t="s">
        <v>118</v>
      </c>
      <c r="C733" s="18">
        <v>42973</v>
      </c>
      <c r="D733" s="19" t="s">
        <v>24</v>
      </c>
      <c r="E733" s="20">
        <v>0.35416666666666702</v>
      </c>
      <c r="F733" s="20">
        <v>0.72916666666666696</v>
      </c>
      <c r="G733" s="21">
        <v>0</v>
      </c>
      <c r="H733" s="21">
        <v>7.9999999999999982</v>
      </c>
      <c r="I733" s="21">
        <v>7.9999999999999982</v>
      </c>
      <c r="J733" s="22" t="s">
        <v>46</v>
      </c>
      <c r="K733" s="23" t="s">
        <v>253</v>
      </c>
      <c r="L733" s="58" t="str">
        <f t="shared" si="22"/>
        <v/>
      </c>
      <c r="M733" s="8" t="str">
        <f t="shared" si="23"/>
        <v>Aug_2017</v>
      </c>
    </row>
    <row r="734" spans="1:13" ht="15.75" x14ac:dyDescent="0.25">
      <c r="A734" s="16" t="s">
        <v>117</v>
      </c>
      <c r="B734" s="17" t="s">
        <v>175</v>
      </c>
      <c r="C734" s="18">
        <v>42973</v>
      </c>
      <c r="D734" s="19" t="s">
        <v>24</v>
      </c>
      <c r="E734" s="20">
        <v>0.35416666666666702</v>
      </c>
      <c r="F734" s="20">
        <v>0.72916666666666696</v>
      </c>
      <c r="G734" s="21">
        <v>0</v>
      </c>
      <c r="H734" s="21">
        <v>7.9999999999999982</v>
      </c>
      <c r="I734" s="21">
        <v>7.9999999999999982</v>
      </c>
      <c r="J734" s="22" t="s">
        <v>46</v>
      </c>
      <c r="K734" s="23" t="s">
        <v>253</v>
      </c>
      <c r="L734" s="58" t="str">
        <f t="shared" si="22"/>
        <v/>
      </c>
      <c r="M734" s="8" t="str">
        <f t="shared" si="23"/>
        <v>Aug_2017</v>
      </c>
    </row>
    <row r="735" spans="1:13" ht="15.75" x14ac:dyDescent="0.25">
      <c r="A735" s="16" t="s">
        <v>117</v>
      </c>
      <c r="B735" s="17" t="s">
        <v>247</v>
      </c>
      <c r="C735" s="18">
        <v>42973</v>
      </c>
      <c r="D735" s="19" t="s">
        <v>24</v>
      </c>
      <c r="E735" s="20">
        <v>0.35416666666666702</v>
      </c>
      <c r="F735" s="20">
        <v>0.72916666666666696</v>
      </c>
      <c r="G735" s="21">
        <v>0</v>
      </c>
      <c r="H735" s="21">
        <v>7.9999999999999982</v>
      </c>
      <c r="I735" s="21">
        <v>7.9999999999999982</v>
      </c>
      <c r="J735" s="24" t="s">
        <v>46</v>
      </c>
      <c r="K735" s="23" t="s">
        <v>254</v>
      </c>
      <c r="L735" s="58" t="str">
        <f t="shared" si="22"/>
        <v/>
      </c>
      <c r="M735" s="8" t="str">
        <f t="shared" si="23"/>
        <v>Aug_2017</v>
      </c>
    </row>
    <row r="736" spans="1:13" ht="15.75" x14ac:dyDescent="0.25">
      <c r="A736" s="16" t="s">
        <v>0</v>
      </c>
      <c r="B736" s="17" t="s">
        <v>10</v>
      </c>
      <c r="C736" s="18">
        <v>42975</v>
      </c>
      <c r="D736" s="19" t="s">
        <v>21</v>
      </c>
      <c r="E736" s="20">
        <v>0.72916666666666696</v>
      </c>
      <c r="F736" s="20">
        <v>0.85416666666666696</v>
      </c>
      <c r="G736" s="21">
        <v>8.0000000000000036</v>
      </c>
      <c r="H736" s="21">
        <v>2.9999999999999947</v>
      </c>
      <c r="I736" s="21">
        <v>2.9999999999999947</v>
      </c>
      <c r="J736" s="22" t="s">
        <v>9</v>
      </c>
      <c r="K736" s="23" t="s">
        <v>255</v>
      </c>
      <c r="L736" s="58">
        <f t="shared" si="22"/>
        <v>1</v>
      </c>
      <c r="M736" s="8" t="str">
        <f t="shared" si="23"/>
        <v>Aug_2017</v>
      </c>
    </row>
    <row r="737" spans="1:13" ht="15.75" x14ac:dyDescent="0.25">
      <c r="A737" s="16" t="s">
        <v>0</v>
      </c>
      <c r="B737" s="17" t="s">
        <v>34</v>
      </c>
      <c r="C737" s="18">
        <v>42975</v>
      </c>
      <c r="D737" s="19" t="s">
        <v>21</v>
      </c>
      <c r="E737" s="20">
        <v>0.70833333333333304</v>
      </c>
      <c r="F737" s="20">
        <v>0.85416666666666696</v>
      </c>
      <c r="G737" s="21">
        <v>8.0000000000000036</v>
      </c>
      <c r="H737" s="21">
        <v>3.5000000000000107</v>
      </c>
      <c r="I737" s="21">
        <v>3.5000000000000107</v>
      </c>
      <c r="J737" s="24" t="s">
        <v>9</v>
      </c>
      <c r="K737" s="23" t="s">
        <v>255</v>
      </c>
      <c r="L737" s="58">
        <f t="shared" si="22"/>
        <v>1</v>
      </c>
      <c r="M737" s="8" t="str">
        <f t="shared" si="23"/>
        <v>Aug_2017</v>
      </c>
    </row>
    <row r="738" spans="1:13" ht="15.75" x14ac:dyDescent="0.25">
      <c r="A738" s="16" t="s">
        <v>0</v>
      </c>
      <c r="B738" s="17" t="s">
        <v>68</v>
      </c>
      <c r="C738" s="18">
        <v>42975</v>
      </c>
      <c r="D738" s="19" t="s">
        <v>21</v>
      </c>
      <c r="E738" s="20">
        <v>0.72916666666666696</v>
      </c>
      <c r="F738" s="20">
        <v>0.85416666666666696</v>
      </c>
      <c r="G738" s="21">
        <v>8.0000000000000036</v>
      </c>
      <c r="H738" s="21">
        <v>2.9999999999999947</v>
      </c>
      <c r="I738" s="21">
        <v>2.9999999999999947</v>
      </c>
      <c r="J738" s="24" t="s">
        <v>9</v>
      </c>
      <c r="K738" s="23" t="s">
        <v>255</v>
      </c>
      <c r="L738" s="58">
        <f t="shared" si="22"/>
        <v>1</v>
      </c>
      <c r="M738" s="8" t="str">
        <f t="shared" si="23"/>
        <v>Aug_2017</v>
      </c>
    </row>
    <row r="739" spans="1:13" ht="15.75" x14ac:dyDescent="0.25">
      <c r="A739" s="16" t="s">
        <v>0</v>
      </c>
      <c r="B739" s="17" t="s">
        <v>69</v>
      </c>
      <c r="C739" s="18">
        <v>42975</v>
      </c>
      <c r="D739" s="19" t="s">
        <v>21</v>
      </c>
      <c r="E739" s="20">
        <v>0.72916666666666696</v>
      </c>
      <c r="F739" s="20">
        <v>0.85416666666666696</v>
      </c>
      <c r="G739" s="21">
        <v>8.0000000000000036</v>
      </c>
      <c r="H739" s="21">
        <v>2.9999999999999947</v>
      </c>
      <c r="I739" s="21">
        <v>2.9999999999999947</v>
      </c>
      <c r="J739" s="22" t="s">
        <v>9</v>
      </c>
      <c r="K739" s="23" t="s">
        <v>255</v>
      </c>
      <c r="L739" s="58">
        <f t="shared" si="22"/>
        <v>1</v>
      </c>
      <c r="M739" s="8" t="str">
        <f t="shared" si="23"/>
        <v>Aug_2017</v>
      </c>
    </row>
    <row r="740" spans="1:13" ht="15.75" x14ac:dyDescent="0.25">
      <c r="A740" s="16" t="s">
        <v>117</v>
      </c>
      <c r="B740" s="17" t="s">
        <v>118</v>
      </c>
      <c r="C740" s="18">
        <v>42975</v>
      </c>
      <c r="D740" s="19" t="s">
        <v>21</v>
      </c>
      <c r="E740" s="20">
        <v>0.35416666666666702</v>
      </c>
      <c r="F740" s="20">
        <v>0.85416666666666696</v>
      </c>
      <c r="G740" s="21">
        <v>0</v>
      </c>
      <c r="H740" s="21">
        <v>10.999999999999998</v>
      </c>
      <c r="I740" s="21">
        <v>10.999999999999998</v>
      </c>
      <c r="J740" s="22" t="s">
        <v>9</v>
      </c>
      <c r="K740" s="23" t="s">
        <v>255</v>
      </c>
      <c r="L740" s="58" t="str">
        <f t="shared" si="22"/>
        <v/>
      </c>
      <c r="M740" s="8" t="str">
        <f t="shared" si="23"/>
        <v>Aug_2017</v>
      </c>
    </row>
    <row r="741" spans="1:13" ht="15.75" x14ac:dyDescent="0.25">
      <c r="A741" s="16" t="s">
        <v>117</v>
      </c>
      <c r="B741" s="17" t="s">
        <v>175</v>
      </c>
      <c r="C741" s="18">
        <v>42975</v>
      </c>
      <c r="D741" s="19" t="s">
        <v>21</v>
      </c>
      <c r="E741" s="20">
        <v>0.35416666666666702</v>
      </c>
      <c r="F741" s="20">
        <v>0.85416666666666696</v>
      </c>
      <c r="G741" s="21">
        <v>0</v>
      </c>
      <c r="H741" s="21">
        <v>10.999999999999998</v>
      </c>
      <c r="I741" s="21">
        <v>10.999999999999998</v>
      </c>
      <c r="J741" s="24" t="s">
        <v>9</v>
      </c>
      <c r="K741" s="23" t="s">
        <v>255</v>
      </c>
      <c r="L741" s="58" t="str">
        <f t="shared" si="22"/>
        <v/>
      </c>
      <c r="M741" s="8" t="str">
        <f t="shared" si="23"/>
        <v>Aug_2017</v>
      </c>
    </row>
    <row r="742" spans="1:13" ht="15.75" x14ac:dyDescent="0.25">
      <c r="A742" s="16" t="s">
        <v>117</v>
      </c>
      <c r="B742" s="17" t="s">
        <v>247</v>
      </c>
      <c r="C742" s="18">
        <v>42975</v>
      </c>
      <c r="D742" s="19" t="s">
        <v>21</v>
      </c>
      <c r="E742" s="20">
        <v>0.35416666666666702</v>
      </c>
      <c r="F742" s="20">
        <v>0.85416666666666696</v>
      </c>
      <c r="G742" s="21">
        <v>0</v>
      </c>
      <c r="H742" s="21">
        <v>10.999999999999998</v>
      </c>
      <c r="I742" s="21">
        <v>10.999999999999998</v>
      </c>
      <c r="J742" s="24" t="s">
        <v>9</v>
      </c>
      <c r="K742" s="23" t="s">
        <v>255</v>
      </c>
      <c r="L742" s="58" t="str">
        <f t="shared" si="22"/>
        <v/>
      </c>
      <c r="M742" s="8" t="str">
        <f t="shared" si="23"/>
        <v>Aug_2017</v>
      </c>
    </row>
    <row r="743" spans="1:13" ht="15.75" x14ac:dyDescent="0.25">
      <c r="A743" s="16" t="s">
        <v>0</v>
      </c>
      <c r="B743" s="17" t="s">
        <v>10</v>
      </c>
      <c r="C743" s="18">
        <v>42976</v>
      </c>
      <c r="D743" s="19" t="s">
        <v>16</v>
      </c>
      <c r="E743" s="20">
        <v>0.72916666666666696</v>
      </c>
      <c r="F743" s="20">
        <v>0.85416666666666696</v>
      </c>
      <c r="G743" s="21">
        <v>8.0000000000000036</v>
      </c>
      <c r="H743" s="21">
        <v>2.9999999999999947</v>
      </c>
      <c r="I743" s="21">
        <v>2.9999999999999947</v>
      </c>
      <c r="J743" s="24" t="s">
        <v>9</v>
      </c>
      <c r="K743" s="23" t="s">
        <v>256</v>
      </c>
      <c r="L743" s="58">
        <f t="shared" si="22"/>
        <v>1</v>
      </c>
      <c r="M743" s="8" t="str">
        <f t="shared" si="23"/>
        <v>Aug_2017</v>
      </c>
    </row>
    <row r="744" spans="1:13" ht="15.75" x14ac:dyDescent="0.25">
      <c r="A744" s="16" t="s">
        <v>0</v>
      </c>
      <c r="B744" s="17" t="s">
        <v>12</v>
      </c>
      <c r="C744" s="18">
        <v>42976</v>
      </c>
      <c r="D744" s="19" t="s">
        <v>16</v>
      </c>
      <c r="E744" s="20">
        <v>0.72916666666666696</v>
      </c>
      <c r="F744" s="20">
        <v>0.85416666666666696</v>
      </c>
      <c r="G744" s="21">
        <v>8.0000000000000036</v>
      </c>
      <c r="H744" s="21">
        <v>2.9999999999999947</v>
      </c>
      <c r="I744" s="21">
        <v>2.9999999999999947</v>
      </c>
      <c r="J744" s="22" t="s">
        <v>9</v>
      </c>
      <c r="K744" s="23" t="s">
        <v>256</v>
      </c>
      <c r="L744" s="58">
        <f t="shared" si="22"/>
        <v>1</v>
      </c>
      <c r="M744" s="8" t="str">
        <f t="shared" si="23"/>
        <v>Aug_2017</v>
      </c>
    </row>
    <row r="745" spans="1:13" ht="15.75" x14ac:dyDescent="0.25">
      <c r="A745" s="16" t="s">
        <v>0</v>
      </c>
      <c r="B745" s="17" t="s">
        <v>68</v>
      </c>
      <c r="C745" s="18">
        <v>42976</v>
      </c>
      <c r="D745" s="19" t="s">
        <v>16</v>
      </c>
      <c r="E745" s="20">
        <v>0.72916666666666696</v>
      </c>
      <c r="F745" s="20">
        <v>0.85416666666666696</v>
      </c>
      <c r="G745" s="21">
        <v>8.0000000000000036</v>
      </c>
      <c r="H745" s="21">
        <v>2.9999999999999947</v>
      </c>
      <c r="I745" s="21">
        <v>2.9999999999999947</v>
      </c>
      <c r="J745" s="24" t="s">
        <v>9</v>
      </c>
      <c r="K745" s="23" t="s">
        <v>256</v>
      </c>
      <c r="L745" s="58">
        <f t="shared" si="22"/>
        <v>1</v>
      </c>
      <c r="M745" s="8" t="str">
        <f t="shared" si="23"/>
        <v>Aug_2017</v>
      </c>
    </row>
    <row r="746" spans="1:13" ht="15.75" x14ac:dyDescent="0.25">
      <c r="A746" s="16" t="s">
        <v>0</v>
      </c>
      <c r="B746" s="17" t="s">
        <v>69</v>
      </c>
      <c r="C746" s="18">
        <v>42976</v>
      </c>
      <c r="D746" s="19" t="s">
        <v>16</v>
      </c>
      <c r="E746" s="20">
        <v>0.72916666666666696</v>
      </c>
      <c r="F746" s="20">
        <v>0.85416666666666696</v>
      </c>
      <c r="G746" s="21">
        <v>8.0000000000000036</v>
      </c>
      <c r="H746" s="21">
        <v>2.9999999999999947</v>
      </c>
      <c r="I746" s="21">
        <v>2.9999999999999947</v>
      </c>
      <c r="J746" s="24" t="s">
        <v>9</v>
      </c>
      <c r="K746" s="23" t="s">
        <v>256</v>
      </c>
      <c r="L746" s="58">
        <f t="shared" si="22"/>
        <v>1</v>
      </c>
      <c r="M746" s="8" t="str">
        <f t="shared" si="23"/>
        <v>Aug_2017</v>
      </c>
    </row>
    <row r="747" spans="1:13" ht="15.75" x14ac:dyDescent="0.25">
      <c r="A747" s="16" t="s">
        <v>117</v>
      </c>
      <c r="B747" s="17" t="s">
        <v>118</v>
      </c>
      <c r="C747" s="18">
        <v>42976</v>
      </c>
      <c r="D747" s="19" t="s">
        <v>16</v>
      </c>
      <c r="E747" s="20">
        <v>0.35416666666666702</v>
      </c>
      <c r="F747" s="20">
        <v>0.85416666666666696</v>
      </c>
      <c r="G747" s="21">
        <v>0</v>
      </c>
      <c r="H747" s="21">
        <v>10.999999999999998</v>
      </c>
      <c r="I747" s="21">
        <v>10.999999999999998</v>
      </c>
      <c r="J747" s="24" t="s">
        <v>9</v>
      </c>
      <c r="K747" s="23" t="s">
        <v>256</v>
      </c>
      <c r="L747" s="58" t="str">
        <f t="shared" si="22"/>
        <v/>
      </c>
      <c r="M747" s="8" t="str">
        <f t="shared" si="23"/>
        <v>Aug_2017</v>
      </c>
    </row>
    <row r="748" spans="1:13" ht="15.75" x14ac:dyDescent="0.25">
      <c r="A748" s="16" t="s">
        <v>117</v>
      </c>
      <c r="B748" s="17" t="s">
        <v>171</v>
      </c>
      <c r="C748" s="18">
        <v>42976</v>
      </c>
      <c r="D748" s="19" t="s">
        <v>16</v>
      </c>
      <c r="E748" s="20">
        <v>0.35416666666666702</v>
      </c>
      <c r="F748" s="20">
        <v>0.85416666666666696</v>
      </c>
      <c r="G748" s="21">
        <v>0</v>
      </c>
      <c r="H748" s="21">
        <v>10.999999999999998</v>
      </c>
      <c r="I748" s="21">
        <v>10.999999999999998</v>
      </c>
      <c r="J748" s="22" t="s">
        <v>9</v>
      </c>
      <c r="K748" s="23" t="s">
        <v>256</v>
      </c>
      <c r="L748" s="58" t="str">
        <f t="shared" si="22"/>
        <v/>
      </c>
      <c r="M748" s="8" t="str">
        <f t="shared" si="23"/>
        <v>Aug_2017</v>
      </c>
    </row>
    <row r="749" spans="1:13" ht="15.75" x14ac:dyDescent="0.25">
      <c r="A749" s="16" t="s">
        <v>117</v>
      </c>
      <c r="B749" s="17" t="s">
        <v>177</v>
      </c>
      <c r="C749" s="18">
        <v>42976</v>
      </c>
      <c r="D749" s="19" t="s">
        <v>16</v>
      </c>
      <c r="E749" s="20">
        <v>0.35416666666666702</v>
      </c>
      <c r="F749" s="20">
        <v>0.85416666666666696</v>
      </c>
      <c r="G749" s="21">
        <v>0</v>
      </c>
      <c r="H749" s="21">
        <v>10.999999999999998</v>
      </c>
      <c r="I749" s="21">
        <v>10.999999999999998</v>
      </c>
      <c r="J749" s="24" t="s">
        <v>9</v>
      </c>
      <c r="K749" s="23" t="s">
        <v>256</v>
      </c>
      <c r="L749" s="58" t="str">
        <f t="shared" si="22"/>
        <v/>
      </c>
      <c r="M749" s="8" t="str">
        <f t="shared" si="23"/>
        <v>Aug_2017</v>
      </c>
    </row>
    <row r="750" spans="1:13" ht="15.75" x14ac:dyDescent="0.25">
      <c r="A750" s="16" t="s">
        <v>117</v>
      </c>
      <c r="B750" s="17" t="s">
        <v>175</v>
      </c>
      <c r="C750" s="18">
        <v>42976</v>
      </c>
      <c r="D750" s="19" t="s">
        <v>16</v>
      </c>
      <c r="E750" s="20">
        <v>0.35416666666666702</v>
      </c>
      <c r="F750" s="20">
        <v>0.85416666666666696</v>
      </c>
      <c r="G750" s="21">
        <v>0</v>
      </c>
      <c r="H750" s="21">
        <v>10.999999999999998</v>
      </c>
      <c r="I750" s="21">
        <v>10.999999999999998</v>
      </c>
      <c r="J750" s="24" t="s">
        <v>9</v>
      </c>
      <c r="K750" s="23" t="s">
        <v>256</v>
      </c>
      <c r="L750" s="58" t="str">
        <f t="shared" si="22"/>
        <v/>
      </c>
      <c r="M750" s="8" t="str">
        <f t="shared" si="23"/>
        <v>Aug_2017</v>
      </c>
    </row>
    <row r="751" spans="1:13" ht="15.75" x14ac:dyDescent="0.25">
      <c r="A751" s="16" t="s">
        <v>0</v>
      </c>
      <c r="B751" s="17" t="s">
        <v>10</v>
      </c>
      <c r="C751" s="18">
        <v>42977</v>
      </c>
      <c r="D751" s="19" t="s">
        <v>19</v>
      </c>
      <c r="E751" s="20">
        <v>0.72916666666666696</v>
      </c>
      <c r="F751" s="20">
        <v>0.83333333333333337</v>
      </c>
      <c r="G751" s="21">
        <v>8.0000000000000036</v>
      </c>
      <c r="H751" s="21">
        <v>2.4999999999999893</v>
      </c>
      <c r="I751" s="21">
        <v>2.4999999999999893</v>
      </c>
      <c r="J751" s="24" t="s">
        <v>9</v>
      </c>
      <c r="K751" s="23" t="s">
        <v>257</v>
      </c>
      <c r="L751" s="58">
        <f t="shared" si="22"/>
        <v>1</v>
      </c>
      <c r="M751" s="8" t="str">
        <f t="shared" si="23"/>
        <v>Aug_2017</v>
      </c>
    </row>
    <row r="752" spans="1:13" ht="15.75" x14ac:dyDescent="0.25">
      <c r="A752" s="16" t="s">
        <v>0</v>
      </c>
      <c r="B752" s="17" t="s">
        <v>12</v>
      </c>
      <c r="C752" s="18">
        <v>42977</v>
      </c>
      <c r="D752" s="19" t="s">
        <v>19</v>
      </c>
      <c r="E752" s="20">
        <v>0.70833333333333304</v>
      </c>
      <c r="F752" s="20">
        <v>0.83333333333333337</v>
      </c>
      <c r="G752" s="21">
        <v>8.0000000000000036</v>
      </c>
      <c r="H752" s="21">
        <v>3.0000000000000071</v>
      </c>
      <c r="I752" s="21">
        <v>3.0000000000000071</v>
      </c>
      <c r="J752" s="24" t="s">
        <v>9</v>
      </c>
      <c r="K752" s="23" t="s">
        <v>257</v>
      </c>
      <c r="L752" s="58">
        <f t="shared" si="22"/>
        <v>1</v>
      </c>
      <c r="M752" s="8" t="str">
        <f t="shared" si="23"/>
        <v>Aug_2017</v>
      </c>
    </row>
    <row r="753" spans="1:13" ht="15.75" x14ac:dyDescent="0.25">
      <c r="A753" s="16" t="s">
        <v>0</v>
      </c>
      <c r="B753" s="17" t="s">
        <v>68</v>
      </c>
      <c r="C753" s="18">
        <v>42977</v>
      </c>
      <c r="D753" s="19" t="s">
        <v>19</v>
      </c>
      <c r="E753" s="20">
        <v>0.72916666666666696</v>
      </c>
      <c r="F753" s="20">
        <v>0.83333333333333337</v>
      </c>
      <c r="G753" s="21">
        <v>8.0000000000000036</v>
      </c>
      <c r="H753" s="21">
        <v>2.4999999999999893</v>
      </c>
      <c r="I753" s="21">
        <v>2.4999999999999893</v>
      </c>
      <c r="J753" s="24" t="s">
        <v>9</v>
      </c>
      <c r="K753" s="23" t="s">
        <v>257</v>
      </c>
      <c r="L753" s="58">
        <f t="shared" si="22"/>
        <v>1</v>
      </c>
      <c r="M753" s="8" t="str">
        <f t="shared" si="23"/>
        <v>Aug_2017</v>
      </c>
    </row>
    <row r="754" spans="1:13" ht="15.75" x14ac:dyDescent="0.25">
      <c r="A754" s="16" t="s">
        <v>0</v>
      </c>
      <c r="B754" s="17" t="s">
        <v>69</v>
      </c>
      <c r="C754" s="18">
        <v>42977</v>
      </c>
      <c r="D754" s="19" t="s">
        <v>19</v>
      </c>
      <c r="E754" s="20">
        <v>0.72916666666666696</v>
      </c>
      <c r="F754" s="20">
        <v>0.83333333333333337</v>
      </c>
      <c r="G754" s="21">
        <v>8.0000000000000036</v>
      </c>
      <c r="H754" s="21">
        <v>2.4999999999999893</v>
      </c>
      <c r="I754" s="21">
        <v>2.4999999999999893</v>
      </c>
      <c r="J754" s="24" t="s">
        <v>9</v>
      </c>
      <c r="K754" s="23" t="s">
        <v>257</v>
      </c>
      <c r="L754" s="58">
        <f t="shared" si="22"/>
        <v>1</v>
      </c>
      <c r="M754" s="8" t="str">
        <f t="shared" si="23"/>
        <v>Aug_2017</v>
      </c>
    </row>
    <row r="755" spans="1:13" ht="15.75" x14ac:dyDescent="0.25">
      <c r="A755" s="16" t="s">
        <v>117</v>
      </c>
      <c r="B755" s="17" t="s">
        <v>118</v>
      </c>
      <c r="C755" s="18">
        <v>42977</v>
      </c>
      <c r="D755" s="19" t="s">
        <v>19</v>
      </c>
      <c r="E755" s="20">
        <v>0.35416666666666702</v>
      </c>
      <c r="F755" s="20">
        <v>0.83333333333333337</v>
      </c>
      <c r="G755" s="21">
        <v>0</v>
      </c>
      <c r="H755" s="21">
        <v>10.499999999999993</v>
      </c>
      <c r="I755" s="21">
        <v>10.499999999999993</v>
      </c>
      <c r="J755" s="22" t="s">
        <v>9</v>
      </c>
      <c r="K755" s="23" t="s">
        <v>257</v>
      </c>
      <c r="L755" s="58" t="str">
        <f t="shared" si="22"/>
        <v/>
      </c>
      <c r="M755" s="8" t="str">
        <f t="shared" si="23"/>
        <v>Aug_2017</v>
      </c>
    </row>
    <row r="756" spans="1:13" ht="15.75" x14ac:dyDescent="0.25">
      <c r="A756" s="16" t="s">
        <v>117</v>
      </c>
      <c r="B756" s="17" t="s">
        <v>171</v>
      </c>
      <c r="C756" s="18">
        <v>42977</v>
      </c>
      <c r="D756" s="19" t="s">
        <v>19</v>
      </c>
      <c r="E756" s="20">
        <v>0.35416666666666702</v>
      </c>
      <c r="F756" s="20">
        <v>0.83333333333333337</v>
      </c>
      <c r="G756" s="21">
        <v>0</v>
      </c>
      <c r="H756" s="21">
        <v>10.499999999999993</v>
      </c>
      <c r="I756" s="21">
        <v>10.499999999999993</v>
      </c>
      <c r="J756" s="24" t="s">
        <v>9</v>
      </c>
      <c r="K756" s="23" t="s">
        <v>257</v>
      </c>
      <c r="L756" s="58" t="str">
        <f t="shared" si="22"/>
        <v/>
      </c>
      <c r="M756" s="8" t="str">
        <f t="shared" si="23"/>
        <v>Aug_2017</v>
      </c>
    </row>
    <row r="757" spans="1:13" ht="15.75" x14ac:dyDescent="0.25">
      <c r="A757" s="16" t="s">
        <v>117</v>
      </c>
      <c r="B757" s="17" t="s">
        <v>177</v>
      </c>
      <c r="C757" s="18">
        <v>42977</v>
      </c>
      <c r="D757" s="19" t="s">
        <v>19</v>
      </c>
      <c r="E757" s="20">
        <v>0.35416666666666702</v>
      </c>
      <c r="F757" s="20">
        <v>0.83333333333333337</v>
      </c>
      <c r="G757" s="21">
        <v>0</v>
      </c>
      <c r="H757" s="21">
        <v>10.499999999999993</v>
      </c>
      <c r="I757" s="21">
        <v>10.499999999999993</v>
      </c>
      <c r="J757" s="22" t="s">
        <v>9</v>
      </c>
      <c r="K757" s="23" t="s">
        <v>257</v>
      </c>
      <c r="L757" s="58" t="str">
        <f t="shared" si="22"/>
        <v/>
      </c>
      <c r="M757" s="8" t="str">
        <f t="shared" si="23"/>
        <v>Aug_2017</v>
      </c>
    </row>
    <row r="758" spans="1:13" ht="15.75" x14ac:dyDescent="0.25">
      <c r="A758" s="16" t="s">
        <v>117</v>
      </c>
      <c r="B758" s="17" t="s">
        <v>175</v>
      </c>
      <c r="C758" s="18">
        <v>42977</v>
      </c>
      <c r="D758" s="19" t="s">
        <v>19</v>
      </c>
      <c r="E758" s="20">
        <v>0.35416666666666702</v>
      </c>
      <c r="F758" s="20">
        <v>0.70833333333333304</v>
      </c>
      <c r="G758" s="21">
        <v>0</v>
      </c>
      <c r="H758" s="21">
        <v>7.499999999999984</v>
      </c>
      <c r="I758" s="21">
        <v>7.499999999999984</v>
      </c>
      <c r="J758" s="22" t="s">
        <v>9</v>
      </c>
      <c r="K758" s="23" t="s">
        <v>257</v>
      </c>
      <c r="L758" s="58" t="str">
        <f t="shared" si="22"/>
        <v/>
      </c>
      <c r="M758" s="8" t="str">
        <f t="shared" si="23"/>
        <v>Aug_2017</v>
      </c>
    </row>
    <row r="759" spans="1:13" ht="15.75" x14ac:dyDescent="0.25">
      <c r="A759" s="16" t="s">
        <v>0</v>
      </c>
      <c r="B759" s="17" t="s">
        <v>10</v>
      </c>
      <c r="C759" s="18">
        <v>42978</v>
      </c>
      <c r="D759" s="19" t="s">
        <v>18</v>
      </c>
      <c r="E759" s="20">
        <v>0.72916666666666696</v>
      </c>
      <c r="F759" s="20">
        <v>0.89583333333333337</v>
      </c>
      <c r="G759" s="21">
        <v>8.0000000000000036</v>
      </c>
      <c r="H759" s="21">
        <v>3.9999999999999876</v>
      </c>
      <c r="I759" s="21">
        <v>3.9999999999999876</v>
      </c>
      <c r="J759" s="22" t="s">
        <v>9</v>
      </c>
      <c r="K759" s="23" t="s">
        <v>258</v>
      </c>
      <c r="L759" s="58">
        <f t="shared" si="22"/>
        <v>1</v>
      </c>
      <c r="M759" s="8" t="str">
        <f t="shared" si="23"/>
        <v>Aug_2017</v>
      </c>
    </row>
    <row r="760" spans="1:13" ht="15.75" x14ac:dyDescent="0.25">
      <c r="A760" s="16" t="s">
        <v>0</v>
      </c>
      <c r="B760" s="17" t="s">
        <v>34</v>
      </c>
      <c r="C760" s="18">
        <v>42978</v>
      </c>
      <c r="D760" s="19" t="s">
        <v>18</v>
      </c>
      <c r="E760" s="20">
        <v>0.72916666666666696</v>
      </c>
      <c r="F760" s="20">
        <v>0.89583333333333337</v>
      </c>
      <c r="G760" s="21">
        <v>8.0000000000000036</v>
      </c>
      <c r="H760" s="21">
        <v>3.9999999999999876</v>
      </c>
      <c r="I760" s="21">
        <v>3.9999999999999876</v>
      </c>
      <c r="J760" s="22" t="s">
        <v>9</v>
      </c>
      <c r="K760" s="23" t="s">
        <v>258</v>
      </c>
      <c r="L760" s="58">
        <f t="shared" si="22"/>
        <v>1</v>
      </c>
      <c r="M760" s="8" t="str">
        <f t="shared" si="23"/>
        <v>Aug_2017</v>
      </c>
    </row>
    <row r="761" spans="1:13" ht="15.75" x14ac:dyDescent="0.25">
      <c r="A761" s="16" t="s">
        <v>0</v>
      </c>
      <c r="B761" s="17" t="s">
        <v>68</v>
      </c>
      <c r="C761" s="18">
        <v>42978</v>
      </c>
      <c r="D761" s="19" t="s">
        <v>18</v>
      </c>
      <c r="E761" s="20">
        <v>0.72916666666666696</v>
      </c>
      <c r="F761" s="20">
        <v>0.89583333333333337</v>
      </c>
      <c r="G761" s="21">
        <v>8.0000000000000036</v>
      </c>
      <c r="H761" s="21">
        <v>3.9999999999999876</v>
      </c>
      <c r="I761" s="21">
        <v>3.9999999999999876</v>
      </c>
      <c r="J761" s="22" t="s">
        <v>9</v>
      </c>
      <c r="K761" s="23" t="s">
        <v>258</v>
      </c>
      <c r="L761" s="58">
        <f t="shared" si="22"/>
        <v>1</v>
      </c>
      <c r="M761" s="8" t="str">
        <f t="shared" si="23"/>
        <v>Aug_2017</v>
      </c>
    </row>
    <row r="762" spans="1:13" ht="15.75" x14ac:dyDescent="0.25">
      <c r="A762" s="16" t="s">
        <v>0</v>
      </c>
      <c r="B762" s="17" t="s">
        <v>69</v>
      </c>
      <c r="C762" s="18">
        <v>42978</v>
      </c>
      <c r="D762" s="19" t="s">
        <v>18</v>
      </c>
      <c r="E762" s="20">
        <v>0.72916666666666696</v>
      </c>
      <c r="F762" s="20">
        <v>0.89583333333333337</v>
      </c>
      <c r="G762" s="21">
        <v>8.0000000000000036</v>
      </c>
      <c r="H762" s="21">
        <v>3.9999999999999876</v>
      </c>
      <c r="I762" s="21">
        <v>3.9999999999999876</v>
      </c>
      <c r="J762" s="22" t="s">
        <v>9</v>
      </c>
      <c r="K762" s="23" t="s">
        <v>258</v>
      </c>
      <c r="L762" s="58">
        <f t="shared" si="22"/>
        <v>1</v>
      </c>
      <c r="M762" s="8" t="str">
        <f t="shared" si="23"/>
        <v>Aug_2017</v>
      </c>
    </row>
    <row r="763" spans="1:13" ht="15.75" x14ac:dyDescent="0.25">
      <c r="A763" s="16" t="s">
        <v>117</v>
      </c>
      <c r="B763" s="17" t="s">
        <v>118</v>
      </c>
      <c r="C763" s="18">
        <v>42978</v>
      </c>
      <c r="D763" s="19" t="s">
        <v>18</v>
      </c>
      <c r="E763" s="20">
        <v>0.35416666666666702</v>
      </c>
      <c r="F763" s="20">
        <v>0.89583333333333337</v>
      </c>
      <c r="G763" s="21">
        <v>0</v>
      </c>
      <c r="H763" s="21">
        <v>11.999999999999991</v>
      </c>
      <c r="I763" s="21">
        <v>11.999999999999991</v>
      </c>
      <c r="J763" s="22" t="s">
        <v>9</v>
      </c>
      <c r="K763" s="23" t="s">
        <v>258</v>
      </c>
      <c r="L763" s="58" t="str">
        <f t="shared" si="22"/>
        <v/>
      </c>
      <c r="M763" s="8" t="str">
        <f t="shared" si="23"/>
        <v>Aug_2017</v>
      </c>
    </row>
    <row r="764" spans="1:13" ht="15.75" x14ac:dyDescent="0.25">
      <c r="A764" s="16" t="s">
        <v>117</v>
      </c>
      <c r="B764" s="17" t="s">
        <v>171</v>
      </c>
      <c r="C764" s="18">
        <v>42978</v>
      </c>
      <c r="D764" s="19" t="s">
        <v>18</v>
      </c>
      <c r="E764" s="20">
        <v>0.35416666666666702</v>
      </c>
      <c r="F764" s="20">
        <v>0.89583333333333337</v>
      </c>
      <c r="G764" s="21">
        <v>0</v>
      </c>
      <c r="H764" s="21">
        <v>11.999999999999991</v>
      </c>
      <c r="I764" s="21">
        <v>11.999999999999991</v>
      </c>
      <c r="J764" s="22" t="s">
        <v>9</v>
      </c>
      <c r="K764" s="23" t="s">
        <v>258</v>
      </c>
      <c r="L764" s="58" t="str">
        <f t="shared" si="22"/>
        <v/>
      </c>
      <c r="M764" s="8" t="str">
        <f t="shared" si="23"/>
        <v>Aug_2017</v>
      </c>
    </row>
    <row r="765" spans="1:13" ht="15.75" x14ac:dyDescent="0.25">
      <c r="A765" s="16" t="s">
        <v>117</v>
      </c>
      <c r="B765" s="17" t="s">
        <v>177</v>
      </c>
      <c r="C765" s="18">
        <v>42978</v>
      </c>
      <c r="D765" s="19" t="s">
        <v>18</v>
      </c>
      <c r="E765" s="20">
        <v>0.35416666666666702</v>
      </c>
      <c r="F765" s="20">
        <v>0.72916666666666663</v>
      </c>
      <c r="G765" s="21">
        <v>0</v>
      </c>
      <c r="H765" s="21">
        <v>7.9999999999999911</v>
      </c>
      <c r="I765" s="21">
        <v>7.9999999999999911</v>
      </c>
      <c r="J765" s="22" t="s">
        <v>9</v>
      </c>
      <c r="K765" s="23" t="s">
        <v>258</v>
      </c>
      <c r="L765" s="58" t="str">
        <f t="shared" si="22"/>
        <v/>
      </c>
      <c r="M765" s="8" t="str">
        <f t="shared" si="23"/>
        <v>Aug_2017</v>
      </c>
    </row>
    <row r="766" spans="1:13" ht="15.75" x14ac:dyDescent="0.25">
      <c r="A766" s="16" t="s">
        <v>117</v>
      </c>
      <c r="B766" s="17" t="s">
        <v>175</v>
      </c>
      <c r="C766" s="18">
        <v>42978</v>
      </c>
      <c r="D766" s="19" t="s">
        <v>18</v>
      </c>
      <c r="E766" s="20">
        <v>0.35416666666666702</v>
      </c>
      <c r="F766" s="20">
        <v>0.89583333333333337</v>
      </c>
      <c r="G766" s="21">
        <v>0</v>
      </c>
      <c r="H766" s="21">
        <v>11.999999999999991</v>
      </c>
      <c r="I766" s="21">
        <v>11.999999999999991</v>
      </c>
      <c r="J766" s="22" t="s">
        <v>9</v>
      </c>
      <c r="K766" s="23" t="s">
        <v>258</v>
      </c>
      <c r="L766" s="58" t="str">
        <f t="shared" si="22"/>
        <v/>
      </c>
      <c r="M766" s="8" t="str">
        <f t="shared" si="23"/>
        <v>Aug_2017</v>
      </c>
    </row>
    <row r="767" spans="1:13" ht="15.75" x14ac:dyDescent="0.25">
      <c r="A767" s="16" t="s">
        <v>0</v>
      </c>
      <c r="B767" s="17" t="s">
        <v>10</v>
      </c>
      <c r="C767" s="18">
        <v>42979</v>
      </c>
      <c r="D767" s="19" t="s">
        <v>17</v>
      </c>
      <c r="E767" s="20">
        <v>0.72916666666666696</v>
      </c>
      <c r="F767" s="20">
        <v>0.89583333333333304</v>
      </c>
      <c r="G767" s="21">
        <v>8.0000000000000036</v>
      </c>
      <c r="H767" s="21">
        <v>3.9999999999999822</v>
      </c>
      <c r="I767" s="21">
        <v>3.9999999999999822</v>
      </c>
      <c r="J767" s="22" t="s">
        <v>9</v>
      </c>
      <c r="K767" s="23" t="s">
        <v>259</v>
      </c>
      <c r="L767" s="59">
        <v>1</v>
      </c>
      <c r="M767" s="8" t="s">
        <v>101</v>
      </c>
    </row>
    <row r="768" spans="1:13" ht="15.75" x14ac:dyDescent="0.25">
      <c r="A768" s="16" t="s">
        <v>0</v>
      </c>
      <c r="B768" s="17" t="s">
        <v>12</v>
      </c>
      <c r="C768" s="18">
        <v>42979</v>
      </c>
      <c r="D768" s="19" t="s">
        <v>17</v>
      </c>
      <c r="E768" s="20">
        <v>0.72916666666666696</v>
      </c>
      <c r="F768" s="20">
        <v>0.89583333333333304</v>
      </c>
      <c r="G768" s="21">
        <v>8.0000000000000036</v>
      </c>
      <c r="H768" s="21">
        <v>3.9999999999999822</v>
      </c>
      <c r="I768" s="21">
        <v>3.9999999999999822</v>
      </c>
      <c r="J768" s="22" t="s">
        <v>9</v>
      </c>
      <c r="K768" s="23" t="s">
        <v>259</v>
      </c>
      <c r="L768" s="59">
        <v>1</v>
      </c>
      <c r="M768" s="8" t="s">
        <v>101</v>
      </c>
    </row>
    <row r="769" spans="1:13" ht="15.75" x14ac:dyDescent="0.25">
      <c r="A769" s="16" t="s">
        <v>0</v>
      </c>
      <c r="B769" s="17" t="s">
        <v>34</v>
      </c>
      <c r="C769" s="18">
        <v>42979</v>
      </c>
      <c r="D769" s="19" t="s">
        <v>17</v>
      </c>
      <c r="E769" s="20">
        <v>0.72916666666666696</v>
      </c>
      <c r="F769" s="20">
        <v>0.875</v>
      </c>
      <c r="G769" s="21">
        <v>8.0000000000000036</v>
      </c>
      <c r="H769" s="21">
        <v>3.4999999999999893</v>
      </c>
      <c r="I769" s="21">
        <v>3.4999999999999893</v>
      </c>
      <c r="J769" s="22" t="s">
        <v>9</v>
      </c>
      <c r="K769" s="23" t="s">
        <v>259</v>
      </c>
      <c r="L769" s="59">
        <v>1</v>
      </c>
      <c r="M769" s="8" t="s">
        <v>101</v>
      </c>
    </row>
    <row r="770" spans="1:13" ht="15.75" x14ac:dyDescent="0.25">
      <c r="A770" s="16" t="s">
        <v>0</v>
      </c>
      <c r="B770" s="17" t="s">
        <v>68</v>
      </c>
      <c r="C770" s="18">
        <v>42979</v>
      </c>
      <c r="D770" s="19" t="s">
        <v>17</v>
      </c>
      <c r="E770" s="20">
        <v>0.72916666666666696</v>
      </c>
      <c r="F770" s="20">
        <v>0.89583333333333304</v>
      </c>
      <c r="G770" s="21">
        <v>8.0000000000000036</v>
      </c>
      <c r="H770" s="21">
        <v>3.9999999999999822</v>
      </c>
      <c r="I770" s="21">
        <v>3.9999999999999822</v>
      </c>
      <c r="J770" s="22" t="s">
        <v>9</v>
      </c>
      <c r="K770" s="23" t="s">
        <v>259</v>
      </c>
      <c r="L770" s="59">
        <v>1</v>
      </c>
      <c r="M770" s="8" t="s">
        <v>101</v>
      </c>
    </row>
    <row r="771" spans="1:13" ht="15.75" x14ac:dyDescent="0.25">
      <c r="A771" s="16" t="s">
        <v>0</v>
      </c>
      <c r="B771" s="17" t="s">
        <v>69</v>
      </c>
      <c r="C771" s="18">
        <v>42979</v>
      </c>
      <c r="D771" s="19" t="s">
        <v>17</v>
      </c>
      <c r="E771" s="20">
        <v>0.72916666666666696</v>
      </c>
      <c r="F771" s="20">
        <v>0.89583333333333304</v>
      </c>
      <c r="G771" s="21">
        <v>8.0000000000000036</v>
      </c>
      <c r="H771" s="21">
        <v>3.9999999999999822</v>
      </c>
      <c r="I771" s="21">
        <v>3.9999999999999822</v>
      </c>
      <c r="J771" s="22" t="s">
        <v>9</v>
      </c>
      <c r="K771" s="23" t="s">
        <v>259</v>
      </c>
      <c r="L771" s="59">
        <v>1</v>
      </c>
      <c r="M771" s="8" t="s">
        <v>101</v>
      </c>
    </row>
    <row r="772" spans="1:13" ht="15.75" x14ac:dyDescent="0.25">
      <c r="A772" s="16" t="s">
        <v>0</v>
      </c>
      <c r="B772" s="17" t="s">
        <v>12</v>
      </c>
      <c r="C772" s="18">
        <v>42983</v>
      </c>
      <c r="D772" s="19" t="s">
        <v>16</v>
      </c>
      <c r="E772" s="20">
        <v>0.72916666666666696</v>
      </c>
      <c r="F772" s="20">
        <v>0.89583333333333304</v>
      </c>
      <c r="G772" s="21">
        <v>8.0000000000000036</v>
      </c>
      <c r="H772" s="21">
        <v>3.9999999999999822</v>
      </c>
      <c r="I772" s="21">
        <v>3.9999999999999822</v>
      </c>
      <c r="J772" s="22" t="s">
        <v>9</v>
      </c>
      <c r="K772" s="23" t="s">
        <v>260</v>
      </c>
      <c r="L772" s="59">
        <v>1</v>
      </c>
      <c r="M772" s="8" t="s">
        <v>101</v>
      </c>
    </row>
    <row r="773" spans="1:13" ht="15.75" x14ac:dyDescent="0.25">
      <c r="A773" s="16" t="s">
        <v>0</v>
      </c>
      <c r="B773" s="17" t="s">
        <v>34</v>
      </c>
      <c r="C773" s="18">
        <v>42983</v>
      </c>
      <c r="D773" s="19" t="s">
        <v>16</v>
      </c>
      <c r="E773" s="20">
        <v>0.72916666666666696</v>
      </c>
      <c r="F773" s="20">
        <v>0.89583333333333304</v>
      </c>
      <c r="G773" s="21">
        <v>8.0000000000000036</v>
      </c>
      <c r="H773" s="21">
        <v>3.9999999999999822</v>
      </c>
      <c r="I773" s="21">
        <v>3.9999999999999822</v>
      </c>
      <c r="J773" s="22" t="s">
        <v>9</v>
      </c>
      <c r="K773" s="23" t="s">
        <v>261</v>
      </c>
      <c r="L773" s="59">
        <v>1</v>
      </c>
      <c r="M773" s="8" t="s">
        <v>101</v>
      </c>
    </row>
    <row r="774" spans="1:13" ht="15.75" x14ac:dyDescent="0.25">
      <c r="A774" s="16" t="s">
        <v>0</v>
      </c>
      <c r="B774" s="17" t="s">
        <v>68</v>
      </c>
      <c r="C774" s="18">
        <v>42983</v>
      </c>
      <c r="D774" s="19" t="s">
        <v>16</v>
      </c>
      <c r="E774" s="20">
        <v>0.72916666666666696</v>
      </c>
      <c r="F774" s="20">
        <v>0.89583333333333304</v>
      </c>
      <c r="G774" s="21">
        <v>8.0000000000000036</v>
      </c>
      <c r="H774" s="21">
        <v>3.9999999999999822</v>
      </c>
      <c r="I774" s="21">
        <v>3.9999999999999822</v>
      </c>
      <c r="J774" s="22" t="s">
        <v>9</v>
      </c>
      <c r="K774" s="23" t="s">
        <v>261</v>
      </c>
      <c r="L774" s="59">
        <v>1</v>
      </c>
      <c r="M774" s="8" t="s">
        <v>101</v>
      </c>
    </row>
    <row r="775" spans="1:13" ht="15.75" x14ac:dyDescent="0.25">
      <c r="A775" s="16" t="s">
        <v>0</v>
      </c>
      <c r="B775" s="17" t="s">
        <v>69</v>
      </c>
      <c r="C775" s="18">
        <v>42983</v>
      </c>
      <c r="D775" s="19" t="s">
        <v>16</v>
      </c>
      <c r="E775" s="20">
        <v>0.72916666666666696</v>
      </c>
      <c r="F775" s="20">
        <v>0.89583333333333304</v>
      </c>
      <c r="G775" s="21">
        <v>8.0000000000000036</v>
      </c>
      <c r="H775" s="21">
        <v>3.9999999999999822</v>
      </c>
      <c r="I775" s="21">
        <v>3.9999999999999822</v>
      </c>
      <c r="J775" s="22" t="s">
        <v>9</v>
      </c>
      <c r="K775" s="23" t="s">
        <v>261</v>
      </c>
      <c r="L775" s="59">
        <v>1</v>
      </c>
      <c r="M775" s="8" t="s">
        <v>101</v>
      </c>
    </row>
    <row r="776" spans="1:13" ht="15.75" x14ac:dyDescent="0.25">
      <c r="A776" s="16" t="s">
        <v>0</v>
      </c>
      <c r="B776" s="17" t="s">
        <v>10</v>
      </c>
      <c r="C776" s="18">
        <v>42984</v>
      </c>
      <c r="D776" s="19" t="s">
        <v>19</v>
      </c>
      <c r="E776" s="20">
        <v>0.72916666666666696</v>
      </c>
      <c r="F776" s="20">
        <v>0.875</v>
      </c>
      <c r="G776" s="21">
        <v>8.0000000000000036</v>
      </c>
      <c r="H776" s="21">
        <v>3.4999999999999893</v>
      </c>
      <c r="I776" s="21">
        <v>3.4999999999999893</v>
      </c>
      <c r="J776" s="22" t="s">
        <v>9</v>
      </c>
      <c r="K776" s="23" t="s">
        <v>262</v>
      </c>
      <c r="L776" s="59">
        <v>1</v>
      </c>
      <c r="M776" s="8" t="s">
        <v>101</v>
      </c>
    </row>
    <row r="777" spans="1:13" ht="15.75" x14ac:dyDescent="0.25">
      <c r="A777" s="16" t="s">
        <v>0</v>
      </c>
      <c r="B777" s="17" t="s">
        <v>12</v>
      </c>
      <c r="C777" s="18">
        <v>42984</v>
      </c>
      <c r="D777" s="19" t="s">
        <v>19</v>
      </c>
      <c r="E777" s="20">
        <v>0.72916666666666696</v>
      </c>
      <c r="F777" s="20">
        <v>0.875</v>
      </c>
      <c r="G777" s="21">
        <v>8.0000000000000036</v>
      </c>
      <c r="H777" s="21">
        <v>3.4999999999999893</v>
      </c>
      <c r="I777" s="21">
        <v>3.4999999999999893</v>
      </c>
      <c r="J777" s="22" t="s">
        <v>9</v>
      </c>
      <c r="K777" s="23" t="s">
        <v>262</v>
      </c>
      <c r="L777" s="59">
        <v>1</v>
      </c>
      <c r="M777" s="8" t="s">
        <v>101</v>
      </c>
    </row>
    <row r="778" spans="1:13" ht="15.75" x14ac:dyDescent="0.25">
      <c r="A778" s="16" t="s">
        <v>0</v>
      </c>
      <c r="B778" s="17" t="s">
        <v>34</v>
      </c>
      <c r="C778" s="18">
        <v>42984</v>
      </c>
      <c r="D778" s="19" t="s">
        <v>19</v>
      </c>
      <c r="E778" s="20">
        <v>0.72916666666666696</v>
      </c>
      <c r="F778" s="20">
        <v>0.875</v>
      </c>
      <c r="G778" s="21">
        <v>8.0000000000000036</v>
      </c>
      <c r="H778" s="21">
        <v>3.4999999999999893</v>
      </c>
      <c r="I778" s="21">
        <v>3.4999999999999893</v>
      </c>
      <c r="J778" s="22" t="s">
        <v>9</v>
      </c>
      <c r="K778" s="23" t="s">
        <v>262</v>
      </c>
      <c r="L778" s="59">
        <v>1</v>
      </c>
      <c r="M778" s="8" t="s">
        <v>101</v>
      </c>
    </row>
    <row r="779" spans="1:13" ht="15.75" x14ac:dyDescent="0.25">
      <c r="A779" s="16" t="s">
        <v>0</v>
      </c>
      <c r="B779" s="17" t="s">
        <v>68</v>
      </c>
      <c r="C779" s="18">
        <v>42984</v>
      </c>
      <c r="D779" s="19" t="s">
        <v>19</v>
      </c>
      <c r="E779" s="20">
        <v>0.72916666666666696</v>
      </c>
      <c r="F779" s="20">
        <v>0.875</v>
      </c>
      <c r="G779" s="21">
        <v>8.0000000000000036</v>
      </c>
      <c r="H779" s="21">
        <v>3.4999999999999893</v>
      </c>
      <c r="I779" s="21">
        <v>3.4999999999999893</v>
      </c>
      <c r="J779" s="22" t="s">
        <v>9</v>
      </c>
      <c r="K779" s="23" t="s">
        <v>262</v>
      </c>
      <c r="L779" s="59">
        <v>1</v>
      </c>
      <c r="M779" s="8" t="s">
        <v>101</v>
      </c>
    </row>
    <row r="780" spans="1:13" ht="15.75" x14ac:dyDescent="0.25">
      <c r="A780" s="16" t="s">
        <v>0</v>
      </c>
      <c r="B780" s="17" t="s">
        <v>69</v>
      </c>
      <c r="C780" s="18">
        <v>42984</v>
      </c>
      <c r="D780" s="19" t="s">
        <v>19</v>
      </c>
      <c r="E780" s="20">
        <v>0.72916666666666696</v>
      </c>
      <c r="F780" s="20">
        <v>0.875</v>
      </c>
      <c r="G780" s="21">
        <v>8.0000000000000036</v>
      </c>
      <c r="H780" s="21">
        <v>3.4999999999999893</v>
      </c>
      <c r="I780" s="21">
        <v>3.4999999999999893</v>
      </c>
      <c r="J780" s="22" t="s">
        <v>9</v>
      </c>
      <c r="K780" s="23" t="s">
        <v>262</v>
      </c>
      <c r="L780" s="59">
        <v>1</v>
      </c>
      <c r="M780" s="8" t="s">
        <v>101</v>
      </c>
    </row>
    <row r="781" spans="1:13" ht="15.75" x14ac:dyDescent="0.25">
      <c r="A781" s="16" t="s">
        <v>0</v>
      </c>
      <c r="B781" s="17" t="s">
        <v>10</v>
      </c>
      <c r="C781" s="18">
        <v>42996</v>
      </c>
      <c r="D781" s="19" t="s">
        <v>21</v>
      </c>
      <c r="E781" s="20">
        <v>0.72916666666666696</v>
      </c>
      <c r="F781" s="20">
        <v>0.86458333333333304</v>
      </c>
      <c r="G781" s="21">
        <v>8.0000000000000036</v>
      </c>
      <c r="H781" s="21">
        <v>3.2499999999999822</v>
      </c>
      <c r="I781" s="21">
        <v>3.2499999999999822</v>
      </c>
      <c r="J781" s="22" t="s">
        <v>9</v>
      </c>
      <c r="K781" s="23" t="s">
        <v>263</v>
      </c>
      <c r="L781" s="59">
        <v>1</v>
      </c>
      <c r="M781" s="8" t="s">
        <v>101</v>
      </c>
    </row>
    <row r="782" spans="1:13" ht="15.75" x14ac:dyDescent="0.25">
      <c r="A782" s="16" t="s">
        <v>0</v>
      </c>
      <c r="B782" s="17" t="s">
        <v>68</v>
      </c>
      <c r="C782" s="18">
        <v>42996</v>
      </c>
      <c r="D782" s="19" t="s">
        <v>21</v>
      </c>
      <c r="E782" s="20">
        <v>0.72916666666666696</v>
      </c>
      <c r="F782" s="20">
        <v>0.86458333333333304</v>
      </c>
      <c r="G782" s="21">
        <v>8.0000000000000036</v>
      </c>
      <c r="H782" s="21">
        <v>3.2499999999999822</v>
      </c>
      <c r="I782" s="21">
        <v>3.2499999999999822</v>
      </c>
      <c r="J782" s="22" t="s">
        <v>9</v>
      </c>
      <c r="K782" s="23" t="s">
        <v>263</v>
      </c>
      <c r="L782" s="59">
        <v>1</v>
      </c>
      <c r="M782" s="8" t="s">
        <v>101</v>
      </c>
    </row>
    <row r="783" spans="1:13" ht="15.75" x14ac:dyDescent="0.25">
      <c r="A783" s="16" t="s">
        <v>0</v>
      </c>
      <c r="B783" s="17" t="s">
        <v>69</v>
      </c>
      <c r="C783" s="18">
        <v>42996</v>
      </c>
      <c r="D783" s="19" t="s">
        <v>21</v>
      </c>
      <c r="E783" s="20">
        <v>0.72916666666666696</v>
      </c>
      <c r="F783" s="20">
        <v>0.86458333333333304</v>
      </c>
      <c r="G783" s="21">
        <v>8.0000000000000036</v>
      </c>
      <c r="H783" s="21">
        <v>3.2499999999999822</v>
      </c>
      <c r="I783" s="21">
        <v>3.2499999999999822</v>
      </c>
      <c r="J783" s="22" t="s">
        <v>9</v>
      </c>
      <c r="K783" s="23" t="s">
        <v>263</v>
      </c>
      <c r="L783" s="59">
        <v>1</v>
      </c>
      <c r="M783" s="8" t="s">
        <v>101</v>
      </c>
    </row>
    <row r="784" spans="1:13" ht="15.75" x14ac:dyDescent="0.25">
      <c r="A784" s="16" t="s">
        <v>0</v>
      </c>
      <c r="B784" s="17" t="s">
        <v>10</v>
      </c>
      <c r="C784" s="18">
        <v>42997</v>
      </c>
      <c r="D784" s="19" t="s">
        <v>16</v>
      </c>
      <c r="E784" s="20">
        <v>0.72916666666666696</v>
      </c>
      <c r="F784" s="20">
        <v>0.89583333333333304</v>
      </c>
      <c r="G784" s="21">
        <v>8.0000000000000036</v>
      </c>
      <c r="H784" s="21">
        <v>3.9999999999999822</v>
      </c>
      <c r="I784" s="21">
        <v>3.9999999999999822</v>
      </c>
      <c r="J784" s="22" t="s">
        <v>9</v>
      </c>
      <c r="K784" s="23" t="s">
        <v>264</v>
      </c>
      <c r="L784" s="59">
        <v>1</v>
      </c>
      <c r="M784" s="8" t="s">
        <v>101</v>
      </c>
    </row>
    <row r="785" spans="1:13" ht="15.75" x14ac:dyDescent="0.25">
      <c r="A785" s="16" t="s">
        <v>0</v>
      </c>
      <c r="B785" s="17" t="s">
        <v>12</v>
      </c>
      <c r="C785" s="18">
        <v>42997</v>
      </c>
      <c r="D785" s="19" t="s">
        <v>16</v>
      </c>
      <c r="E785" s="20">
        <v>0.72916666666666696</v>
      </c>
      <c r="F785" s="20">
        <v>0.89583333333333304</v>
      </c>
      <c r="G785" s="21">
        <v>8.0000000000000036</v>
      </c>
      <c r="H785" s="21">
        <v>3.9999999999999822</v>
      </c>
      <c r="I785" s="21">
        <v>3.9999999999999822</v>
      </c>
      <c r="J785" s="22" t="s">
        <v>9</v>
      </c>
      <c r="K785" s="23" t="s">
        <v>264</v>
      </c>
      <c r="L785" s="59">
        <v>1</v>
      </c>
      <c r="M785" s="8" t="s">
        <v>101</v>
      </c>
    </row>
    <row r="786" spans="1:13" ht="15.75" x14ac:dyDescent="0.25">
      <c r="A786" s="16" t="s">
        <v>0</v>
      </c>
      <c r="B786" s="17" t="s">
        <v>34</v>
      </c>
      <c r="C786" s="18">
        <v>42997</v>
      </c>
      <c r="D786" s="19" t="s">
        <v>16</v>
      </c>
      <c r="E786" s="20">
        <v>0.72916666666666696</v>
      </c>
      <c r="F786" s="20">
        <v>0.89583333333333304</v>
      </c>
      <c r="G786" s="21">
        <v>8.0000000000000036</v>
      </c>
      <c r="H786" s="21">
        <v>3.9999999999999822</v>
      </c>
      <c r="I786" s="21">
        <v>3.9999999999999822</v>
      </c>
      <c r="J786" s="22" t="s">
        <v>9</v>
      </c>
      <c r="K786" s="23" t="s">
        <v>264</v>
      </c>
      <c r="L786" s="59">
        <v>1</v>
      </c>
      <c r="M786" s="8" t="s">
        <v>101</v>
      </c>
    </row>
    <row r="787" spans="1:13" ht="15.75" x14ac:dyDescent="0.25">
      <c r="A787" s="16" t="s">
        <v>0</v>
      </c>
      <c r="B787" s="17" t="s">
        <v>68</v>
      </c>
      <c r="C787" s="18">
        <v>42997</v>
      </c>
      <c r="D787" s="19" t="s">
        <v>16</v>
      </c>
      <c r="E787" s="20">
        <v>0.72916666666666696</v>
      </c>
      <c r="F787" s="20">
        <v>0.89583333333333304</v>
      </c>
      <c r="G787" s="21">
        <v>8.0000000000000036</v>
      </c>
      <c r="H787" s="21">
        <v>3.9999999999999822</v>
      </c>
      <c r="I787" s="21">
        <v>3.9999999999999822</v>
      </c>
      <c r="J787" s="22" t="s">
        <v>9</v>
      </c>
      <c r="K787" s="23" t="s">
        <v>264</v>
      </c>
      <c r="L787" s="59">
        <v>1</v>
      </c>
      <c r="M787" s="8" t="s">
        <v>101</v>
      </c>
    </row>
    <row r="788" spans="1:13" ht="15.75" x14ac:dyDescent="0.25">
      <c r="A788" s="16" t="s">
        <v>0</v>
      </c>
      <c r="B788" s="17" t="s">
        <v>69</v>
      </c>
      <c r="C788" s="18">
        <v>42997</v>
      </c>
      <c r="D788" s="19" t="s">
        <v>16</v>
      </c>
      <c r="E788" s="20">
        <v>0.72916666666666696</v>
      </c>
      <c r="F788" s="20">
        <v>0.89583333333333304</v>
      </c>
      <c r="G788" s="21">
        <v>8.0000000000000036</v>
      </c>
      <c r="H788" s="21">
        <v>3.9999999999999822</v>
      </c>
      <c r="I788" s="21">
        <v>3.9999999999999822</v>
      </c>
      <c r="J788" s="22" t="s">
        <v>9</v>
      </c>
      <c r="K788" s="23" t="s">
        <v>264</v>
      </c>
      <c r="L788" s="59">
        <v>1</v>
      </c>
      <c r="M788" s="8" t="s">
        <v>101</v>
      </c>
    </row>
    <row r="789" spans="1:13" ht="15.75" x14ac:dyDescent="0.25">
      <c r="A789" s="16" t="s">
        <v>0</v>
      </c>
      <c r="B789" s="17" t="s">
        <v>10</v>
      </c>
      <c r="C789" s="18">
        <v>42998</v>
      </c>
      <c r="D789" s="19" t="s">
        <v>19</v>
      </c>
      <c r="E789" s="20">
        <v>0.72916666666666696</v>
      </c>
      <c r="F789" s="20">
        <v>0.89583333333333304</v>
      </c>
      <c r="G789" s="21">
        <v>8.0000000000000036</v>
      </c>
      <c r="H789" s="21">
        <v>3.9999999999999822</v>
      </c>
      <c r="I789" s="21">
        <v>3.9999999999999822</v>
      </c>
      <c r="J789" s="22" t="s">
        <v>9</v>
      </c>
      <c r="K789" s="23" t="s">
        <v>265</v>
      </c>
      <c r="L789" s="59">
        <v>1</v>
      </c>
      <c r="M789" s="8" t="s">
        <v>101</v>
      </c>
    </row>
    <row r="790" spans="1:13" ht="15.75" x14ac:dyDescent="0.25">
      <c r="A790" s="16" t="s">
        <v>0</v>
      </c>
      <c r="B790" s="17" t="s">
        <v>12</v>
      </c>
      <c r="C790" s="18">
        <v>42998</v>
      </c>
      <c r="D790" s="19" t="s">
        <v>19</v>
      </c>
      <c r="E790" s="20">
        <v>0.72916666666666696</v>
      </c>
      <c r="F790" s="20">
        <v>0.89583333333333304</v>
      </c>
      <c r="G790" s="21">
        <v>8.0000000000000036</v>
      </c>
      <c r="H790" s="21">
        <v>3.9999999999999822</v>
      </c>
      <c r="I790" s="21">
        <v>3.9999999999999822</v>
      </c>
      <c r="J790" s="22" t="s">
        <v>9</v>
      </c>
      <c r="K790" s="23" t="s">
        <v>265</v>
      </c>
      <c r="L790" s="59">
        <v>1</v>
      </c>
      <c r="M790" s="8" t="s">
        <v>101</v>
      </c>
    </row>
    <row r="791" spans="1:13" ht="15.75" x14ac:dyDescent="0.25">
      <c r="A791" s="16" t="s">
        <v>0</v>
      </c>
      <c r="B791" s="17" t="s">
        <v>68</v>
      </c>
      <c r="C791" s="18">
        <v>42998</v>
      </c>
      <c r="D791" s="19" t="s">
        <v>19</v>
      </c>
      <c r="E791" s="20">
        <v>0.72916666666666696</v>
      </c>
      <c r="F791" s="20">
        <v>0.89583333333333304</v>
      </c>
      <c r="G791" s="21">
        <v>8.0000000000000036</v>
      </c>
      <c r="H791" s="21">
        <v>3.9999999999999822</v>
      </c>
      <c r="I791" s="21">
        <v>3.9999999999999822</v>
      </c>
      <c r="J791" s="22" t="s">
        <v>9</v>
      </c>
      <c r="K791" s="23" t="s">
        <v>265</v>
      </c>
      <c r="L791" s="59">
        <v>1</v>
      </c>
      <c r="M791" s="8" t="s">
        <v>101</v>
      </c>
    </row>
    <row r="792" spans="1:13" ht="15.75" x14ac:dyDescent="0.25">
      <c r="A792" s="16" t="s">
        <v>0</v>
      </c>
      <c r="B792" s="17" t="s">
        <v>69</v>
      </c>
      <c r="C792" s="18">
        <v>42998</v>
      </c>
      <c r="D792" s="19" t="s">
        <v>19</v>
      </c>
      <c r="E792" s="20">
        <v>0.72916666666666696</v>
      </c>
      <c r="F792" s="20">
        <v>0.89583333333333304</v>
      </c>
      <c r="G792" s="21">
        <v>8.0000000000000036</v>
      </c>
      <c r="H792" s="21">
        <v>3.9999999999999822</v>
      </c>
      <c r="I792" s="21">
        <v>3.9999999999999822</v>
      </c>
      <c r="J792" s="22" t="s">
        <v>9</v>
      </c>
      <c r="K792" s="23" t="s">
        <v>265</v>
      </c>
      <c r="L792" s="59">
        <v>1</v>
      </c>
      <c r="M792" s="8" t="s">
        <v>101</v>
      </c>
    </row>
    <row r="793" spans="1:13" ht="15.75" x14ac:dyDescent="0.25">
      <c r="A793" s="16" t="s">
        <v>0</v>
      </c>
      <c r="B793" s="17" t="s">
        <v>10</v>
      </c>
      <c r="C793" s="18">
        <v>43004</v>
      </c>
      <c r="D793" s="19" t="s">
        <v>16</v>
      </c>
      <c r="E793" s="20">
        <v>0.70833333333333304</v>
      </c>
      <c r="F793" s="20">
        <v>0.875</v>
      </c>
      <c r="G793" s="21">
        <v>8.0000000000000036</v>
      </c>
      <c r="H793" s="21">
        <v>4.0000000000000036</v>
      </c>
      <c r="I793" s="21">
        <v>4.0000000000000036</v>
      </c>
      <c r="J793" s="22" t="s">
        <v>9</v>
      </c>
      <c r="K793" s="23" t="s">
        <v>266</v>
      </c>
      <c r="L793" s="59">
        <v>1</v>
      </c>
      <c r="M793" s="8" t="s">
        <v>101</v>
      </c>
    </row>
    <row r="794" spans="1:13" ht="15.75" x14ac:dyDescent="0.25">
      <c r="A794" s="16" t="s">
        <v>0</v>
      </c>
      <c r="B794" s="17" t="s">
        <v>12</v>
      </c>
      <c r="C794" s="18">
        <v>43004</v>
      </c>
      <c r="D794" s="19" t="s">
        <v>16</v>
      </c>
      <c r="E794" s="20">
        <v>0.70833333333333304</v>
      </c>
      <c r="F794" s="20">
        <v>0.875</v>
      </c>
      <c r="G794" s="21">
        <v>8.0000000000000036</v>
      </c>
      <c r="H794" s="21">
        <v>4.0000000000000036</v>
      </c>
      <c r="I794" s="21">
        <v>4.0000000000000036</v>
      </c>
      <c r="J794" s="22" t="s">
        <v>9</v>
      </c>
      <c r="K794" s="23" t="s">
        <v>266</v>
      </c>
      <c r="L794" s="59">
        <v>1</v>
      </c>
      <c r="M794" s="8" t="s">
        <v>101</v>
      </c>
    </row>
    <row r="795" spans="1:13" ht="15.75" x14ac:dyDescent="0.25">
      <c r="A795" s="16" t="s">
        <v>0</v>
      </c>
      <c r="B795" s="17" t="s">
        <v>68</v>
      </c>
      <c r="C795" s="18">
        <v>43004</v>
      </c>
      <c r="D795" s="19" t="s">
        <v>16</v>
      </c>
      <c r="E795" s="20">
        <v>0.70833333333333304</v>
      </c>
      <c r="F795" s="20">
        <v>0.875</v>
      </c>
      <c r="G795" s="21">
        <v>8.0000000000000036</v>
      </c>
      <c r="H795" s="21">
        <v>4.0000000000000036</v>
      </c>
      <c r="I795" s="21">
        <v>4.0000000000000036</v>
      </c>
      <c r="J795" s="22" t="s">
        <v>9</v>
      </c>
      <c r="K795" s="23" t="s">
        <v>266</v>
      </c>
      <c r="L795" s="59">
        <v>1</v>
      </c>
      <c r="M795" s="8" t="s">
        <v>101</v>
      </c>
    </row>
    <row r="796" spans="1:13" ht="15.75" x14ac:dyDescent="0.25">
      <c r="A796" s="16" t="s">
        <v>0</v>
      </c>
      <c r="B796" s="17" t="s">
        <v>69</v>
      </c>
      <c r="C796" s="18">
        <v>43004</v>
      </c>
      <c r="D796" s="19" t="s">
        <v>16</v>
      </c>
      <c r="E796" s="20">
        <v>0.70833333333333304</v>
      </c>
      <c r="F796" s="20">
        <v>0.875</v>
      </c>
      <c r="G796" s="21">
        <v>8.0000000000000036</v>
      </c>
      <c r="H796" s="21">
        <v>4.0000000000000036</v>
      </c>
      <c r="I796" s="21">
        <v>4.0000000000000036</v>
      </c>
      <c r="J796" s="22" t="s">
        <v>9</v>
      </c>
      <c r="K796" s="23" t="s">
        <v>266</v>
      </c>
      <c r="L796" s="59">
        <v>1</v>
      </c>
      <c r="M796" s="8" t="s">
        <v>101</v>
      </c>
    </row>
    <row r="797" spans="1:13" ht="15.75" x14ac:dyDescent="0.25">
      <c r="A797" s="16" t="s">
        <v>0</v>
      </c>
      <c r="B797" s="17" t="s">
        <v>10</v>
      </c>
      <c r="C797" s="18">
        <v>43005</v>
      </c>
      <c r="D797" s="19" t="s">
        <v>19</v>
      </c>
      <c r="E797" s="20">
        <v>0.70833333333333304</v>
      </c>
      <c r="F797" s="20">
        <v>0.875</v>
      </c>
      <c r="G797" s="21">
        <v>8.0000000000000036</v>
      </c>
      <c r="H797" s="21">
        <v>4.0000000000000036</v>
      </c>
      <c r="I797" s="21">
        <v>4.0000000000000036</v>
      </c>
      <c r="J797" s="22" t="s">
        <v>9</v>
      </c>
      <c r="K797" s="23" t="s">
        <v>267</v>
      </c>
      <c r="L797" s="59">
        <v>1</v>
      </c>
      <c r="M797" s="8" t="s">
        <v>101</v>
      </c>
    </row>
    <row r="798" spans="1:13" ht="15.75" x14ac:dyDescent="0.25">
      <c r="A798" s="16" t="s">
        <v>0</v>
      </c>
      <c r="B798" s="17" t="s">
        <v>12</v>
      </c>
      <c r="C798" s="18">
        <v>43005</v>
      </c>
      <c r="D798" s="19" t="s">
        <v>19</v>
      </c>
      <c r="E798" s="20">
        <v>0.70833333333333304</v>
      </c>
      <c r="F798" s="20">
        <v>0.875</v>
      </c>
      <c r="G798" s="21">
        <v>8.0000000000000036</v>
      </c>
      <c r="H798" s="21">
        <v>4.0000000000000036</v>
      </c>
      <c r="I798" s="21">
        <v>4.0000000000000036</v>
      </c>
      <c r="J798" s="22" t="s">
        <v>9</v>
      </c>
      <c r="K798" s="23" t="s">
        <v>268</v>
      </c>
      <c r="L798" s="59">
        <v>1</v>
      </c>
      <c r="M798" s="8" t="s">
        <v>101</v>
      </c>
    </row>
    <row r="799" spans="1:13" ht="15.75" x14ac:dyDescent="0.25">
      <c r="A799" s="16" t="s">
        <v>0</v>
      </c>
      <c r="B799" s="17" t="s">
        <v>34</v>
      </c>
      <c r="C799" s="18">
        <v>43005</v>
      </c>
      <c r="D799" s="19" t="s">
        <v>19</v>
      </c>
      <c r="E799" s="20">
        <v>0.70833333333333304</v>
      </c>
      <c r="F799" s="20">
        <v>0.875</v>
      </c>
      <c r="G799" s="21">
        <v>8.0000000000000036</v>
      </c>
      <c r="H799" s="21">
        <v>4.0000000000000036</v>
      </c>
      <c r="I799" s="21">
        <v>4.0000000000000036</v>
      </c>
      <c r="J799" s="22" t="s">
        <v>9</v>
      </c>
      <c r="K799" s="23" t="s">
        <v>268</v>
      </c>
      <c r="L799" s="59">
        <v>1</v>
      </c>
      <c r="M799" s="8" t="s">
        <v>101</v>
      </c>
    </row>
    <row r="800" spans="1:13" ht="15.75" x14ac:dyDescent="0.25">
      <c r="A800" s="16" t="s">
        <v>0</v>
      </c>
      <c r="B800" s="17" t="s">
        <v>68</v>
      </c>
      <c r="C800" s="18">
        <v>43005</v>
      </c>
      <c r="D800" s="19" t="s">
        <v>19</v>
      </c>
      <c r="E800" s="20">
        <v>0.70833333333333304</v>
      </c>
      <c r="F800" s="20">
        <v>0.875</v>
      </c>
      <c r="G800" s="21">
        <v>8.0000000000000036</v>
      </c>
      <c r="H800" s="21">
        <v>4.0000000000000036</v>
      </c>
      <c r="I800" s="21">
        <v>4.0000000000000036</v>
      </c>
      <c r="J800" s="22" t="s">
        <v>9</v>
      </c>
      <c r="K800" s="23" t="s">
        <v>268</v>
      </c>
      <c r="L800" s="59">
        <v>1</v>
      </c>
      <c r="M800" s="8" t="s">
        <v>101</v>
      </c>
    </row>
    <row r="801" spans="1:13" ht="15.75" x14ac:dyDescent="0.25">
      <c r="A801" s="16" t="s">
        <v>0</v>
      </c>
      <c r="B801" s="17" t="s">
        <v>69</v>
      </c>
      <c r="C801" s="18">
        <v>43005</v>
      </c>
      <c r="D801" s="19" t="s">
        <v>19</v>
      </c>
      <c r="E801" s="20">
        <v>0.70833333333333304</v>
      </c>
      <c r="F801" s="20">
        <v>0.875</v>
      </c>
      <c r="G801" s="21">
        <v>8.0000000000000036</v>
      </c>
      <c r="H801" s="21">
        <v>4.0000000000000036</v>
      </c>
      <c r="I801" s="21">
        <v>4.0000000000000036</v>
      </c>
      <c r="J801" s="22" t="s">
        <v>9</v>
      </c>
      <c r="K801" s="23" t="s">
        <v>268</v>
      </c>
      <c r="L801" s="59">
        <v>1</v>
      </c>
      <c r="M801" s="8" t="s">
        <v>101</v>
      </c>
    </row>
    <row r="802" spans="1:13" ht="15.75" x14ac:dyDescent="0.25">
      <c r="A802" s="16" t="s">
        <v>0</v>
      </c>
      <c r="B802" s="17" t="s">
        <v>10</v>
      </c>
      <c r="C802" s="18">
        <v>43006</v>
      </c>
      <c r="D802" s="19" t="s">
        <v>18</v>
      </c>
      <c r="E802" s="20">
        <v>0.70833333333333304</v>
      </c>
      <c r="F802" s="20">
        <v>0.875</v>
      </c>
      <c r="G802" s="21">
        <v>8.0000000000000036</v>
      </c>
      <c r="H802" s="21">
        <v>4.0000000000000036</v>
      </c>
      <c r="I802" s="21">
        <v>4.0000000000000036</v>
      </c>
      <c r="J802" s="22" t="s">
        <v>9</v>
      </c>
      <c r="K802" s="23" t="s">
        <v>269</v>
      </c>
      <c r="L802" s="59">
        <v>1</v>
      </c>
      <c r="M802" s="8" t="s">
        <v>101</v>
      </c>
    </row>
    <row r="803" spans="1:13" ht="15.75" x14ac:dyDescent="0.25">
      <c r="A803" s="16" t="s">
        <v>0</v>
      </c>
      <c r="B803" s="17" t="s">
        <v>12</v>
      </c>
      <c r="C803" s="18">
        <v>43006</v>
      </c>
      <c r="D803" s="19" t="s">
        <v>18</v>
      </c>
      <c r="E803" s="20">
        <v>0.70833333333333304</v>
      </c>
      <c r="F803" s="20">
        <v>0.88541666666666696</v>
      </c>
      <c r="G803" s="21">
        <v>8.0000000000000036</v>
      </c>
      <c r="H803" s="21">
        <v>4.2500000000000107</v>
      </c>
      <c r="I803" s="21">
        <v>4.2500000000000107</v>
      </c>
      <c r="J803" s="22" t="s">
        <v>9</v>
      </c>
      <c r="K803" s="23" t="s">
        <v>269</v>
      </c>
      <c r="L803" s="59">
        <v>1</v>
      </c>
      <c r="M803" s="8" t="s">
        <v>101</v>
      </c>
    </row>
    <row r="804" spans="1:13" ht="15.75" x14ac:dyDescent="0.25">
      <c r="A804" s="16" t="s">
        <v>0</v>
      </c>
      <c r="B804" s="17" t="s">
        <v>34</v>
      </c>
      <c r="C804" s="18">
        <v>43006</v>
      </c>
      <c r="D804" s="19" t="s">
        <v>18</v>
      </c>
      <c r="E804" s="20">
        <v>0.70833333333333304</v>
      </c>
      <c r="F804" s="20">
        <v>0.875</v>
      </c>
      <c r="G804" s="21">
        <v>8.0000000000000036</v>
      </c>
      <c r="H804" s="21">
        <v>4.0000000000000036</v>
      </c>
      <c r="I804" s="21">
        <v>4.0000000000000036</v>
      </c>
      <c r="J804" s="22" t="s">
        <v>9</v>
      </c>
      <c r="K804" s="23" t="s">
        <v>269</v>
      </c>
      <c r="L804" s="59">
        <v>1</v>
      </c>
      <c r="M804" s="8" t="s">
        <v>101</v>
      </c>
    </row>
    <row r="805" spans="1:13" ht="15.75" x14ac:dyDescent="0.25">
      <c r="A805" s="16" t="s">
        <v>0</v>
      </c>
      <c r="B805" s="17" t="s">
        <v>68</v>
      </c>
      <c r="C805" s="18">
        <v>43006</v>
      </c>
      <c r="D805" s="19" t="s">
        <v>18</v>
      </c>
      <c r="E805" s="20">
        <v>0.70833333333333304</v>
      </c>
      <c r="F805" s="20">
        <v>0.88541666666666696</v>
      </c>
      <c r="G805" s="21">
        <v>8.0000000000000036</v>
      </c>
      <c r="H805" s="21">
        <v>4.2500000000000107</v>
      </c>
      <c r="I805" s="21">
        <v>4.2500000000000107</v>
      </c>
      <c r="J805" s="22" t="s">
        <v>9</v>
      </c>
      <c r="K805" s="23" t="s">
        <v>269</v>
      </c>
      <c r="L805" s="59">
        <v>1</v>
      </c>
      <c r="M805" s="8" t="s">
        <v>101</v>
      </c>
    </row>
    <row r="806" spans="1:13" ht="15.75" x14ac:dyDescent="0.25">
      <c r="A806" s="16" t="s">
        <v>0</v>
      </c>
      <c r="B806" s="17" t="s">
        <v>69</v>
      </c>
      <c r="C806" s="18">
        <v>43006</v>
      </c>
      <c r="D806" s="19" t="s">
        <v>18</v>
      </c>
      <c r="E806" s="20">
        <v>0.70833333333333304</v>
      </c>
      <c r="F806" s="20">
        <v>0.88541666666666696</v>
      </c>
      <c r="G806" s="21">
        <v>8.0000000000000036</v>
      </c>
      <c r="H806" s="21">
        <v>4.2500000000000107</v>
      </c>
      <c r="I806" s="21">
        <v>4.2500000000000107</v>
      </c>
      <c r="J806" s="22" t="s">
        <v>9</v>
      </c>
      <c r="K806" s="23" t="s">
        <v>269</v>
      </c>
      <c r="L806" s="59">
        <v>1</v>
      </c>
      <c r="M806" s="8" t="s">
        <v>101</v>
      </c>
    </row>
    <row r="807" spans="1:13" ht="15.75" x14ac:dyDescent="0.25">
      <c r="A807" s="16" t="s">
        <v>0</v>
      </c>
      <c r="B807" s="17" t="s">
        <v>34</v>
      </c>
      <c r="C807" s="18">
        <v>43011</v>
      </c>
      <c r="D807" s="19" t="s">
        <v>16</v>
      </c>
      <c r="E807" s="20">
        <v>0.66666666666666696</v>
      </c>
      <c r="F807" s="20">
        <v>0.91666666666666696</v>
      </c>
      <c r="G807" s="21">
        <v>8.0000000000000036</v>
      </c>
      <c r="H807" s="21">
        <v>5.9999999999999964</v>
      </c>
      <c r="I807" s="21">
        <v>5.9999999999999964</v>
      </c>
      <c r="J807" s="24" t="s">
        <v>9</v>
      </c>
      <c r="K807" s="23" t="s">
        <v>270</v>
      </c>
      <c r="L807" s="59">
        <v>1</v>
      </c>
      <c r="M807" s="8" t="s">
        <v>102</v>
      </c>
    </row>
    <row r="808" spans="1:13" ht="15.75" x14ac:dyDescent="0.25">
      <c r="A808" s="16" t="s">
        <v>0</v>
      </c>
      <c r="B808" s="17" t="s">
        <v>68</v>
      </c>
      <c r="C808" s="18">
        <v>43011</v>
      </c>
      <c r="D808" s="19" t="s">
        <v>16</v>
      </c>
      <c r="E808" s="20">
        <v>0.66666666666666696</v>
      </c>
      <c r="F808" s="20">
        <v>0.91666666666666696</v>
      </c>
      <c r="G808" s="21">
        <v>8.0000000000000036</v>
      </c>
      <c r="H808" s="21">
        <v>5.9999999999999964</v>
      </c>
      <c r="I808" s="21">
        <v>5.9999999999999964</v>
      </c>
      <c r="J808" s="24" t="s">
        <v>9</v>
      </c>
      <c r="K808" s="23" t="s">
        <v>270</v>
      </c>
      <c r="L808" s="59">
        <v>1</v>
      </c>
      <c r="M808" s="8" t="s">
        <v>102</v>
      </c>
    </row>
    <row r="809" spans="1:13" ht="15.75" x14ac:dyDescent="0.25">
      <c r="A809" s="16" t="s">
        <v>0</v>
      </c>
      <c r="B809" s="17" t="s">
        <v>69</v>
      </c>
      <c r="C809" s="18">
        <v>43011</v>
      </c>
      <c r="D809" s="19" t="s">
        <v>16</v>
      </c>
      <c r="E809" s="20">
        <v>0.66666666666666696</v>
      </c>
      <c r="F809" s="20">
        <v>0.91666666666666696</v>
      </c>
      <c r="G809" s="21">
        <v>8.0000000000000036</v>
      </c>
      <c r="H809" s="21">
        <v>5.9999999999999964</v>
      </c>
      <c r="I809" s="21">
        <v>5.9999999999999964</v>
      </c>
      <c r="J809" s="24" t="s">
        <v>9</v>
      </c>
      <c r="K809" s="23" t="s">
        <v>270</v>
      </c>
      <c r="L809" s="59">
        <v>1</v>
      </c>
      <c r="M809" s="8" t="s">
        <v>102</v>
      </c>
    </row>
    <row r="810" spans="1:13" ht="15.75" x14ac:dyDescent="0.25">
      <c r="A810" s="16" t="s">
        <v>0</v>
      </c>
      <c r="B810" s="17" t="s">
        <v>10</v>
      </c>
      <c r="C810" s="25">
        <v>43031</v>
      </c>
      <c r="D810" s="19" t="s">
        <v>21</v>
      </c>
      <c r="E810" s="20">
        <v>0.72916666666666696</v>
      </c>
      <c r="F810" s="20">
        <v>0.89583333333333304</v>
      </c>
      <c r="G810" s="21">
        <v>8.0000000000000036</v>
      </c>
      <c r="H810" s="21">
        <v>3.9999999999999822</v>
      </c>
      <c r="I810" s="21">
        <v>3.9999999999999822</v>
      </c>
      <c r="J810" s="22" t="s">
        <v>9</v>
      </c>
      <c r="K810" s="23" t="s">
        <v>271</v>
      </c>
      <c r="L810" s="59">
        <v>1</v>
      </c>
      <c r="M810" s="8" t="s">
        <v>102</v>
      </c>
    </row>
    <row r="811" spans="1:13" ht="15.75" x14ac:dyDescent="0.25">
      <c r="A811" s="16" t="s">
        <v>0</v>
      </c>
      <c r="B811" s="17" t="s">
        <v>12</v>
      </c>
      <c r="C811" s="18">
        <v>43031</v>
      </c>
      <c r="D811" s="19" t="s">
        <v>21</v>
      </c>
      <c r="E811" s="20">
        <v>0.72916666666666696</v>
      </c>
      <c r="F811" s="20">
        <v>0.89583333333333304</v>
      </c>
      <c r="G811" s="21">
        <v>8.0000000000000036</v>
      </c>
      <c r="H811" s="21">
        <v>3.9999999999999822</v>
      </c>
      <c r="I811" s="21">
        <v>3.9999999999999822</v>
      </c>
      <c r="J811" s="22" t="s">
        <v>9</v>
      </c>
      <c r="K811" s="23" t="s">
        <v>271</v>
      </c>
      <c r="L811" s="59">
        <v>1</v>
      </c>
      <c r="M811" s="8" t="s">
        <v>102</v>
      </c>
    </row>
    <row r="812" spans="1:13" ht="15.75" x14ac:dyDescent="0.25">
      <c r="A812" s="16" t="s">
        <v>0</v>
      </c>
      <c r="B812" s="17" t="s">
        <v>68</v>
      </c>
      <c r="C812" s="18">
        <v>43031</v>
      </c>
      <c r="D812" s="19" t="s">
        <v>21</v>
      </c>
      <c r="E812" s="20">
        <v>0.72916666666666696</v>
      </c>
      <c r="F812" s="20">
        <v>0.89583333333333304</v>
      </c>
      <c r="G812" s="21">
        <v>8.0000000000000036</v>
      </c>
      <c r="H812" s="21">
        <v>3.9999999999999822</v>
      </c>
      <c r="I812" s="21">
        <v>3.9999999999999822</v>
      </c>
      <c r="J812" s="22" t="s">
        <v>9</v>
      </c>
      <c r="K812" s="23" t="s">
        <v>271</v>
      </c>
      <c r="L812" s="59">
        <v>1</v>
      </c>
      <c r="M812" s="8" t="s">
        <v>102</v>
      </c>
    </row>
    <row r="813" spans="1:13" ht="15.75" x14ac:dyDescent="0.25">
      <c r="A813" s="16" t="s">
        <v>0</v>
      </c>
      <c r="B813" s="17" t="s">
        <v>69</v>
      </c>
      <c r="C813" s="18">
        <v>43031</v>
      </c>
      <c r="D813" s="19" t="s">
        <v>21</v>
      </c>
      <c r="E813" s="20">
        <v>0.72916666666666696</v>
      </c>
      <c r="F813" s="20">
        <v>0.89583333333333304</v>
      </c>
      <c r="G813" s="21">
        <v>8.0000000000000036</v>
      </c>
      <c r="H813" s="21">
        <v>3.9999999999999822</v>
      </c>
      <c r="I813" s="21">
        <v>3.9999999999999822</v>
      </c>
      <c r="J813" s="22" t="s">
        <v>9</v>
      </c>
      <c r="K813" s="23" t="s">
        <v>271</v>
      </c>
      <c r="L813" s="59">
        <v>1</v>
      </c>
      <c r="M813" s="8" t="s">
        <v>102</v>
      </c>
    </row>
    <row r="814" spans="1:13" ht="15.75" x14ac:dyDescent="0.25">
      <c r="A814" s="16" t="s">
        <v>0</v>
      </c>
      <c r="B814" s="17" t="s">
        <v>10</v>
      </c>
      <c r="C814" s="25">
        <v>43032</v>
      </c>
      <c r="D814" s="19" t="s">
        <v>16</v>
      </c>
      <c r="E814" s="20">
        <v>0.72916666666666696</v>
      </c>
      <c r="F814" s="20">
        <v>0.89583333333333304</v>
      </c>
      <c r="G814" s="21">
        <v>8.0000000000000036</v>
      </c>
      <c r="H814" s="21">
        <v>3.9999999999999822</v>
      </c>
      <c r="I814" s="21">
        <v>3.9999999999999822</v>
      </c>
      <c r="J814" s="22" t="s">
        <v>9</v>
      </c>
      <c r="K814" s="23" t="s">
        <v>272</v>
      </c>
      <c r="L814" s="59">
        <v>1</v>
      </c>
      <c r="M814" s="8" t="s">
        <v>102</v>
      </c>
    </row>
    <row r="815" spans="1:13" ht="15.75" x14ac:dyDescent="0.25">
      <c r="A815" s="16" t="s">
        <v>0</v>
      </c>
      <c r="B815" s="17" t="s">
        <v>12</v>
      </c>
      <c r="C815" s="18">
        <v>43032</v>
      </c>
      <c r="D815" s="19" t="s">
        <v>16</v>
      </c>
      <c r="E815" s="20">
        <v>0.72916666666666696</v>
      </c>
      <c r="F815" s="20">
        <v>0.89583333333333304</v>
      </c>
      <c r="G815" s="21">
        <v>8.0000000000000036</v>
      </c>
      <c r="H815" s="21">
        <v>3.9999999999999822</v>
      </c>
      <c r="I815" s="21">
        <v>3.9999999999999822</v>
      </c>
      <c r="J815" s="22" t="s">
        <v>9</v>
      </c>
      <c r="K815" s="23" t="s">
        <v>272</v>
      </c>
      <c r="L815" s="59">
        <v>1</v>
      </c>
      <c r="M815" s="8" t="s">
        <v>102</v>
      </c>
    </row>
    <row r="816" spans="1:13" ht="15.75" x14ac:dyDescent="0.25">
      <c r="A816" s="16" t="s">
        <v>0</v>
      </c>
      <c r="B816" s="17" t="s">
        <v>34</v>
      </c>
      <c r="C816" s="18">
        <v>43032</v>
      </c>
      <c r="D816" s="19" t="s">
        <v>16</v>
      </c>
      <c r="E816" s="20">
        <v>0.72916666666666696</v>
      </c>
      <c r="F816" s="20">
        <v>0.89583333333333304</v>
      </c>
      <c r="G816" s="21">
        <v>8.0000000000000036</v>
      </c>
      <c r="H816" s="21">
        <v>3.9999999999999822</v>
      </c>
      <c r="I816" s="21">
        <v>3.9999999999999822</v>
      </c>
      <c r="J816" s="22" t="s">
        <v>9</v>
      </c>
      <c r="K816" s="23" t="s">
        <v>272</v>
      </c>
      <c r="L816" s="59">
        <v>1</v>
      </c>
      <c r="M816" s="8" t="s">
        <v>102</v>
      </c>
    </row>
    <row r="817" spans="1:13" ht="15.75" x14ac:dyDescent="0.25">
      <c r="A817" s="16" t="s">
        <v>0</v>
      </c>
      <c r="B817" s="17" t="s">
        <v>68</v>
      </c>
      <c r="C817" s="18">
        <v>43032</v>
      </c>
      <c r="D817" s="19" t="s">
        <v>16</v>
      </c>
      <c r="E817" s="20">
        <v>0.72916666666666696</v>
      </c>
      <c r="F817" s="20">
        <v>0.89583333333333304</v>
      </c>
      <c r="G817" s="21">
        <v>8.0000000000000036</v>
      </c>
      <c r="H817" s="21">
        <v>3.9999999999999822</v>
      </c>
      <c r="I817" s="21">
        <v>3.9999999999999822</v>
      </c>
      <c r="J817" s="22" t="s">
        <v>9</v>
      </c>
      <c r="K817" s="23" t="s">
        <v>272</v>
      </c>
      <c r="L817" s="59">
        <v>1</v>
      </c>
      <c r="M817" s="8" t="s">
        <v>102</v>
      </c>
    </row>
    <row r="818" spans="1:13" ht="15.75" x14ac:dyDescent="0.25">
      <c r="A818" s="16" t="s">
        <v>0</v>
      </c>
      <c r="B818" s="17" t="s">
        <v>69</v>
      </c>
      <c r="C818" s="18">
        <v>43032</v>
      </c>
      <c r="D818" s="19" t="s">
        <v>16</v>
      </c>
      <c r="E818" s="20">
        <v>0.72916666666666696</v>
      </c>
      <c r="F818" s="20">
        <v>0.89583333333333304</v>
      </c>
      <c r="G818" s="21">
        <v>8.0000000000000036</v>
      </c>
      <c r="H818" s="21">
        <v>3.9999999999999822</v>
      </c>
      <c r="I818" s="21">
        <v>3.9999999999999822</v>
      </c>
      <c r="J818" s="22" t="s">
        <v>9</v>
      </c>
      <c r="K818" s="23" t="s">
        <v>272</v>
      </c>
      <c r="L818" s="59">
        <v>1</v>
      </c>
      <c r="M818" s="8" t="s">
        <v>102</v>
      </c>
    </row>
    <row r="819" spans="1:13" ht="15.75" x14ac:dyDescent="0.25">
      <c r="A819" s="16" t="s">
        <v>0</v>
      </c>
      <c r="B819" s="17" t="s">
        <v>10</v>
      </c>
      <c r="C819" s="25">
        <v>43033</v>
      </c>
      <c r="D819" s="19" t="s">
        <v>19</v>
      </c>
      <c r="E819" s="20">
        <v>0.72916666666666696</v>
      </c>
      <c r="F819" s="20">
        <v>0.89583333333333304</v>
      </c>
      <c r="G819" s="21">
        <v>8.0000000000000036</v>
      </c>
      <c r="H819" s="21">
        <v>3.9999999999999822</v>
      </c>
      <c r="I819" s="21">
        <v>3.9999999999999822</v>
      </c>
      <c r="J819" s="22" t="s">
        <v>9</v>
      </c>
      <c r="K819" s="23" t="s">
        <v>273</v>
      </c>
      <c r="L819" s="59">
        <v>1</v>
      </c>
      <c r="M819" s="8" t="s">
        <v>102</v>
      </c>
    </row>
    <row r="820" spans="1:13" ht="15.75" x14ac:dyDescent="0.25">
      <c r="A820" s="16" t="s">
        <v>0</v>
      </c>
      <c r="B820" s="17" t="s">
        <v>12</v>
      </c>
      <c r="C820" s="18">
        <v>43033</v>
      </c>
      <c r="D820" s="19" t="s">
        <v>19</v>
      </c>
      <c r="E820" s="20">
        <v>0.72916666666666696</v>
      </c>
      <c r="F820" s="20">
        <v>0.89583333333333304</v>
      </c>
      <c r="G820" s="21">
        <v>8.0000000000000036</v>
      </c>
      <c r="H820" s="21">
        <v>3.9999999999999822</v>
      </c>
      <c r="I820" s="21">
        <v>3.9999999999999822</v>
      </c>
      <c r="J820" s="22" t="s">
        <v>9</v>
      </c>
      <c r="K820" s="23" t="s">
        <v>273</v>
      </c>
      <c r="L820" s="59">
        <v>1</v>
      </c>
      <c r="M820" s="8" t="s">
        <v>102</v>
      </c>
    </row>
    <row r="821" spans="1:13" ht="15.75" x14ac:dyDescent="0.25">
      <c r="A821" s="16" t="s">
        <v>0</v>
      </c>
      <c r="B821" s="17" t="s">
        <v>34</v>
      </c>
      <c r="C821" s="18">
        <v>43033</v>
      </c>
      <c r="D821" s="19" t="s">
        <v>19</v>
      </c>
      <c r="E821" s="20">
        <v>0.72916666666666696</v>
      </c>
      <c r="F821" s="20">
        <v>0.89583333333333304</v>
      </c>
      <c r="G821" s="21">
        <v>8.0000000000000036</v>
      </c>
      <c r="H821" s="21">
        <v>3.9999999999999822</v>
      </c>
      <c r="I821" s="21">
        <v>3.9999999999999822</v>
      </c>
      <c r="J821" s="22" t="s">
        <v>9</v>
      </c>
      <c r="K821" s="23" t="s">
        <v>273</v>
      </c>
      <c r="L821" s="59">
        <v>1</v>
      </c>
      <c r="M821" s="8" t="s">
        <v>102</v>
      </c>
    </row>
    <row r="822" spans="1:13" ht="15.75" x14ac:dyDescent="0.25">
      <c r="A822" s="16" t="s">
        <v>0</v>
      </c>
      <c r="B822" s="17" t="s">
        <v>68</v>
      </c>
      <c r="C822" s="18">
        <v>43033</v>
      </c>
      <c r="D822" s="19" t="s">
        <v>19</v>
      </c>
      <c r="E822" s="20">
        <v>0.72916666666666696</v>
      </c>
      <c r="F822" s="20">
        <v>0.89583333333333304</v>
      </c>
      <c r="G822" s="21">
        <v>8.0000000000000036</v>
      </c>
      <c r="H822" s="21">
        <v>3.9999999999999822</v>
      </c>
      <c r="I822" s="21">
        <v>3.9999999999999822</v>
      </c>
      <c r="J822" s="22" t="s">
        <v>9</v>
      </c>
      <c r="K822" s="23" t="s">
        <v>273</v>
      </c>
      <c r="L822" s="59">
        <v>1</v>
      </c>
      <c r="M822" s="8" t="s">
        <v>102</v>
      </c>
    </row>
    <row r="823" spans="1:13" ht="15.75" x14ac:dyDescent="0.25">
      <c r="A823" s="16" t="s">
        <v>0</v>
      </c>
      <c r="B823" s="17" t="s">
        <v>69</v>
      </c>
      <c r="C823" s="18">
        <v>43033</v>
      </c>
      <c r="D823" s="19" t="s">
        <v>19</v>
      </c>
      <c r="E823" s="20">
        <v>0.72916666666666696</v>
      </c>
      <c r="F823" s="20">
        <v>0.83333333333333304</v>
      </c>
      <c r="G823" s="21">
        <v>8.0000000000000036</v>
      </c>
      <c r="H823" s="21">
        <v>2.4999999999999805</v>
      </c>
      <c r="I823" s="21">
        <v>2.4999999999999805</v>
      </c>
      <c r="J823" s="24" t="s">
        <v>9</v>
      </c>
      <c r="K823" s="23" t="s">
        <v>273</v>
      </c>
      <c r="L823" s="59">
        <v>1</v>
      </c>
      <c r="M823" s="8" t="s">
        <v>102</v>
      </c>
    </row>
    <row r="824" spans="1:13" ht="15.75" x14ac:dyDescent="0.25">
      <c r="A824" s="16" t="s">
        <v>0</v>
      </c>
      <c r="B824" s="17" t="s">
        <v>10</v>
      </c>
      <c r="C824" s="25">
        <v>43034</v>
      </c>
      <c r="D824" s="19" t="s">
        <v>18</v>
      </c>
      <c r="E824" s="20">
        <v>0.70833333333333304</v>
      </c>
      <c r="F824" s="20">
        <v>0.875</v>
      </c>
      <c r="G824" s="21">
        <v>8.0000000000000036</v>
      </c>
      <c r="H824" s="21">
        <v>4.0000000000000036</v>
      </c>
      <c r="I824" s="21">
        <v>4.0000000000000036</v>
      </c>
      <c r="J824" s="24" t="s">
        <v>9</v>
      </c>
      <c r="K824" s="23" t="s">
        <v>274</v>
      </c>
      <c r="L824" s="59">
        <v>1</v>
      </c>
      <c r="M824" s="8" t="s">
        <v>102</v>
      </c>
    </row>
    <row r="825" spans="1:13" ht="15.75" x14ac:dyDescent="0.25">
      <c r="A825" s="16" t="s">
        <v>0</v>
      </c>
      <c r="B825" s="17" t="s">
        <v>12</v>
      </c>
      <c r="C825" s="18">
        <v>43034</v>
      </c>
      <c r="D825" s="19" t="s">
        <v>18</v>
      </c>
      <c r="E825" s="20">
        <v>0.70833333333333304</v>
      </c>
      <c r="F825" s="20">
        <v>0.875</v>
      </c>
      <c r="G825" s="21">
        <v>8.0000000000000036</v>
      </c>
      <c r="H825" s="21">
        <v>4.0000000000000036</v>
      </c>
      <c r="I825" s="21">
        <v>4.0000000000000036</v>
      </c>
      <c r="J825" s="22" t="s">
        <v>9</v>
      </c>
      <c r="K825" s="23" t="s">
        <v>274</v>
      </c>
      <c r="L825" s="59">
        <v>1</v>
      </c>
      <c r="M825" s="8" t="s">
        <v>102</v>
      </c>
    </row>
    <row r="826" spans="1:13" ht="15.75" x14ac:dyDescent="0.25">
      <c r="A826" s="16" t="s">
        <v>0</v>
      </c>
      <c r="B826" s="17" t="s">
        <v>34</v>
      </c>
      <c r="C826" s="18">
        <v>43034</v>
      </c>
      <c r="D826" s="19" t="s">
        <v>18</v>
      </c>
      <c r="E826" s="20">
        <v>0.70833333333333304</v>
      </c>
      <c r="F826" s="20">
        <v>0.875</v>
      </c>
      <c r="G826" s="21">
        <v>8.0000000000000036</v>
      </c>
      <c r="H826" s="21">
        <v>4.0000000000000036</v>
      </c>
      <c r="I826" s="21">
        <v>4.0000000000000036</v>
      </c>
      <c r="J826" s="24" t="s">
        <v>9</v>
      </c>
      <c r="K826" s="23" t="s">
        <v>274</v>
      </c>
      <c r="L826" s="59">
        <v>1</v>
      </c>
      <c r="M826" s="8" t="s">
        <v>102</v>
      </c>
    </row>
    <row r="827" spans="1:13" ht="15.75" x14ac:dyDescent="0.25">
      <c r="A827" s="16" t="s">
        <v>0</v>
      </c>
      <c r="B827" s="17" t="s">
        <v>68</v>
      </c>
      <c r="C827" s="18">
        <v>43034</v>
      </c>
      <c r="D827" s="19" t="s">
        <v>18</v>
      </c>
      <c r="E827" s="20">
        <v>0.70833333333333304</v>
      </c>
      <c r="F827" s="20">
        <v>0.875</v>
      </c>
      <c r="G827" s="21">
        <v>8.0000000000000036</v>
      </c>
      <c r="H827" s="21">
        <v>4.0000000000000036</v>
      </c>
      <c r="I827" s="21">
        <v>4.0000000000000036</v>
      </c>
      <c r="J827" s="24" t="s">
        <v>9</v>
      </c>
      <c r="K827" s="23" t="s">
        <v>274</v>
      </c>
      <c r="L827" s="59">
        <v>1</v>
      </c>
      <c r="M827" s="8" t="s">
        <v>102</v>
      </c>
    </row>
    <row r="828" spans="1:13" ht="15.75" x14ac:dyDescent="0.25">
      <c r="A828" s="16" t="s">
        <v>0</v>
      </c>
      <c r="B828" s="17" t="s">
        <v>69</v>
      </c>
      <c r="C828" s="18">
        <v>43034</v>
      </c>
      <c r="D828" s="19" t="s">
        <v>18</v>
      </c>
      <c r="E828" s="20">
        <v>0.70833333333333304</v>
      </c>
      <c r="F828" s="20">
        <v>0.875</v>
      </c>
      <c r="G828" s="21">
        <v>8.0000000000000036</v>
      </c>
      <c r="H828" s="21">
        <v>4.0000000000000036</v>
      </c>
      <c r="I828" s="21">
        <v>4.0000000000000036</v>
      </c>
      <c r="J828" s="24" t="s">
        <v>9</v>
      </c>
      <c r="K828" s="23" t="s">
        <v>274</v>
      </c>
      <c r="L828" s="59">
        <v>1</v>
      </c>
      <c r="M828" s="8" t="s">
        <v>102</v>
      </c>
    </row>
    <row r="829" spans="1:13" ht="15.75" x14ac:dyDescent="0.25">
      <c r="A829" s="16" t="s">
        <v>0</v>
      </c>
      <c r="B829" s="17" t="s">
        <v>10</v>
      </c>
      <c r="C829" s="25">
        <v>43035</v>
      </c>
      <c r="D829" s="19" t="s">
        <v>17</v>
      </c>
      <c r="E829" s="20">
        <v>0.70833333333333304</v>
      </c>
      <c r="F829" s="20">
        <v>0.8125</v>
      </c>
      <c r="G829" s="21">
        <v>8.0000000000000036</v>
      </c>
      <c r="H829" s="21">
        <v>2.5000000000000053</v>
      </c>
      <c r="I829" s="21">
        <v>2.5000000000000053</v>
      </c>
      <c r="J829" s="24" t="s">
        <v>9</v>
      </c>
      <c r="K829" s="23" t="s">
        <v>275</v>
      </c>
      <c r="L829" s="59">
        <v>1</v>
      </c>
      <c r="M829" s="8" t="s">
        <v>102</v>
      </c>
    </row>
    <row r="830" spans="1:13" ht="15.75" x14ac:dyDescent="0.25">
      <c r="A830" s="16" t="s">
        <v>0</v>
      </c>
      <c r="B830" s="17" t="s">
        <v>12</v>
      </c>
      <c r="C830" s="18">
        <v>43035</v>
      </c>
      <c r="D830" s="19" t="s">
        <v>17</v>
      </c>
      <c r="E830" s="20">
        <v>0.70833333333333304</v>
      </c>
      <c r="F830" s="20">
        <v>0.8125</v>
      </c>
      <c r="G830" s="21">
        <v>8.0000000000000036</v>
      </c>
      <c r="H830" s="21">
        <v>2.5000000000000053</v>
      </c>
      <c r="I830" s="21">
        <v>2.5000000000000053</v>
      </c>
      <c r="J830" s="24" t="s">
        <v>9</v>
      </c>
      <c r="K830" s="23" t="s">
        <v>275</v>
      </c>
      <c r="L830" s="59">
        <v>1</v>
      </c>
      <c r="M830" s="8" t="s">
        <v>102</v>
      </c>
    </row>
    <row r="831" spans="1:13" ht="15.75" x14ac:dyDescent="0.25">
      <c r="A831" s="16" t="s">
        <v>0</v>
      </c>
      <c r="B831" s="17" t="s">
        <v>34</v>
      </c>
      <c r="C831" s="18">
        <v>43035</v>
      </c>
      <c r="D831" s="19" t="s">
        <v>17</v>
      </c>
      <c r="E831" s="20">
        <v>0.70833333333333304</v>
      </c>
      <c r="F831" s="20">
        <v>0.8125</v>
      </c>
      <c r="G831" s="21">
        <v>8.0000000000000036</v>
      </c>
      <c r="H831" s="21">
        <v>2.5000000000000053</v>
      </c>
      <c r="I831" s="21">
        <v>2.5000000000000053</v>
      </c>
      <c r="J831" s="22" t="s">
        <v>9</v>
      </c>
      <c r="K831" s="23" t="s">
        <v>275</v>
      </c>
      <c r="L831" s="59">
        <v>1</v>
      </c>
      <c r="M831" s="8" t="s">
        <v>102</v>
      </c>
    </row>
    <row r="832" spans="1:13" ht="15.75" x14ac:dyDescent="0.25">
      <c r="A832" s="16" t="s">
        <v>0</v>
      </c>
      <c r="B832" s="17" t="s">
        <v>68</v>
      </c>
      <c r="C832" s="18">
        <v>43035</v>
      </c>
      <c r="D832" s="19" t="s">
        <v>17</v>
      </c>
      <c r="E832" s="20">
        <v>0.70833333333333304</v>
      </c>
      <c r="F832" s="20">
        <v>0.8125</v>
      </c>
      <c r="G832" s="21">
        <v>8.0000000000000036</v>
      </c>
      <c r="H832" s="21">
        <v>2.5000000000000053</v>
      </c>
      <c r="I832" s="21">
        <v>2.5000000000000053</v>
      </c>
      <c r="J832" s="24" t="s">
        <v>9</v>
      </c>
      <c r="K832" s="23" t="s">
        <v>275</v>
      </c>
      <c r="L832" s="59">
        <v>1</v>
      </c>
      <c r="M832" s="8" t="s">
        <v>102</v>
      </c>
    </row>
    <row r="833" spans="1:13" ht="15.75" x14ac:dyDescent="0.25">
      <c r="A833" s="16" t="s">
        <v>0</v>
      </c>
      <c r="B833" s="17" t="s">
        <v>69</v>
      </c>
      <c r="C833" s="18">
        <v>43035</v>
      </c>
      <c r="D833" s="19" t="s">
        <v>17</v>
      </c>
      <c r="E833" s="20">
        <v>0.70833333333333304</v>
      </c>
      <c r="F833" s="20">
        <v>0.8125</v>
      </c>
      <c r="G833" s="21">
        <v>8.0000000000000036</v>
      </c>
      <c r="H833" s="21">
        <v>2.5000000000000053</v>
      </c>
      <c r="I833" s="21">
        <v>2.5000000000000053</v>
      </c>
      <c r="J833" s="24" t="s">
        <v>9</v>
      </c>
      <c r="K833" s="23" t="s">
        <v>275</v>
      </c>
      <c r="L833" s="59">
        <v>1</v>
      </c>
      <c r="M833" s="8" t="s">
        <v>102</v>
      </c>
    </row>
    <row r="834" spans="1:13" ht="15.75" x14ac:dyDescent="0.25">
      <c r="A834" s="16" t="s">
        <v>0</v>
      </c>
      <c r="B834" s="17" t="s">
        <v>12</v>
      </c>
      <c r="C834" s="18">
        <v>43036</v>
      </c>
      <c r="D834" s="19" t="s">
        <v>24</v>
      </c>
      <c r="E834" s="20">
        <v>0.70833333333333304</v>
      </c>
      <c r="F834" s="20">
        <v>0.79166666666666696</v>
      </c>
      <c r="G834" s="21">
        <v>8.0000000000000036</v>
      </c>
      <c r="H834" s="21">
        <v>2.0000000000000124</v>
      </c>
      <c r="I834" s="21">
        <v>10.000000000000016</v>
      </c>
      <c r="J834" s="24" t="s">
        <v>46</v>
      </c>
      <c r="K834" s="23" t="s">
        <v>276</v>
      </c>
      <c r="L834" s="59">
        <v>1</v>
      </c>
      <c r="M834" s="8" t="s">
        <v>102</v>
      </c>
    </row>
    <row r="835" spans="1:13" ht="15.75" x14ac:dyDescent="0.25">
      <c r="A835" s="16" t="s">
        <v>0</v>
      </c>
      <c r="B835" s="17" t="s">
        <v>34</v>
      </c>
      <c r="C835" s="18">
        <v>43036</v>
      </c>
      <c r="D835" s="19" t="s">
        <v>24</v>
      </c>
      <c r="E835" s="20">
        <v>0.70833333333333304</v>
      </c>
      <c r="F835" s="20">
        <v>0.79166666666666696</v>
      </c>
      <c r="G835" s="21">
        <v>8.0000000000000036</v>
      </c>
      <c r="H835" s="21">
        <v>2.0000000000000124</v>
      </c>
      <c r="I835" s="21">
        <v>10.000000000000016</v>
      </c>
      <c r="J835" s="24" t="s">
        <v>46</v>
      </c>
      <c r="K835" s="23" t="s">
        <v>276</v>
      </c>
      <c r="L835" s="59">
        <v>1</v>
      </c>
      <c r="M835" s="8" t="s">
        <v>102</v>
      </c>
    </row>
    <row r="836" spans="1:13" ht="15.75" x14ac:dyDescent="0.25">
      <c r="A836" s="16" t="s">
        <v>0</v>
      </c>
      <c r="B836" s="17" t="s">
        <v>68</v>
      </c>
      <c r="C836" s="18">
        <v>43036</v>
      </c>
      <c r="D836" s="19" t="s">
        <v>24</v>
      </c>
      <c r="E836" s="20">
        <v>0.70833333333333304</v>
      </c>
      <c r="F836" s="20">
        <v>0.79166666666666696</v>
      </c>
      <c r="G836" s="21">
        <v>8.0000000000000036</v>
      </c>
      <c r="H836" s="21">
        <v>2.0000000000000124</v>
      </c>
      <c r="I836" s="21">
        <v>10.000000000000016</v>
      </c>
      <c r="J836" s="24" t="s">
        <v>46</v>
      </c>
      <c r="K836" s="23" t="s">
        <v>276</v>
      </c>
      <c r="L836" s="59">
        <v>1</v>
      </c>
      <c r="M836" s="8" t="s">
        <v>102</v>
      </c>
    </row>
    <row r="837" spans="1:13" ht="15.75" x14ac:dyDescent="0.25">
      <c r="A837" s="16" t="s">
        <v>0</v>
      </c>
      <c r="B837" s="17" t="s">
        <v>69</v>
      </c>
      <c r="C837" s="18">
        <v>43036</v>
      </c>
      <c r="D837" s="19" t="s">
        <v>24</v>
      </c>
      <c r="E837" s="20">
        <v>0.70833333333333304</v>
      </c>
      <c r="F837" s="20">
        <v>0.79166666666666696</v>
      </c>
      <c r="G837" s="21">
        <v>8.0000000000000036</v>
      </c>
      <c r="H837" s="21">
        <v>2.0000000000000124</v>
      </c>
      <c r="I837" s="21">
        <v>10.000000000000016</v>
      </c>
      <c r="J837" s="24" t="s">
        <v>46</v>
      </c>
      <c r="K837" s="23" t="s">
        <v>276</v>
      </c>
      <c r="L837" s="59">
        <v>1</v>
      </c>
      <c r="M837" s="8" t="s">
        <v>102</v>
      </c>
    </row>
    <row r="838" spans="1:13" ht="15.75" x14ac:dyDescent="0.25">
      <c r="A838" s="16" t="s">
        <v>0</v>
      </c>
      <c r="B838" s="17" t="s">
        <v>10</v>
      </c>
      <c r="C838" s="25">
        <v>43038</v>
      </c>
      <c r="D838" s="19" t="s">
        <v>21</v>
      </c>
      <c r="E838" s="20">
        <v>0.70833333333333304</v>
      </c>
      <c r="F838" s="20">
        <v>0.91666666666666696</v>
      </c>
      <c r="G838" s="21">
        <v>8.0000000000000036</v>
      </c>
      <c r="H838" s="21">
        <v>5.0000000000000107</v>
      </c>
      <c r="I838" s="21">
        <v>5.0000000000000107</v>
      </c>
      <c r="J838" s="24" t="s">
        <v>9</v>
      </c>
      <c r="K838" s="23" t="s">
        <v>277</v>
      </c>
      <c r="L838" s="59">
        <v>1</v>
      </c>
      <c r="M838" s="8" t="s">
        <v>102</v>
      </c>
    </row>
    <row r="839" spans="1:13" ht="15.75" x14ac:dyDescent="0.25">
      <c r="A839" s="16" t="s">
        <v>0</v>
      </c>
      <c r="B839" s="17" t="s">
        <v>34</v>
      </c>
      <c r="C839" s="18">
        <v>43038</v>
      </c>
      <c r="D839" s="19" t="s">
        <v>21</v>
      </c>
      <c r="E839" s="20">
        <v>0.70833333333333304</v>
      </c>
      <c r="F839" s="20">
        <v>0.91666666666666696</v>
      </c>
      <c r="G839" s="21">
        <v>8.0000000000000036</v>
      </c>
      <c r="H839" s="21">
        <v>5.0000000000000107</v>
      </c>
      <c r="I839" s="21">
        <v>5.0000000000000107</v>
      </c>
      <c r="J839" s="22" t="s">
        <v>9</v>
      </c>
      <c r="K839" s="23" t="s">
        <v>277</v>
      </c>
      <c r="L839" s="59">
        <v>1</v>
      </c>
      <c r="M839" s="8" t="s">
        <v>102</v>
      </c>
    </row>
    <row r="840" spans="1:13" ht="15.75" x14ac:dyDescent="0.25">
      <c r="A840" s="16" t="s">
        <v>0</v>
      </c>
      <c r="B840" s="17" t="s">
        <v>68</v>
      </c>
      <c r="C840" s="18">
        <v>43038</v>
      </c>
      <c r="D840" s="19" t="s">
        <v>21</v>
      </c>
      <c r="E840" s="20">
        <v>0.70833333333333304</v>
      </c>
      <c r="F840" s="20">
        <v>0.91666666666666696</v>
      </c>
      <c r="G840" s="21">
        <v>8.0000000000000036</v>
      </c>
      <c r="H840" s="21">
        <v>5.0000000000000107</v>
      </c>
      <c r="I840" s="21">
        <v>5.0000000000000107</v>
      </c>
      <c r="J840" s="24" t="s">
        <v>9</v>
      </c>
      <c r="K840" s="23" t="s">
        <v>277</v>
      </c>
      <c r="L840" s="59">
        <v>1</v>
      </c>
      <c r="M840" s="8" t="s">
        <v>102</v>
      </c>
    </row>
    <row r="841" spans="1:13" ht="15.75" x14ac:dyDescent="0.25">
      <c r="A841" s="16" t="s">
        <v>0</v>
      </c>
      <c r="B841" s="17" t="s">
        <v>69</v>
      </c>
      <c r="C841" s="18">
        <v>43038</v>
      </c>
      <c r="D841" s="19" t="s">
        <v>21</v>
      </c>
      <c r="E841" s="20">
        <v>0.70833333333333304</v>
      </c>
      <c r="F841" s="20">
        <v>0.91666666666666696</v>
      </c>
      <c r="G841" s="21">
        <v>8.0000000000000036</v>
      </c>
      <c r="H841" s="21">
        <v>5.0000000000000107</v>
      </c>
      <c r="I841" s="21">
        <v>5.0000000000000107</v>
      </c>
      <c r="J841" s="24" t="s">
        <v>9</v>
      </c>
      <c r="K841" s="23" t="s">
        <v>277</v>
      </c>
      <c r="L841" s="59">
        <v>1</v>
      </c>
      <c r="M841" s="8" t="s">
        <v>102</v>
      </c>
    </row>
    <row r="842" spans="1:13" ht="15.75" x14ac:dyDescent="0.25">
      <c r="A842" s="16" t="s">
        <v>0</v>
      </c>
      <c r="B842" s="17" t="s">
        <v>10</v>
      </c>
      <c r="C842" s="25">
        <v>43039</v>
      </c>
      <c r="D842" s="19" t="s">
        <v>16</v>
      </c>
      <c r="E842" s="20">
        <v>0.70833333333333304</v>
      </c>
      <c r="F842" s="20">
        <v>0.875</v>
      </c>
      <c r="G842" s="21">
        <v>8.0000000000000036</v>
      </c>
      <c r="H842" s="21">
        <v>4.0000000000000036</v>
      </c>
      <c r="I842" s="21">
        <v>4.0000000000000036</v>
      </c>
      <c r="J842" s="22" t="s">
        <v>9</v>
      </c>
      <c r="K842" s="23" t="s">
        <v>278</v>
      </c>
      <c r="L842" s="59">
        <v>1</v>
      </c>
      <c r="M842" s="8" t="s">
        <v>102</v>
      </c>
    </row>
    <row r="843" spans="1:13" ht="15.75" x14ac:dyDescent="0.25">
      <c r="A843" s="16" t="s">
        <v>0</v>
      </c>
      <c r="B843" s="17" t="s">
        <v>12</v>
      </c>
      <c r="C843" s="18">
        <v>43039</v>
      </c>
      <c r="D843" s="19" t="s">
        <v>16</v>
      </c>
      <c r="E843" s="20">
        <v>0.70833333333333304</v>
      </c>
      <c r="F843" s="20">
        <v>0.875</v>
      </c>
      <c r="G843" s="21">
        <v>8.0000000000000036</v>
      </c>
      <c r="H843" s="21">
        <v>4.0000000000000036</v>
      </c>
      <c r="I843" s="21">
        <v>4.0000000000000036</v>
      </c>
      <c r="J843" s="22" t="s">
        <v>9</v>
      </c>
      <c r="K843" s="23" t="s">
        <v>278</v>
      </c>
      <c r="L843" s="59">
        <v>1</v>
      </c>
      <c r="M843" s="8" t="s">
        <v>102</v>
      </c>
    </row>
    <row r="844" spans="1:13" ht="15.75" x14ac:dyDescent="0.25">
      <c r="A844" s="16" t="s">
        <v>0</v>
      </c>
      <c r="B844" s="17" t="s">
        <v>34</v>
      </c>
      <c r="C844" s="18">
        <v>43039</v>
      </c>
      <c r="D844" s="19" t="s">
        <v>16</v>
      </c>
      <c r="E844" s="20">
        <v>0.70833333333333304</v>
      </c>
      <c r="F844" s="20">
        <v>0.875</v>
      </c>
      <c r="G844" s="21">
        <v>8.0000000000000036</v>
      </c>
      <c r="H844" s="21">
        <v>4.0000000000000036</v>
      </c>
      <c r="I844" s="21">
        <v>4.0000000000000036</v>
      </c>
      <c r="J844" s="22" t="s">
        <v>9</v>
      </c>
      <c r="K844" s="23" t="s">
        <v>278</v>
      </c>
      <c r="L844" s="59">
        <v>1</v>
      </c>
      <c r="M844" s="8" t="s">
        <v>102</v>
      </c>
    </row>
    <row r="845" spans="1:13" ht="15.75" x14ac:dyDescent="0.25">
      <c r="A845" s="16" t="s">
        <v>0</v>
      </c>
      <c r="B845" s="17" t="s">
        <v>68</v>
      </c>
      <c r="C845" s="18">
        <v>43039</v>
      </c>
      <c r="D845" s="19" t="s">
        <v>16</v>
      </c>
      <c r="E845" s="20">
        <v>0.70833333333333304</v>
      </c>
      <c r="F845" s="20">
        <v>0.875</v>
      </c>
      <c r="G845" s="21">
        <v>8.0000000000000036</v>
      </c>
      <c r="H845" s="21">
        <v>4.0000000000000036</v>
      </c>
      <c r="I845" s="21">
        <v>4.0000000000000036</v>
      </c>
      <c r="J845" s="22" t="s">
        <v>9</v>
      </c>
      <c r="K845" s="23" t="s">
        <v>278</v>
      </c>
      <c r="L845" s="59">
        <v>1</v>
      </c>
      <c r="M845" s="8" t="s">
        <v>102</v>
      </c>
    </row>
    <row r="846" spans="1:13" ht="15.75" x14ac:dyDescent="0.25">
      <c r="A846" s="16" t="s">
        <v>0</v>
      </c>
      <c r="B846" s="17" t="s">
        <v>10</v>
      </c>
      <c r="C846" s="25">
        <v>43040</v>
      </c>
      <c r="D846" s="19" t="s">
        <v>19</v>
      </c>
      <c r="E846" s="20">
        <v>0.70833333333333304</v>
      </c>
      <c r="F846" s="20">
        <v>0.875</v>
      </c>
      <c r="G846" s="21">
        <v>8.0000000000000036</v>
      </c>
      <c r="H846" s="21">
        <v>4.0000000000000036</v>
      </c>
      <c r="I846" s="21">
        <v>4.0000000000000036</v>
      </c>
      <c r="J846" s="24" t="s">
        <v>9</v>
      </c>
      <c r="K846" s="23" t="s">
        <v>279</v>
      </c>
      <c r="L846" s="59">
        <v>1</v>
      </c>
      <c r="M846" s="8" t="s">
        <v>91</v>
      </c>
    </row>
    <row r="847" spans="1:13" ht="15.75" x14ac:dyDescent="0.25">
      <c r="A847" s="16" t="s">
        <v>0</v>
      </c>
      <c r="B847" s="17" t="s">
        <v>12</v>
      </c>
      <c r="C847" s="18">
        <v>43040</v>
      </c>
      <c r="D847" s="19" t="s">
        <v>19</v>
      </c>
      <c r="E847" s="20">
        <v>0.70833333333333304</v>
      </c>
      <c r="F847" s="20">
        <v>0.875</v>
      </c>
      <c r="G847" s="21">
        <v>8.0000000000000036</v>
      </c>
      <c r="H847" s="21">
        <v>4.0000000000000036</v>
      </c>
      <c r="I847" s="21">
        <v>4.0000000000000036</v>
      </c>
      <c r="J847" s="22" t="s">
        <v>9</v>
      </c>
      <c r="K847" s="23" t="s">
        <v>279</v>
      </c>
      <c r="L847" s="59">
        <v>1</v>
      </c>
      <c r="M847" s="8" t="s">
        <v>91</v>
      </c>
    </row>
    <row r="848" spans="1:13" ht="15.75" x14ac:dyDescent="0.25">
      <c r="A848" s="16" t="s">
        <v>0</v>
      </c>
      <c r="B848" s="17" t="s">
        <v>68</v>
      </c>
      <c r="C848" s="18">
        <v>43040</v>
      </c>
      <c r="D848" s="19" t="s">
        <v>19</v>
      </c>
      <c r="E848" s="20">
        <v>0.70833333333333304</v>
      </c>
      <c r="F848" s="20">
        <v>0.875</v>
      </c>
      <c r="G848" s="21">
        <v>8.0000000000000036</v>
      </c>
      <c r="H848" s="21">
        <v>4.0000000000000036</v>
      </c>
      <c r="I848" s="21">
        <v>4.0000000000000036</v>
      </c>
      <c r="J848" s="24" t="s">
        <v>9</v>
      </c>
      <c r="K848" s="23" t="s">
        <v>279</v>
      </c>
      <c r="L848" s="59">
        <v>1</v>
      </c>
      <c r="M848" s="8" t="s">
        <v>91</v>
      </c>
    </row>
    <row r="849" spans="1:13" ht="15.75" x14ac:dyDescent="0.25">
      <c r="A849" s="16" t="s">
        <v>0</v>
      </c>
      <c r="B849" s="17" t="s">
        <v>69</v>
      </c>
      <c r="C849" s="18">
        <v>43040</v>
      </c>
      <c r="D849" s="19" t="s">
        <v>19</v>
      </c>
      <c r="E849" s="20">
        <v>0.70833333333333304</v>
      </c>
      <c r="F849" s="20">
        <v>0.875</v>
      </c>
      <c r="G849" s="21">
        <v>8.0000000000000036</v>
      </c>
      <c r="H849" s="21">
        <v>4.0000000000000036</v>
      </c>
      <c r="I849" s="21">
        <v>4.0000000000000036</v>
      </c>
      <c r="J849" s="24" t="s">
        <v>9</v>
      </c>
      <c r="K849" s="23" t="s">
        <v>279</v>
      </c>
      <c r="L849" s="59">
        <v>1</v>
      </c>
      <c r="M849" s="8" t="s">
        <v>91</v>
      </c>
    </row>
    <row r="850" spans="1:13" ht="15.75" x14ac:dyDescent="0.25">
      <c r="A850" s="16" t="s">
        <v>0</v>
      </c>
      <c r="B850" s="17" t="s">
        <v>10</v>
      </c>
      <c r="C850" s="25">
        <v>43041</v>
      </c>
      <c r="D850" s="19" t="s">
        <v>18</v>
      </c>
      <c r="E850" s="20">
        <v>0.70833333333333304</v>
      </c>
      <c r="F850" s="20">
        <v>0.91666666666666696</v>
      </c>
      <c r="G850" s="21">
        <v>8.0000000000000036</v>
      </c>
      <c r="H850" s="21">
        <v>5.0000000000000107</v>
      </c>
      <c r="I850" s="21">
        <v>5.0000000000000107</v>
      </c>
      <c r="J850" s="24" t="s">
        <v>9</v>
      </c>
      <c r="K850" s="23" t="s">
        <v>280</v>
      </c>
      <c r="L850" s="59">
        <v>1</v>
      </c>
      <c r="M850" s="8" t="s">
        <v>91</v>
      </c>
    </row>
    <row r="851" spans="1:13" ht="15.75" x14ac:dyDescent="0.25">
      <c r="A851" s="16" t="s">
        <v>0</v>
      </c>
      <c r="B851" s="17" t="s">
        <v>12</v>
      </c>
      <c r="C851" s="18">
        <v>43041</v>
      </c>
      <c r="D851" s="19" t="s">
        <v>18</v>
      </c>
      <c r="E851" s="20">
        <v>0.70833333333333304</v>
      </c>
      <c r="F851" s="20">
        <v>0.91666666666666696</v>
      </c>
      <c r="G851" s="21">
        <v>8.0000000000000036</v>
      </c>
      <c r="H851" s="21">
        <v>5.0000000000000107</v>
      </c>
      <c r="I851" s="21">
        <v>5.0000000000000107</v>
      </c>
      <c r="J851" s="24" t="s">
        <v>9</v>
      </c>
      <c r="K851" s="23" t="s">
        <v>280</v>
      </c>
      <c r="L851" s="59">
        <v>1</v>
      </c>
      <c r="M851" s="8" t="s">
        <v>91</v>
      </c>
    </row>
    <row r="852" spans="1:13" ht="15.75" x14ac:dyDescent="0.25">
      <c r="A852" s="16" t="s">
        <v>0</v>
      </c>
      <c r="B852" s="17" t="s">
        <v>34</v>
      </c>
      <c r="C852" s="18">
        <v>43041</v>
      </c>
      <c r="D852" s="19" t="s">
        <v>18</v>
      </c>
      <c r="E852" s="20">
        <v>0.70833333333333304</v>
      </c>
      <c r="F852" s="20">
        <v>0.91666666666666696</v>
      </c>
      <c r="G852" s="21">
        <v>8.0000000000000036</v>
      </c>
      <c r="H852" s="21">
        <v>5.0000000000000107</v>
      </c>
      <c r="I852" s="21">
        <v>5.0000000000000107</v>
      </c>
      <c r="J852" s="22" t="s">
        <v>9</v>
      </c>
      <c r="K852" s="23" t="s">
        <v>280</v>
      </c>
      <c r="L852" s="59">
        <v>1</v>
      </c>
      <c r="M852" s="8" t="s">
        <v>91</v>
      </c>
    </row>
    <row r="853" spans="1:13" ht="15.75" x14ac:dyDescent="0.25">
      <c r="A853" s="16" t="s">
        <v>0</v>
      </c>
      <c r="B853" s="17" t="s">
        <v>68</v>
      </c>
      <c r="C853" s="18">
        <v>43041</v>
      </c>
      <c r="D853" s="19" t="s">
        <v>18</v>
      </c>
      <c r="E853" s="20">
        <v>0.70833333333333304</v>
      </c>
      <c r="F853" s="20">
        <v>0.91666666666666696</v>
      </c>
      <c r="G853" s="21">
        <v>8.0000000000000036</v>
      </c>
      <c r="H853" s="21">
        <v>5.0000000000000107</v>
      </c>
      <c r="I853" s="21">
        <v>5.0000000000000107</v>
      </c>
      <c r="J853" s="24" t="s">
        <v>9</v>
      </c>
      <c r="K853" s="23" t="s">
        <v>280</v>
      </c>
      <c r="L853" s="59">
        <v>1</v>
      </c>
      <c r="M853" s="8" t="s">
        <v>91</v>
      </c>
    </row>
    <row r="854" spans="1:13" ht="15.75" x14ac:dyDescent="0.25">
      <c r="A854" s="16" t="s">
        <v>0</v>
      </c>
      <c r="B854" s="17" t="s">
        <v>69</v>
      </c>
      <c r="C854" s="18">
        <v>43041</v>
      </c>
      <c r="D854" s="19" t="s">
        <v>18</v>
      </c>
      <c r="E854" s="20">
        <v>0.70833333333333304</v>
      </c>
      <c r="F854" s="20">
        <v>0.91666666666666696</v>
      </c>
      <c r="G854" s="21">
        <v>8.0000000000000036</v>
      </c>
      <c r="H854" s="21">
        <v>5.0000000000000107</v>
      </c>
      <c r="I854" s="21">
        <v>5.0000000000000107</v>
      </c>
      <c r="J854" s="24" t="s">
        <v>9</v>
      </c>
      <c r="K854" s="23" t="s">
        <v>280</v>
      </c>
      <c r="L854" s="59">
        <v>1</v>
      </c>
      <c r="M854" s="8" t="s">
        <v>91</v>
      </c>
    </row>
    <row r="855" spans="1:13" ht="15.75" x14ac:dyDescent="0.25">
      <c r="A855" s="16" t="s">
        <v>0</v>
      </c>
      <c r="B855" s="17" t="s">
        <v>10</v>
      </c>
      <c r="C855" s="25">
        <v>43042</v>
      </c>
      <c r="D855" s="19" t="s">
        <v>17</v>
      </c>
      <c r="E855" s="20">
        <v>0.70833333333333304</v>
      </c>
      <c r="F855" s="20">
        <v>0.86458333333333304</v>
      </c>
      <c r="G855" s="21">
        <v>8.0000000000000036</v>
      </c>
      <c r="H855" s="21">
        <v>3.7499999999999964</v>
      </c>
      <c r="I855" s="21">
        <v>3.7499999999999964</v>
      </c>
      <c r="J855" s="24" t="s">
        <v>9</v>
      </c>
      <c r="K855" s="23" t="s">
        <v>281</v>
      </c>
      <c r="L855" s="59">
        <v>1</v>
      </c>
      <c r="M855" s="8" t="s">
        <v>91</v>
      </c>
    </row>
    <row r="856" spans="1:13" ht="15.75" x14ac:dyDescent="0.25">
      <c r="A856" s="16" t="s">
        <v>0</v>
      </c>
      <c r="B856" s="17" t="s">
        <v>34</v>
      </c>
      <c r="C856" s="18">
        <v>43042</v>
      </c>
      <c r="D856" s="19" t="s">
        <v>17</v>
      </c>
      <c r="E856" s="20">
        <v>0.70833333333333304</v>
      </c>
      <c r="F856" s="20">
        <v>0.86458333333333304</v>
      </c>
      <c r="G856" s="21">
        <v>8.0000000000000036</v>
      </c>
      <c r="H856" s="21">
        <v>3.7499999999999964</v>
      </c>
      <c r="I856" s="21">
        <v>3.7499999999999964</v>
      </c>
      <c r="J856" s="24" t="s">
        <v>9</v>
      </c>
      <c r="K856" s="23" t="s">
        <v>281</v>
      </c>
      <c r="L856" s="59">
        <v>1</v>
      </c>
      <c r="M856" s="8" t="s">
        <v>91</v>
      </c>
    </row>
    <row r="857" spans="1:13" ht="15.75" x14ac:dyDescent="0.25">
      <c r="A857" s="16" t="s">
        <v>0</v>
      </c>
      <c r="B857" s="17" t="s">
        <v>68</v>
      </c>
      <c r="C857" s="18">
        <v>43042</v>
      </c>
      <c r="D857" s="19" t="s">
        <v>17</v>
      </c>
      <c r="E857" s="20">
        <v>0.70833333333333304</v>
      </c>
      <c r="F857" s="20">
        <v>0.86458333333333304</v>
      </c>
      <c r="G857" s="21">
        <v>8.0000000000000036</v>
      </c>
      <c r="H857" s="21">
        <v>3.7499999999999964</v>
      </c>
      <c r="I857" s="21">
        <v>3.7499999999999964</v>
      </c>
      <c r="J857" s="24" t="s">
        <v>9</v>
      </c>
      <c r="K857" s="23" t="s">
        <v>281</v>
      </c>
      <c r="L857" s="59">
        <v>1</v>
      </c>
      <c r="M857" s="8" t="s">
        <v>91</v>
      </c>
    </row>
    <row r="858" spans="1:13" ht="15.75" x14ac:dyDescent="0.25">
      <c r="A858" s="16" t="s">
        <v>0</v>
      </c>
      <c r="B858" s="17" t="s">
        <v>69</v>
      </c>
      <c r="C858" s="18">
        <v>43042</v>
      </c>
      <c r="D858" s="19" t="s">
        <v>17</v>
      </c>
      <c r="E858" s="20">
        <v>0.70833333333333304</v>
      </c>
      <c r="F858" s="20">
        <v>0.86458333333333304</v>
      </c>
      <c r="G858" s="21">
        <v>8.0000000000000036</v>
      </c>
      <c r="H858" s="21">
        <v>3.7499999999999964</v>
      </c>
      <c r="I858" s="21">
        <v>3.7499999999999964</v>
      </c>
      <c r="J858" s="24" t="s">
        <v>9</v>
      </c>
      <c r="K858" s="23" t="s">
        <v>281</v>
      </c>
      <c r="L858" s="59">
        <v>1</v>
      </c>
      <c r="M858" s="8" t="s">
        <v>91</v>
      </c>
    </row>
    <row r="859" spans="1:13" ht="15.75" x14ac:dyDescent="0.25">
      <c r="A859" s="16" t="s">
        <v>0</v>
      </c>
      <c r="B859" s="17" t="s">
        <v>69</v>
      </c>
      <c r="C859" s="18">
        <v>43046</v>
      </c>
      <c r="D859" s="19" t="s">
        <v>16</v>
      </c>
      <c r="E859" s="20">
        <v>0.72916666666666696</v>
      </c>
      <c r="F859" s="20">
        <v>0.89583333333333304</v>
      </c>
      <c r="G859" s="21">
        <v>8.0000000000000036</v>
      </c>
      <c r="H859" s="21">
        <v>3.9999999999999822</v>
      </c>
      <c r="I859" s="21">
        <v>3.9999999999999822</v>
      </c>
      <c r="J859" s="24" t="s">
        <v>9</v>
      </c>
      <c r="K859" s="23" t="s">
        <v>282</v>
      </c>
      <c r="L859" s="59">
        <v>1</v>
      </c>
      <c r="M859" s="8" t="s">
        <v>91</v>
      </c>
    </row>
    <row r="860" spans="1:13" ht="15.75" x14ac:dyDescent="0.25">
      <c r="A860" s="16" t="s">
        <v>0</v>
      </c>
      <c r="B860" s="17" t="s">
        <v>69</v>
      </c>
      <c r="C860" s="18">
        <v>43047</v>
      </c>
      <c r="D860" s="19" t="s">
        <v>19</v>
      </c>
      <c r="E860" s="20">
        <v>0.72916666666666696</v>
      </c>
      <c r="F860" s="20">
        <v>0.89583333333333304</v>
      </c>
      <c r="G860" s="21">
        <v>8.0000000000000036</v>
      </c>
      <c r="H860" s="21">
        <v>3.9999999999999822</v>
      </c>
      <c r="I860" s="21">
        <v>3.9999999999999822</v>
      </c>
      <c r="J860" s="22" t="s">
        <v>9</v>
      </c>
      <c r="K860" s="23" t="s">
        <v>283</v>
      </c>
      <c r="L860" s="59">
        <v>1</v>
      </c>
      <c r="M860" s="8" t="s">
        <v>91</v>
      </c>
    </row>
    <row r="861" spans="1:13" ht="15.75" x14ac:dyDescent="0.25">
      <c r="A861" s="16" t="s">
        <v>0</v>
      </c>
      <c r="B861" s="17" t="s">
        <v>10</v>
      </c>
      <c r="C861" s="25">
        <v>43052</v>
      </c>
      <c r="D861" s="19" t="s">
        <v>21</v>
      </c>
      <c r="E861" s="20">
        <v>0.72916666666666696</v>
      </c>
      <c r="F861" s="20">
        <v>0.83333333333333304</v>
      </c>
      <c r="G861" s="21">
        <v>8.0000000000000036</v>
      </c>
      <c r="H861" s="21">
        <v>2.4999999999999805</v>
      </c>
      <c r="I861" s="21">
        <v>2.4999999999999805</v>
      </c>
      <c r="J861" s="22" t="s">
        <v>9</v>
      </c>
      <c r="K861" s="23" t="s">
        <v>284</v>
      </c>
      <c r="L861" s="59">
        <v>1</v>
      </c>
      <c r="M861" s="8" t="s">
        <v>91</v>
      </c>
    </row>
    <row r="862" spans="1:13" ht="15.75" x14ac:dyDescent="0.25">
      <c r="A862" s="16" t="s">
        <v>0</v>
      </c>
      <c r="B862" s="17" t="s">
        <v>12</v>
      </c>
      <c r="C862" s="18">
        <v>43052</v>
      </c>
      <c r="D862" s="19" t="s">
        <v>21</v>
      </c>
      <c r="E862" s="20">
        <v>0.72916666666666696</v>
      </c>
      <c r="F862" s="20">
        <v>0.83333333333333304</v>
      </c>
      <c r="G862" s="21">
        <v>8.0000000000000036</v>
      </c>
      <c r="H862" s="21">
        <v>2.4999999999999805</v>
      </c>
      <c r="I862" s="21">
        <v>2.4999999999999805</v>
      </c>
      <c r="J862" s="22" t="s">
        <v>9</v>
      </c>
      <c r="K862" s="23" t="s">
        <v>284</v>
      </c>
      <c r="L862" s="59">
        <v>1</v>
      </c>
      <c r="M862" s="8" t="s">
        <v>91</v>
      </c>
    </row>
    <row r="863" spans="1:13" ht="15.75" x14ac:dyDescent="0.25">
      <c r="A863" s="16" t="s">
        <v>0</v>
      </c>
      <c r="B863" s="17" t="s">
        <v>68</v>
      </c>
      <c r="C863" s="18">
        <v>43052</v>
      </c>
      <c r="D863" s="19" t="s">
        <v>21</v>
      </c>
      <c r="E863" s="20">
        <v>0.72916666666666696</v>
      </c>
      <c r="F863" s="20">
        <v>0.83333333333333304</v>
      </c>
      <c r="G863" s="21">
        <v>8.0000000000000036</v>
      </c>
      <c r="H863" s="21">
        <v>2.4999999999999805</v>
      </c>
      <c r="I863" s="21">
        <v>2.4999999999999805</v>
      </c>
      <c r="J863" s="22" t="s">
        <v>9</v>
      </c>
      <c r="K863" s="23" t="s">
        <v>284</v>
      </c>
      <c r="L863" s="59">
        <v>1</v>
      </c>
      <c r="M863" s="8" t="s">
        <v>91</v>
      </c>
    </row>
    <row r="864" spans="1:13" ht="15.75" x14ac:dyDescent="0.25">
      <c r="A864" s="16" t="s">
        <v>0</v>
      </c>
      <c r="B864" s="17" t="s">
        <v>69</v>
      </c>
      <c r="C864" s="18">
        <v>43052</v>
      </c>
      <c r="D864" s="19" t="s">
        <v>21</v>
      </c>
      <c r="E864" s="20">
        <v>0.72916666666666696</v>
      </c>
      <c r="F864" s="20">
        <v>0.83333333333333304</v>
      </c>
      <c r="G864" s="21">
        <v>8.0000000000000036</v>
      </c>
      <c r="H864" s="21">
        <v>2.4999999999999805</v>
      </c>
      <c r="I864" s="21">
        <v>2.4999999999999805</v>
      </c>
      <c r="J864" s="24" t="s">
        <v>9</v>
      </c>
      <c r="K864" s="23" t="s">
        <v>284</v>
      </c>
      <c r="L864" s="59">
        <v>1</v>
      </c>
      <c r="M864" s="8" t="s">
        <v>91</v>
      </c>
    </row>
    <row r="865" spans="1:13" ht="15.75" x14ac:dyDescent="0.25">
      <c r="A865" s="16" t="s">
        <v>0</v>
      </c>
      <c r="B865" s="17" t="s">
        <v>10</v>
      </c>
      <c r="C865" s="25">
        <v>43053</v>
      </c>
      <c r="D865" s="19" t="s">
        <v>16</v>
      </c>
      <c r="E865" s="20">
        <v>0.72916666666666696</v>
      </c>
      <c r="F865" s="20">
        <v>0.875</v>
      </c>
      <c r="G865" s="21">
        <v>8.0000000000000036</v>
      </c>
      <c r="H865" s="21">
        <v>3.4999999999999893</v>
      </c>
      <c r="I865" s="21">
        <v>3.4999999999999893</v>
      </c>
      <c r="J865" s="22" t="s">
        <v>9</v>
      </c>
      <c r="K865" s="23" t="s">
        <v>285</v>
      </c>
      <c r="L865" s="59">
        <v>1</v>
      </c>
      <c r="M865" s="8" t="s">
        <v>91</v>
      </c>
    </row>
    <row r="866" spans="1:13" ht="15.75" x14ac:dyDescent="0.25">
      <c r="A866" s="16" t="s">
        <v>0</v>
      </c>
      <c r="B866" s="17" t="s">
        <v>34</v>
      </c>
      <c r="C866" s="18">
        <v>43053</v>
      </c>
      <c r="D866" s="19" t="s">
        <v>16</v>
      </c>
      <c r="E866" s="20">
        <v>0.72916666666666696</v>
      </c>
      <c r="F866" s="20">
        <v>0.875</v>
      </c>
      <c r="G866" s="21">
        <v>8.0000000000000036</v>
      </c>
      <c r="H866" s="21">
        <v>3.4999999999999893</v>
      </c>
      <c r="I866" s="21">
        <v>3.4999999999999893</v>
      </c>
      <c r="J866" s="22" t="s">
        <v>9</v>
      </c>
      <c r="K866" s="23" t="s">
        <v>285</v>
      </c>
      <c r="L866" s="59">
        <v>1</v>
      </c>
      <c r="M866" s="8" t="s">
        <v>91</v>
      </c>
    </row>
    <row r="867" spans="1:13" ht="15.75" x14ac:dyDescent="0.25">
      <c r="A867" s="16" t="s">
        <v>0</v>
      </c>
      <c r="B867" s="17" t="s">
        <v>68</v>
      </c>
      <c r="C867" s="18">
        <v>43053</v>
      </c>
      <c r="D867" s="19" t="s">
        <v>16</v>
      </c>
      <c r="E867" s="20">
        <v>0.72916666666666696</v>
      </c>
      <c r="F867" s="20">
        <v>0.875</v>
      </c>
      <c r="G867" s="21">
        <v>8.0000000000000036</v>
      </c>
      <c r="H867" s="21">
        <v>3.4999999999999893</v>
      </c>
      <c r="I867" s="21">
        <v>3.4999999999999893</v>
      </c>
      <c r="J867" s="22" t="s">
        <v>9</v>
      </c>
      <c r="K867" s="23" t="s">
        <v>285</v>
      </c>
      <c r="L867" s="59">
        <v>1</v>
      </c>
      <c r="M867" s="8" t="s">
        <v>91</v>
      </c>
    </row>
    <row r="868" spans="1:13" ht="15.75" x14ac:dyDescent="0.25">
      <c r="A868" s="16" t="s">
        <v>0</v>
      </c>
      <c r="B868" s="17" t="s">
        <v>69</v>
      </c>
      <c r="C868" s="18">
        <v>43053</v>
      </c>
      <c r="D868" s="19" t="s">
        <v>16</v>
      </c>
      <c r="E868" s="20">
        <v>0.72916666666666696</v>
      </c>
      <c r="F868" s="20">
        <v>0.875</v>
      </c>
      <c r="G868" s="21">
        <v>8.0000000000000036</v>
      </c>
      <c r="H868" s="21">
        <v>3.4999999999999893</v>
      </c>
      <c r="I868" s="21">
        <v>3.4999999999999893</v>
      </c>
      <c r="J868" s="24" t="s">
        <v>9</v>
      </c>
      <c r="K868" s="23" t="s">
        <v>285</v>
      </c>
      <c r="L868" s="59">
        <v>1</v>
      </c>
      <c r="M868" s="8" t="s">
        <v>91</v>
      </c>
    </row>
    <row r="869" spans="1:13" ht="15.75" x14ac:dyDescent="0.25">
      <c r="A869" s="16" t="s">
        <v>0</v>
      </c>
      <c r="B869" s="17" t="s">
        <v>12</v>
      </c>
      <c r="C869" s="18">
        <v>43054</v>
      </c>
      <c r="D869" s="19" t="s">
        <v>19</v>
      </c>
      <c r="E869" s="20">
        <v>0.72916666666666696</v>
      </c>
      <c r="F869" s="20">
        <v>0.89583333333333304</v>
      </c>
      <c r="G869" s="21">
        <v>8.0000000000000036</v>
      </c>
      <c r="H869" s="21">
        <v>3.9999999999999822</v>
      </c>
      <c r="I869" s="21">
        <v>3.9999999999999822</v>
      </c>
      <c r="J869" s="22" t="s">
        <v>9</v>
      </c>
      <c r="K869" s="23" t="s">
        <v>286</v>
      </c>
      <c r="L869" s="59">
        <v>1</v>
      </c>
      <c r="M869" s="8" t="s">
        <v>91</v>
      </c>
    </row>
    <row r="870" spans="1:13" ht="15.75" x14ac:dyDescent="0.25">
      <c r="A870" s="16" t="s">
        <v>0</v>
      </c>
      <c r="B870" s="17" t="s">
        <v>34</v>
      </c>
      <c r="C870" s="18">
        <v>43054</v>
      </c>
      <c r="D870" s="19" t="s">
        <v>19</v>
      </c>
      <c r="E870" s="20">
        <v>0.72916666666666696</v>
      </c>
      <c r="F870" s="20">
        <v>0.89583333333333304</v>
      </c>
      <c r="G870" s="21">
        <v>8.0000000000000036</v>
      </c>
      <c r="H870" s="21">
        <v>3.9999999999999822</v>
      </c>
      <c r="I870" s="21">
        <v>3.9999999999999822</v>
      </c>
      <c r="J870" s="22" t="s">
        <v>9</v>
      </c>
      <c r="K870" s="23" t="s">
        <v>286</v>
      </c>
      <c r="L870" s="59">
        <v>1</v>
      </c>
      <c r="M870" s="8" t="s">
        <v>91</v>
      </c>
    </row>
    <row r="871" spans="1:13" ht="15.75" x14ac:dyDescent="0.25">
      <c r="A871" s="16" t="s">
        <v>0</v>
      </c>
      <c r="B871" s="17" t="s">
        <v>68</v>
      </c>
      <c r="C871" s="18">
        <v>43054</v>
      </c>
      <c r="D871" s="19" t="s">
        <v>19</v>
      </c>
      <c r="E871" s="20">
        <v>0.72916666666666696</v>
      </c>
      <c r="F871" s="20">
        <v>0.89583333333333304</v>
      </c>
      <c r="G871" s="21">
        <v>8.0000000000000036</v>
      </c>
      <c r="H871" s="21">
        <v>3.9999999999999822</v>
      </c>
      <c r="I871" s="21">
        <v>3.9999999999999822</v>
      </c>
      <c r="J871" s="22" t="s">
        <v>9</v>
      </c>
      <c r="K871" s="23" t="s">
        <v>286</v>
      </c>
      <c r="L871" s="59">
        <v>1</v>
      </c>
      <c r="M871" s="8" t="s">
        <v>91</v>
      </c>
    </row>
    <row r="872" spans="1:13" ht="15.75" x14ac:dyDescent="0.25">
      <c r="A872" s="16" t="s">
        <v>0</v>
      </c>
      <c r="B872" s="17" t="s">
        <v>69</v>
      </c>
      <c r="C872" s="18">
        <v>43054</v>
      </c>
      <c r="D872" s="19" t="s">
        <v>19</v>
      </c>
      <c r="E872" s="20">
        <v>0.72916666666666696</v>
      </c>
      <c r="F872" s="20">
        <v>0.89583333333333304</v>
      </c>
      <c r="G872" s="21">
        <v>8.0000000000000036</v>
      </c>
      <c r="H872" s="21">
        <v>3.9999999999999822</v>
      </c>
      <c r="I872" s="21">
        <v>3.9999999999999822</v>
      </c>
      <c r="J872" s="22" t="s">
        <v>9</v>
      </c>
      <c r="K872" s="23" t="s">
        <v>286</v>
      </c>
      <c r="L872" s="59">
        <v>1</v>
      </c>
      <c r="M872" s="8" t="s">
        <v>91</v>
      </c>
    </row>
    <row r="873" spans="1:13" ht="15.75" x14ac:dyDescent="0.25">
      <c r="A873" s="16" t="s">
        <v>0</v>
      </c>
      <c r="B873" s="17" t="s">
        <v>10</v>
      </c>
      <c r="C873" s="25">
        <v>43060</v>
      </c>
      <c r="D873" s="19" t="s">
        <v>16</v>
      </c>
      <c r="E873" s="20">
        <v>0.72916666666666696</v>
      </c>
      <c r="F873" s="20">
        <v>0.85416666666666696</v>
      </c>
      <c r="G873" s="21">
        <v>8.0000000000000036</v>
      </c>
      <c r="H873" s="21">
        <v>2.9999999999999947</v>
      </c>
      <c r="I873" s="21">
        <v>2.9999999999999947</v>
      </c>
      <c r="J873" s="22" t="s">
        <v>9</v>
      </c>
      <c r="K873" s="23" t="s">
        <v>287</v>
      </c>
      <c r="L873" s="59">
        <v>1</v>
      </c>
      <c r="M873" s="8" t="s">
        <v>91</v>
      </c>
    </row>
    <row r="874" spans="1:13" ht="15.75" x14ac:dyDescent="0.25">
      <c r="A874" s="16" t="s">
        <v>0</v>
      </c>
      <c r="B874" s="17" t="s">
        <v>34</v>
      </c>
      <c r="C874" s="18">
        <v>43060</v>
      </c>
      <c r="D874" s="19" t="s">
        <v>16</v>
      </c>
      <c r="E874" s="20">
        <v>0.72916666666666696</v>
      </c>
      <c r="F874" s="20">
        <v>0.85416666666666696</v>
      </c>
      <c r="G874" s="21">
        <v>8.0000000000000036</v>
      </c>
      <c r="H874" s="21">
        <v>2.9999999999999947</v>
      </c>
      <c r="I874" s="21">
        <v>2.9999999999999947</v>
      </c>
      <c r="J874" s="22" t="s">
        <v>9</v>
      </c>
      <c r="K874" s="23" t="s">
        <v>287</v>
      </c>
      <c r="L874" s="59">
        <v>1</v>
      </c>
      <c r="M874" s="8" t="s">
        <v>91</v>
      </c>
    </row>
    <row r="875" spans="1:13" ht="15.75" x14ac:dyDescent="0.25">
      <c r="A875" s="16" t="s">
        <v>0</v>
      </c>
      <c r="B875" s="17" t="s">
        <v>68</v>
      </c>
      <c r="C875" s="18">
        <v>43060</v>
      </c>
      <c r="D875" s="19" t="s">
        <v>16</v>
      </c>
      <c r="E875" s="20">
        <v>0.72916666666666696</v>
      </c>
      <c r="F875" s="20">
        <v>0.85416666666666696</v>
      </c>
      <c r="G875" s="21">
        <v>8.0000000000000036</v>
      </c>
      <c r="H875" s="21">
        <v>2.9999999999999947</v>
      </c>
      <c r="I875" s="21">
        <v>2.9999999999999947</v>
      </c>
      <c r="J875" s="22" t="s">
        <v>9</v>
      </c>
      <c r="K875" s="23" t="s">
        <v>287</v>
      </c>
      <c r="L875" s="59">
        <v>1</v>
      </c>
      <c r="M875" s="8" t="s">
        <v>91</v>
      </c>
    </row>
    <row r="876" spans="1:13" ht="15.75" x14ac:dyDescent="0.25">
      <c r="A876" s="16" t="s">
        <v>0</v>
      </c>
      <c r="B876" s="17" t="s">
        <v>69</v>
      </c>
      <c r="C876" s="18">
        <v>43060</v>
      </c>
      <c r="D876" s="19" t="s">
        <v>16</v>
      </c>
      <c r="E876" s="20">
        <v>0.72916666666666696</v>
      </c>
      <c r="F876" s="20">
        <v>0.85416666666666696</v>
      </c>
      <c r="G876" s="21">
        <v>8.0000000000000036</v>
      </c>
      <c r="H876" s="21">
        <v>2.9999999999999947</v>
      </c>
      <c r="I876" s="21">
        <v>2.9999999999999947</v>
      </c>
      <c r="J876" s="24" t="s">
        <v>9</v>
      </c>
      <c r="K876" s="23" t="s">
        <v>287</v>
      </c>
      <c r="L876" s="59">
        <v>1</v>
      </c>
      <c r="M876" s="8" t="s">
        <v>91</v>
      </c>
    </row>
    <row r="877" spans="1:13" ht="15.75" x14ac:dyDescent="0.25">
      <c r="A877" s="16" t="s">
        <v>0</v>
      </c>
      <c r="B877" s="17" t="s">
        <v>12</v>
      </c>
      <c r="C877" s="18">
        <v>43067</v>
      </c>
      <c r="D877" s="19" t="s">
        <v>16</v>
      </c>
      <c r="E877" s="20">
        <v>0.70833333333333304</v>
      </c>
      <c r="F877" s="20">
        <v>0.875</v>
      </c>
      <c r="G877" s="21">
        <v>8.0000000000000036</v>
      </c>
      <c r="H877" s="21">
        <v>4.0000000000000036</v>
      </c>
      <c r="I877" s="21">
        <v>4.0000000000000036</v>
      </c>
      <c r="J877" s="24" t="s">
        <v>9</v>
      </c>
      <c r="K877" s="23" t="s">
        <v>288</v>
      </c>
      <c r="L877" s="59">
        <v>1</v>
      </c>
      <c r="M877" s="8" t="s">
        <v>91</v>
      </c>
    </row>
    <row r="878" spans="1:13" ht="15.75" x14ac:dyDescent="0.25">
      <c r="A878" s="16" t="s">
        <v>0</v>
      </c>
      <c r="B878" s="17" t="s">
        <v>68</v>
      </c>
      <c r="C878" s="18">
        <v>43067</v>
      </c>
      <c r="D878" s="19" t="s">
        <v>16</v>
      </c>
      <c r="E878" s="20">
        <v>0.70833333333333304</v>
      </c>
      <c r="F878" s="20">
        <v>0.875</v>
      </c>
      <c r="G878" s="21">
        <v>8.0000000000000036</v>
      </c>
      <c r="H878" s="21">
        <v>4.0000000000000036</v>
      </c>
      <c r="I878" s="21">
        <v>4.0000000000000036</v>
      </c>
      <c r="J878" s="24" t="s">
        <v>9</v>
      </c>
      <c r="K878" s="23" t="s">
        <v>288</v>
      </c>
      <c r="L878" s="59">
        <v>1</v>
      </c>
      <c r="M878" s="8" t="s">
        <v>91</v>
      </c>
    </row>
    <row r="879" spans="1:13" ht="15.75" x14ac:dyDescent="0.25">
      <c r="A879" s="16" t="s">
        <v>0</v>
      </c>
      <c r="B879" s="17" t="s">
        <v>69</v>
      </c>
      <c r="C879" s="18">
        <v>43067</v>
      </c>
      <c r="D879" s="19" t="s">
        <v>16</v>
      </c>
      <c r="E879" s="20">
        <v>0.70833333333333304</v>
      </c>
      <c r="F879" s="20">
        <v>0.875</v>
      </c>
      <c r="G879" s="21">
        <v>8.0000000000000036</v>
      </c>
      <c r="H879" s="21">
        <v>4.0000000000000036</v>
      </c>
      <c r="I879" s="21">
        <v>4.0000000000000036</v>
      </c>
      <c r="J879" s="24" t="s">
        <v>9</v>
      </c>
      <c r="K879" s="23" t="s">
        <v>288</v>
      </c>
      <c r="L879" s="59">
        <v>1</v>
      </c>
      <c r="M879" s="8" t="s">
        <v>91</v>
      </c>
    </row>
    <row r="880" spans="1:13" ht="15.75" x14ac:dyDescent="0.25">
      <c r="A880" s="16" t="s">
        <v>0</v>
      </c>
      <c r="B880" s="17" t="s">
        <v>10</v>
      </c>
      <c r="C880" s="25">
        <v>43068</v>
      </c>
      <c r="D880" s="19" t="s">
        <v>19</v>
      </c>
      <c r="E880" s="20">
        <v>0.70833333333333304</v>
      </c>
      <c r="F880" s="20">
        <v>0.875</v>
      </c>
      <c r="G880" s="21">
        <v>8.0000000000000036</v>
      </c>
      <c r="H880" s="21">
        <v>4.0000000000000036</v>
      </c>
      <c r="I880" s="21">
        <v>4.0000000000000036</v>
      </c>
      <c r="J880" s="22" t="s">
        <v>9</v>
      </c>
      <c r="K880" s="23" t="s">
        <v>289</v>
      </c>
      <c r="L880" s="59">
        <v>1</v>
      </c>
      <c r="M880" s="8" t="s">
        <v>91</v>
      </c>
    </row>
    <row r="881" spans="1:13" ht="15.75" x14ac:dyDescent="0.25">
      <c r="A881" s="16" t="s">
        <v>0</v>
      </c>
      <c r="B881" s="17" t="s">
        <v>34</v>
      </c>
      <c r="C881" s="18">
        <v>43068</v>
      </c>
      <c r="D881" s="19" t="s">
        <v>19</v>
      </c>
      <c r="E881" s="20">
        <v>0.70833333333333304</v>
      </c>
      <c r="F881" s="20">
        <v>0.875</v>
      </c>
      <c r="G881" s="21">
        <v>8.0000000000000036</v>
      </c>
      <c r="H881" s="21">
        <v>4.0000000000000036</v>
      </c>
      <c r="I881" s="21">
        <v>4.0000000000000036</v>
      </c>
      <c r="J881" s="24" t="s">
        <v>9</v>
      </c>
      <c r="K881" s="23" t="s">
        <v>289</v>
      </c>
      <c r="L881" s="59">
        <v>1</v>
      </c>
      <c r="M881" s="8" t="s">
        <v>91</v>
      </c>
    </row>
    <row r="882" spans="1:13" ht="15.75" x14ac:dyDescent="0.25">
      <c r="A882" s="16" t="s">
        <v>0</v>
      </c>
      <c r="B882" s="17" t="s">
        <v>68</v>
      </c>
      <c r="C882" s="18">
        <v>43068</v>
      </c>
      <c r="D882" s="19" t="s">
        <v>19</v>
      </c>
      <c r="E882" s="20">
        <v>0.70833333333333304</v>
      </c>
      <c r="F882" s="20">
        <v>0.875</v>
      </c>
      <c r="G882" s="21">
        <v>8.0000000000000036</v>
      </c>
      <c r="H882" s="21">
        <v>4.0000000000000036</v>
      </c>
      <c r="I882" s="21">
        <v>4.0000000000000036</v>
      </c>
      <c r="J882" s="22" t="s">
        <v>9</v>
      </c>
      <c r="K882" s="23" t="s">
        <v>289</v>
      </c>
      <c r="L882" s="59">
        <v>1</v>
      </c>
      <c r="M882" s="8" t="s">
        <v>91</v>
      </c>
    </row>
    <row r="883" spans="1:13" ht="15.75" x14ac:dyDescent="0.25">
      <c r="A883" s="16" t="s">
        <v>0</v>
      </c>
      <c r="B883" s="17" t="s">
        <v>69</v>
      </c>
      <c r="C883" s="18">
        <v>43068</v>
      </c>
      <c r="D883" s="19" t="s">
        <v>19</v>
      </c>
      <c r="E883" s="20">
        <v>0.70833333333333304</v>
      </c>
      <c r="F883" s="20">
        <v>0.875</v>
      </c>
      <c r="G883" s="21">
        <v>8.0000000000000036</v>
      </c>
      <c r="H883" s="21">
        <v>4.0000000000000036</v>
      </c>
      <c r="I883" s="21">
        <v>4.0000000000000036</v>
      </c>
      <c r="J883" s="24" t="s">
        <v>9</v>
      </c>
      <c r="K883" s="23" t="s">
        <v>289</v>
      </c>
      <c r="L883" s="59">
        <v>1</v>
      </c>
      <c r="M883" s="8" t="s">
        <v>91</v>
      </c>
    </row>
    <row r="884" spans="1:13" ht="15.75" x14ac:dyDescent="0.25">
      <c r="A884" s="16" t="s">
        <v>0</v>
      </c>
      <c r="B884" s="17" t="s">
        <v>10</v>
      </c>
      <c r="C884" s="25">
        <v>43069</v>
      </c>
      <c r="D884" s="19" t="s">
        <v>18</v>
      </c>
      <c r="E884" s="20">
        <v>0.70833333333333304</v>
      </c>
      <c r="F884" s="20">
        <v>0.875</v>
      </c>
      <c r="G884" s="21">
        <v>8.0000000000000036</v>
      </c>
      <c r="H884" s="21">
        <v>4.0000000000000036</v>
      </c>
      <c r="I884" s="21">
        <v>4.0000000000000036</v>
      </c>
      <c r="J884" s="24" t="s">
        <v>9</v>
      </c>
      <c r="K884" s="23" t="s">
        <v>290</v>
      </c>
      <c r="L884" s="59">
        <v>1</v>
      </c>
      <c r="M884" s="8" t="s">
        <v>91</v>
      </c>
    </row>
    <row r="885" spans="1:13" ht="15.75" x14ac:dyDescent="0.25">
      <c r="A885" s="16" t="s">
        <v>0</v>
      </c>
      <c r="B885" s="17" t="s">
        <v>12</v>
      </c>
      <c r="C885" s="18">
        <v>43069</v>
      </c>
      <c r="D885" s="19" t="s">
        <v>18</v>
      </c>
      <c r="E885" s="20">
        <v>0.70833333333333304</v>
      </c>
      <c r="F885" s="20">
        <v>0.875</v>
      </c>
      <c r="G885" s="21">
        <v>8.0000000000000036</v>
      </c>
      <c r="H885" s="21">
        <v>4.0000000000000036</v>
      </c>
      <c r="I885" s="21">
        <v>4.0000000000000036</v>
      </c>
      <c r="J885" s="24" t="s">
        <v>9</v>
      </c>
      <c r="K885" s="23" t="s">
        <v>290</v>
      </c>
      <c r="L885" s="59">
        <v>1</v>
      </c>
      <c r="M885" s="8" t="s">
        <v>91</v>
      </c>
    </row>
    <row r="886" spans="1:13" ht="15.75" x14ac:dyDescent="0.25">
      <c r="A886" s="16" t="s">
        <v>0</v>
      </c>
      <c r="B886" s="17" t="s">
        <v>34</v>
      </c>
      <c r="C886" s="18">
        <v>43069</v>
      </c>
      <c r="D886" s="19" t="s">
        <v>18</v>
      </c>
      <c r="E886" s="20">
        <v>0.70833333333333304</v>
      </c>
      <c r="F886" s="20">
        <v>0.875</v>
      </c>
      <c r="G886" s="21">
        <v>8.0000000000000036</v>
      </c>
      <c r="H886" s="21">
        <v>4.0000000000000036</v>
      </c>
      <c r="I886" s="21">
        <v>4.0000000000000036</v>
      </c>
      <c r="J886" s="22" t="s">
        <v>9</v>
      </c>
      <c r="K886" s="23" t="s">
        <v>290</v>
      </c>
      <c r="L886" s="59">
        <v>1</v>
      </c>
      <c r="M886" s="8" t="s">
        <v>91</v>
      </c>
    </row>
    <row r="887" spans="1:13" ht="15.75" x14ac:dyDescent="0.25">
      <c r="A887" s="16" t="s">
        <v>0</v>
      </c>
      <c r="B887" s="17" t="s">
        <v>68</v>
      </c>
      <c r="C887" s="18">
        <v>43069</v>
      </c>
      <c r="D887" s="19" t="s">
        <v>18</v>
      </c>
      <c r="E887" s="20">
        <v>0.70833333333333304</v>
      </c>
      <c r="F887" s="20">
        <v>0.875</v>
      </c>
      <c r="G887" s="21">
        <v>8.0000000000000036</v>
      </c>
      <c r="H887" s="21">
        <v>4.0000000000000036</v>
      </c>
      <c r="I887" s="21">
        <v>4.0000000000000036</v>
      </c>
      <c r="J887" s="24" t="s">
        <v>9</v>
      </c>
      <c r="K887" s="23" t="s">
        <v>290</v>
      </c>
      <c r="L887" s="59">
        <v>1</v>
      </c>
      <c r="M887" s="8" t="s">
        <v>91</v>
      </c>
    </row>
    <row r="888" spans="1:13" ht="15.75" x14ac:dyDescent="0.25">
      <c r="A888" s="16" t="s">
        <v>0</v>
      </c>
      <c r="B888" s="17" t="s">
        <v>10</v>
      </c>
      <c r="C888" s="18">
        <v>43070</v>
      </c>
      <c r="D888" s="19" t="s">
        <v>17</v>
      </c>
      <c r="E888" s="20">
        <v>0.70833333333333304</v>
      </c>
      <c r="F888" s="20">
        <v>0.89583333333333304</v>
      </c>
      <c r="G888" s="21">
        <v>8.0000000000000036</v>
      </c>
      <c r="H888" s="21">
        <v>4.4999999999999964</v>
      </c>
      <c r="I888" s="21">
        <v>4.4999999999999964</v>
      </c>
      <c r="J888" s="24" t="s">
        <v>9</v>
      </c>
      <c r="K888" s="23" t="s">
        <v>291</v>
      </c>
      <c r="L888" s="59">
        <v>1</v>
      </c>
      <c r="M888" s="8" t="s">
        <v>103</v>
      </c>
    </row>
    <row r="889" spans="1:13" ht="15.75" x14ac:dyDescent="0.25">
      <c r="A889" s="16" t="s">
        <v>0</v>
      </c>
      <c r="B889" s="17" t="s">
        <v>12</v>
      </c>
      <c r="C889" s="18">
        <v>43070</v>
      </c>
      <c r="D889" s="19" t="s">
        <v>17</v>
      </c>
      <c r="E889" s="20">
        <v>0.70833333333333304</v>
      </c>
      <c r="F889" s="20">
        <v>0.89583333333333304</v>
      </c>
      <c r="G889" s="21">
        <v>8.0000000000000036</v>
      </c>
      <c r="H889" s="21">
        <v>4.4999999999999964</v>
      </c>
      <c r="I889" s="21">
        <v>4.4999999999999964</v>
      </c>
      <c r="J889" s="24" t="s">
        <v>9</v>
      </c>
      <c r="K889" s="23" t="s">
        <v>291</v>
      </c>
      <c r="L889" s="59">
        <v>1</v>
      </c>
      <c r="M889" s="8" t="s">
        <v>103</v>
      </c>
    </row>
    <row r="890" spans="1:13" ht="15.75" x14ac:dyDescent="0.25">
      <c r="A890" s="16" t="s">
        <v>0</v>
      </c>
      <c r="B890" s="17" t="s">
        <v>34</v>
      </c>
      <c r="C890" s="18">
        <v>43070</v>
      </c>
      <c r="D890" s="19" t="s">
        <v>17</v>
      </c>
      <c r="E890" s="20">
        <v>0.70833333333333304</v>
      </c>
      <c r="F890" s="20">
        <v>0.89583333333333304</v>
      </c>
      <c r="G890" s="21">
        <v>8.0000000000000036</v>
      </c>
      <c r="H890" s="21">
        <v>4.4999999999999964</v>
      </c>
      <c r="I890" s="21">
        <v>4.4999999999999964</v>
      </c>
      <c r="J890" s="24" t="s">
        <v>9</v>
      </c>
      <c r="K890" s="23" t="s">
        <v>291</v>
      </c>
      <c r="L890" s="59">
        <v>1</v>
      </c>
      <c r="M890" s="8" t="s">
        <v>103</v>
      </c>
    </row>
    <row r="891" spans="1:13" ht="15.75" x14ac:dyDescent="0.25">
      <c r="A891" s="16" t="s">
        <v>0</v>
      </c>
      <c r="B891" s="17" t="s">
        <v>69</v>
      </c>
      <c r="C891" s="18">
        <v>43070</v>
      </c>
      <c r="D891" s="19" t="s">
        <v>17</v>
      </c>
      <c r="E891" s="20">
        <v>0.70833333333333304</v>
      </c>
      <c r="F891" s="20">
        <v>0.89583333333333304</v>
      </c>
      <c r="G891" s="21">
        <v>8.0000000000000036</v>
      </c>
      <c r="H891" s="21">
        <v>4.4999999999999964</v>
      </c>
      <c r="I891" s="21">
        <v>4.4999999999999964</v>
      </c>
      <c r="J891" s="24" t="s">
        <v>9</v>
      </c>
      <c r="K891" s="23" t="s">
        <v>291</v>
      </c>
      <c r="L891" s="59">
        <v>1</v>
      </c>
      <c r="M891" s="8" t="s">
        <v>103</v>
      </c>
    </row>
    <row r="892" spans="1:13" ht="15.75" x14ac:dyDescent="0.25">
      <c r="A892" s="16" t="s">
        <v>0</v>
      </c>
      <c r="B892" s="17" t="s">
        <v>10</v>
      </c>
      <c r="C892" s="18">
        <v>43071</v>
      </c>
      <c r="D892" s="19" t="s">
        <v>24</v>
      </c>
      <c r="E892" s="20">
        <v>0.70833333333333304</v>
      </c>
      <c r="F892" s="20">
        <v>0.875</v>
      </c>
      <c r="G892" s="21">
        <v>8.0000000000000036</v>
      </c>
      <c r="H892" s="21">
        <v>4.0000000000000036</v>
      </c>
      <c r="I892" s="21">
        <v>12.000000000000007</v>
      </c>
      <c r="J892" s="24" t="s">
        <v>46</v>
      </c>
      <c r="K892" s="23" t="s">
        <v>292</v>
      </c>
      <c r="L892" s="59">
        <v>1</v>
      </c>
      <c r="M892" s="8" t="s">
        <v>103</v>
      </c>
    </row>
    <row r="893" spans="1:13" ht="15.75" x14ac:dyDescent="0.25">
      <c r="A893" s="16" t="s">
        <v>0</v>
      </c>
      <c r="B893" s="17" t="s">
        <v>12</v>
      </c>
      <c r="C893" s="18">
        <v>43071</v>
      </c>
      <c r="D893" s="19" t="s">
        <v>24</v>
      </c>
      <c r="E893" s="20">
        <v>0.70833333333333304</v>
      </c>
      <c r="F893" s="20">
        <v>0.875</v>
      </c>
      <c r="G893" s="21">
        <v>8.0000000000000036</v>
      </c>
      <c r="H893" s="21">
        <v>4.0000000000000036</v>
      </c>
      <c r="I893" s="21">
        <v>12.000000000000007</v>
      </c>
      <c r="J893" s="24" t="s">
        <v>46</v>
      </c>
      <c r="K893" s="23" t="s">
        <v>292</v>
      </c>
      <c r="L893" s="59">
        <v>1</v>
      </c>
      <c r="M893" s="8" t="s">
        <v>103</v>
      </c>
    </row>
    <row r="894" spans="1:13" ht="15.75" x14ac:dyDescent="0.25">
      <c r="A894" s="16" t="s">
        <v>0</v>
      </c>
      <c r="B894" s="17" t="s">
        <v>68</v>
      </c>
      <c r="C894" s="18">
        <v>43071</v>
      </c>
      <c r="D894" s="19" t="s">
        <v>24</v>
      </c>
      <c r="E894" s="20">
        <v>0.70833333333333304</v>
      </c>
      <c r="F894" s="20">
        <v>0.875</v>
      </c>
      <c r="G894" s="21">
        <v>8.0000000000000036</v>
      </c>
      <c r="H894" s="21">
        <v>4.0000000000000036</v>
      </c>
      <c r="I894" s="21">
        <v>12.000000000000007</v>
      </c>
      <c r="J894" s="24" t="s">
        <v>46</v>
      </c>
      <c r="K894" s="23" t="s">
        <v>292</v>
      </c>
      <c r="L894" s="59">
        <v>1</v>
      </c>
      <c r="M894" s="8" t="s">
        <v>103</v>
      </c>
    </row>
    <row r="895" spans="1:13" ht="15.75" x14ac:dyDescent="0.25">
      <c r="A895" s="16" t="s">
        <v>0</v>
      </c>
      <c r="B895" s="17" t="s">
        <v>69</v>
      </c>
      <c r="C895" s="18">
        <v>43071</v>
      </c>
      <c r="D895" s="19" t="s">
        <v>24</v>
      </c>
      <c r="E895" s="20">
        <v>0.70833333333333304</v>
      </c>
      <c r="F895" s="20">
        <v>0.875</v>
      </c>
      <c r="G895" s="21">
        <v>8.0000000000000036</v>
      </c>
      <c r="H895" s="21">
        <v>4.0000000000000036</v>
      </c>
      <c r="I895" s="21">
        <v>12.000000000000007</v>
      </c>
      <c r="J895" s="24" t="s">
        <v>46</v>
      </c>
      <c r="K895" s="23" t="s">
        <v>292</v>
      </c>
      <c r="L895" s="59">
        <v>1</v>
      </c>
      <c r="M895" s="8" t="s">
        <v>103</v>
      </c>
    </row>
    <row r="896" spans="1:13" ht="15.75" x14ac:dyDescent="0.25">
      <c r="A896" s="16" t="s">
        <v>0</v>
      </c>
      <c r="B896" s="17" t="s">
        <v>10</v>
      </c>
      <c r="C896" s="18">
        <v>43082</v>
      </c>
      <c r="D896" s="19" t="s">
        <v>19</v>
      </c>
      <c r="E896" s="20">
        <v>0.72916666666666696</v>
      </c>
      <c r="F896" s="20">
        <v>0.89583333333333304</v>
      </c>
      <c r="G896" s="21">
        <v>8.0000000000000036</v>
      </c>
      <c r="H896" s="21">
        <v>3.9999999999999822</v>
      </c>
      <c r="I896" s="21">
        <v>3.9999999999999822</v>
      </c>
      <c r="J896" s="24" t="s">
        <v>9</v>
      </c>
      <c r="K896" s="23" t="s">
        <v>293</v>
      </c>
      <c r="L896" s="59">
        <v>1</v>
      </c>
      <c r="M896" s="8" t="s">
        <v>103</v>
      </c>
    </row>
    <row r="897" spans="1:13" ht="15.75" x14ac:dyDescent="0.25">
      <c r="A897" s="16" t="s">
        <v>0</v>
      </c>
      <c r="B897" s="17" t="s">
        <v>12</v>
      </c>
      <c r="C897" s="18">
        <v>43082</v>
      </c>
      <c r="D897" s="19" t="s">
        <v>19</v>
      </c>
      <c r="E897" s="20">
        <v>0.72916666666666696</v>
      </c>
      <c r="F897" s="20">
        <v>0.89583333333333304</v>
      </c>
      <c r="G897" s="21">
        <v>8.0000000000000036</v>
      </c>
      <c r="H897" s="21">
        <v>3.9999999999999822</v>
      </c>
      <c r="I897" s="21">
        <v>3.9999999999999822</v>
      </c>
      <c r="J897" s="24" t="s">
        <v>9</v>
      </c>
      <c r="K897" s="23" t="s">
        <v>293</v>
      </c>
      <c r="L897" s="59">
        <v>1</v>
      </c>
      <c r="M897" s="8" t="s">
        <v>103</v>
      </c>
    </row>
    <row r="898" spans="1:13" ht="15.75" x14ac:dyDescent="0.25">
      <c r="A898" s="16" t="s">
        <v>0</v>
      </c>
      <c r="B898" s="17" t="s">
        <v>68</v>
      </c>
      <c r="C898" s="18">
        <v>43082</v>
      </c>
      <c r="D898" s="19" t="s">
        <v>19</v>
      </c>
      <c r="E898" s="20">
        <v>0.72916666666666696</v>
      </c>
      <c r="F898" s="20">
        <v>0.89583333333333304</v>
      </c>
      <c r="G898" s="21">
        <v>8.0000000000000036</v>
      </c>
      <c r="H898" s="21">
        <v>3.9999999999999822</v>
      </c>
      <c r="I898" s="21">
        <v>3.9999999999999822</v>
      </c>
      <c r="J898" s="24" t="s">
        <v>9</v>
      </c>
      <c r="K898" s="23" t="s">
        <v>293</v>
      </c>
      <c r="L898" s="59">
        <v>1</v>
      </c>
      <c r="M898" s="8" t="s">
        <v>103</v>
      </c>
    </row>
    <row r="899" spans="1:13" ht="15.75" x14ac:dyDescent="0.25">
      <c r="A899" s="16" t="s">
        <v>0</v>
      </c>
      <c r="B899" s="17" t="s">
        <v>69</v>
      </c>
      <c r="C899" s="18">
        <v>43082</v>
      </c>
      <c r="D899" s="19" t="s">
        <v>19</v>
      </c>
      <c r="E899" s="20">
        <v>0.72916666666666696</v>
      </c>
      <c r="F899" s="20">
        <v>0.89583333333333304</v>
      </c>
      <c r="G899" s="21">
        <v>8.0000000000000036</v>
      </c>
      <c r="H899" s="21">
        <v>3.9999999999999822</v>
      </c>
      <c r="I899" s="21">
        <v>3.9999999999999822</v>
      </c>
      <c r="J899" s="24" t="s">
        <v>9</v>
      </c>
      <c r="K899" s="23" t="s">
        <v>293</v>
      </c>
      <c r="L899" s="59">
        <v>1</v>
      </c>
      <c r="M899" s="8" t="s">
        <v>103</v>
      </c>
    </row>
    <row r="900" spans="1:13" ht="15.75" x14ac:dyDescent="0.25">
      <c r="A900" s="16" t="s">
        <v>0</v>
      </c>
      <c r="B900" s="17" t="s">
        <v>10</v>
      </c>
      <c r="C900" s="18">
        <v>43088</v>
      </c>
      <c r="D900" s="19" t="s">
        <v>16</v>
      </c>
      <c r="E900" s="20">
        <v>0.72916666666666696</v>
      </c>
      <c r="F900" s="20">
        <v>0.89583333333333304</v>
      </c>
      <c r="G900" s="21">
        <v>8.0000000000000036</v>
      </c>
      <c r="H900" s="21">
        <v>3.9999999999999822</v>
      </c>
      <c r="I900" s="21">
        <v>3.9999999999999822</v>
      </c>
      <c r="J900" s="24" t="s">
        <v>9</v>
      </c>
      <c r="K900" s="23" t="s">
        <v>294</v>
      </c>
      <c r="L900" s="59">
        <v>1</v>
      </c>
      <c r="M900" s="8" t="s">
        <v>103</v>
      </c>
    </row>
    <row r="901" spans="1:13" ht="15.75" x14ac:dyDescent="0.25">
      <c r="A901" s="16" t="s">
        <v>0</v>
      </c>
      <c r="B901" s="17" t="s">
        <v>12</v>
      </c>
      <c r="C901" s="18">
        <v>43088</v>
      </c>
      <c r="D901" s="19" t="s">
        <v>16</v>
      </c>
      <c r="E901" s="20">
        <v>0.72916666666666696</v>
      </c>
      <c r="F901" s="20">
        <v>0.89583333333333304</v>
      </c>
      <c r="G901" s="21">
        <v>8.0000000000000036</v>
      </c>
      <c r="H901" s="21">
        <v>3.9999999999999822</v>
      </c>
      <c r="I901" s="21">
        <v>3.9999999999999822</v>
      </c>
      <c r="J901" s="24" t="s">
        <v>9</v>
      </c>
      <c r="K901" s="23" t="s">
        <v>294</v>
      </c>
      <c r="L901" s="59">
        <v>1</v>
      </c>
      <c r="M901" s="8" t="s">
        <v>103</v>
      </c>
    </row>
    <row r="902" spans="1:13" ht="15.75" x14ac:dyDescent="0.25">
      <c r="A902" s="16" t="s">
        <v>0</v>
      </c>
      <c r="B902" s="17" t="s">
        <v>34</v>
      </c>
      <c r="C902" s="18">
        <v>43088</v>
      </c>
      <c r="D902" s="19" t="s">
        <v>16</v>
      </c>
      <c r="E902" s="20">
        <v>0.72916666666666696</v>
      </c>
      <c r="F902" s="20">
        <v>0.89583333333333304</v>
      </c>
      <c r="G902" s="21">
        <v>8.0000000000000036</v>
      </c>
      <c r="H902" s="21">
        <v>3.9999999999999822</v>
      </c>
      <c r="I902" s="21">
        <v>3.9999999999999822</v>
      </c>
      <c r="J902" s="24" t="s">
        <v>9</v>
      </c>
      <c r="K902" s="23" t="s">
        <v>294</v>
      </c>
      <c r="L902" s="59">
        <v>1</v>
      </c>
      <c r="M902" s="8" t="s">
        <v>103</v>
      </c>
    </row>
    <row r="903" spans="1:13" ht="15.75" x14ac:dyDescent="0.25">
      <c r="A903" s="16" t="s">
        <v>0</v>
      </c>
      <c r="B903" s="17" t="s">
        <v>10</v>
      </c>
      <c r="C903" s="18">
        <v>43089</v>
      </c>
      <c r="D903" s="19" t="s">
        <v>19</v>
      </c>
      <c r="E903" s="20">
        <v>0.72916666666666696</v>
      </c>
      <c r="F903" s="20">
        <v>0.89583333333333304</v>
      </c>
      <c r="G903" s="21">
        <v>8.0000000000000036</v>
      </c>
      <c r="H903" s="21">
        <v>3.9999999999999822</v>
      </c>
      <c r="I903" s="21">
        <v>3.9999999999999822</v>
      </c>
      <c r="J903" s="24" t="s">
        <v>9</v>
      </c>
      <c r="K903" s="23" t="s">
        <v>295</v>
      </c>
      <c r="L903" s="59">
        <v>1</v>
      </c>
      <c r="M903" s="8" t="s">
        <v>103</v>
      </c>
    </row>
    <row r="904" spans="1:13" ht="15.75" x14ac:dyDescent="0.25">
      <c r="A904" s="16" t="s">
        <v>0</v>
      </c>
      <c r="B904" s="17" t="s">
        <v>12</v>
      </c>
      <c r="C904" s="18">
        <v>43089</v>
      </c>
      <c r="D904" s="19" t="s">
        <v>19</v>
      </c>
      <c r="E904" s="20">
        <v>0.72916666666666696</v>
      </c>
      <c r="F904" s="20">
        <v>0.89583333333333304</v>
      </c>
      <c r="G904" s="21">
        <v>8.0000000000000036</v>
      </c>
      <c r="H904" s="21">
        <v>3.9999999999999822</v>
      </c>
      <c r="I904" s="21">
        <v>3.9999999999999822</v>
      </c>
      <c r="J904" s="24" t="s">
        <v>9</v>
      </c>
      <c r="K904" s="23" t="s">
        <v>295</v>
      </c>
      <c r="L904" s="59">
        <v>1</v>
      </c>
      <c r="M904" s="8" t="s">
        <v>103</v>
      </c>
    </row>
    <row r="905" spans="1:13" ht="15.75" x14ac:dyDescent="0.25">
      <c r="A905" s="16" t="s">
        <v>0</v>
      </c>
      <c r="B905" s="17" t="s">
        <v>34</v>
      </c>
      <c r="C905" s="18">
        <v>43089</v>
      </c>
      <c r="D905" s="19" t="s">
        <v>19</v>
      </c>
      <c r="E905" s="20">
        <v>0.72916666666666696</v>
      </c>
      <c r="F905" s="20">
        <v>0.89583333333333304</v>
      </c>
      <c r="G905" s="21">
        <v>8.0000000000000036</v>
      </c>
      <c r="H905" s="21">
        <v>3.9999999999999822</v>
      </c>
      <c r="I905" s="21">
        <v>3.9999999999999822</v>
      </c>
      <c r="J905" s="24" t="s">
        <v>9</v>
      </c>
      <c r="K905" s="23" t="s">
        <v>295</v>
      </c>
      <c r="L905" s="59">
        <v>1</v>
      </c>
      <c r="M905" s="8" t="s">
        <v>103</v>
      </c>
    </row>
    <row r="906" spans="1:13" ht="15.75" x14ac:dyDescent="0.25">
      <c r="A906" s="16" t="s">
        <v>0</v>
      </c>
      <c r="B906" s="17" t="s">
        <v>68</v>
      </c>
      <c r="C906" s="18">
        <v>43089</v>
      </c>
      <c r="D906" s="19" t="s">
        <v>19</v>
      </c>
      <c r="E906" s="20">
        <v>0.72916666666666696</v>
      </c>
      <c r="F906" s="20">
        <v>0.89583333333333304</v>
      </c>
      <c r="G906" s="21">
        <v>8.0000000000000036</v>
      </c>
      <c r="H906" s="21">
        <v>3.9999999999999822</v>
      </c>
      <c r="I906" s="21">
        <v>3.9999999999999822</v>
      </c>
      <c r="J906" s="24" t="s">
        <v>9</v>
      </c>
      <c r="K906" s="23" t="s">
        <v>295</v>
      </c>
      <c r="L906" s="59">
        <v>1</v>
      </c>
      <c r="M906" s="8" t="s">
        <v>103</v>
      </c>
    </row>
    <row r="907" spans="1:13" ht="15.75" x14ac:dyDescent="0.25">
      <c r="A907" s="16" t="s">
        <v>0</v>
      </c>
      <c r="B907" s="17" t="s">
        <v>69</v>
      </c>
      <c r="C907" s="18">
        <v>43089</v>
      </c>
      <c r="D907" s="19" t="s">
        <v>19</v>
      </c>
      <c r="E907" s="20">
        <v>0.72916666666666696</v>
      </c>
      <c r="F907" s="20">
        <v>0.89583333333333304</v>
      </c>
      <c r="G907" s="21">
        <v>8.0000000000000036</v>
      </c>
      <c r="H907" s="21">
        <v>3.9999999999999822</v>
      </c>
      <c r="I907" s="21">
        <v>3.9999999999999822</v>
      </c>
      <c r="J907" s="24" t="s">
        <v>9</v>
      </c>
      <c r="K907" s="23" t="s">
        <v>295</v>
      </c>
      <c r="L907" s="59">
        <v>1</v>
      </c>
      <c r="M907" s="8" t="s">
        <v>103</v>
      </c>
    </row>
    <row r="908" spans="1:13" ht="15.75" x14ac:dyDescent="0.25">
      <c r="A908" s="16" t="s">
        <v>0</v>
      </c>
      <c r="B908" s="17" t="s">
        <v>10</v>
      </c>
      <c r="C908" s="18">
        <v>43090</v>
      </c>
      <c r="D908" s="19" t="s">
        <v>18</v>
      </c>
      <c r="E908" s="20">
        <v>0.72916666666666696</v>
      </c>
      <c r="F908" s="20">
        <v>0.875</v>
      </c>
      <c r="G908" s="21">
        <v>8.0000000000000036</v>
      </c>
      <c r="H908" s="21">
        <v>3.4999999999999893</v>
      </c>
      <c r="I908" s="21">
        <v>3.4999999999999893</v>
      </c>
      <c r="J908" s="24" t="s">
        <v>9</v>
      </c>
      <c r="K908" s="23" t="s">
        <v>296</v>
      </c>
      <c r="L908" s="59">
        <v>1</v>
      </c>
      <c r="M908" s="8" t="s">
        <v>103</v>
      </c>
    </row>
    <row r="909" spans="1:13" ht="15.75" x14ac:dyDescent="0.25">
      <c r="A909" s="16" t="s">
        <v>0</v>
      </c>
      <c r="B909" s="17" t="s">
        <v>12</v>
      </c>
      <c r="C909" s="18">
        <v>43090</v>
      </c>
      <c r="D909" s="19" t="s">
        <v>18</v>
      </c>
      <c r="E909" s="20">
        <v>0.72916666666666696</v>
      </c>
      <c r="F909" s="20">
        <v>0.875</v>
      </c>
      <c r="G909" s="21">
        <v>8.0000000000000036</v>
      </c>
      <c r="H909" s="21">
        <v>3.4999999999999893</v>
      </c>
      <c r="I909" s="21">
        <v>3.4999999999999893</v>
      </c>
      <c r="J909" s="24" t="s">
        <v>9</v>
      </c>
      <c r="K909" s="23" t="s">
        <v>296</v>
      </c>
      <c r="L909" s="59">
        <v>1</v>
      </c>
      <c r="M909" s="8" t="s">
        <v>103</v>
      </c>
    </row>
    <row r="910" spans="1:13" ht="15.75" x14ac:dyDescent="0.25">
      <c r="A910" s="16" t="s">
        <v>0</v>
      </c>
      <c r="B910" s="17" t="s">
        <v>68</v>
      </c>
      <c r="C910" s="18">
        <v>43090</v>
      </c>
      <c r="D910" s="19" t="s">
        <v>18</v>
      </c>
      <c r="E910" s="20">
        <v>0.72916666666666696</v>
      </c>
      <c r="F910" s="20">
        <v>0.875</v>
      </c>
      <c r="G910" s="21">
        <v>8.0000000000000036</v>
      </c>
      <c r="H910" s="21">
        <v>3.4999999999999893</v>
      </c>
      <c r="I910" s="21">
        <v>3.4999999999999893</v>
      </c>
      <c r="J910" s="24" t="s">
        <v>9</v>
      </c>
      <c r="K910" s="23" t="s">
        <v>296</v>
      </c>
      <c r="L910" s="59">
        <v>1</v>
      </c>
      <c r="M910" s="8" t="s">
        <v>103</v>
      </c>
    </row>
    <row r="911" spans="1:13" ht="15.75" x14ac:dyDescent="0.25">
      <c r="A911" s="16" t="s">
        <v>0</v>
      </c>
      <c r="B911" s="17" t="s">
        <v>69</v>
      </c>
      <c r="C911" s="18">
        <v>43090</v>
      </c>
      <c r="D911" s="19" t="s">
        <v>18</v>
      </c>
      <c r="E911" s="20">
        <v>0.72916666666666696</v>
      </c>
      <c r="F911" s="20">
        <v>0.875</v>
      </c>
      <c r="G911" s="21">
        <v>8.0000000000000036</v>
      </c>
      <c r="H911" s="21">
        <v>3.4999999999999893</v>
      </c>
      <c r="I911" s="21">
        <v>3.4999999999999893</v>
      </c>
      <c r="J911" s="24" t="s">
        <v>9</v>
      </c>
      <c r="K911" s="23" t="s">
        <v>296</v>
      </c>
      <c r="L911" s="59">
        <v>1</v>
      </c>
      <c r="M911" s="8" t="s">
        <v>103</v>
      </c>
    </row>
    <row r="912" spans="1:13" ht="15.75" x14ac:dyDescent="0.25">
      <c r="A912" s="16" t="s">
        <v>0</v>
      </c>
      <c r="B912" s="17" t="s">
        <v>10</v>
      </c>
      <c r="C912" s="18">
        <v>43094</v>
      </c>
      <c r="D912" s="19" t="s">
        <v>21</v>
      </c>
      <c r="E912" s="20">
        <v>0.72916666666666696</v>
      </c>
      <c r="F912" s="20">
        <v>0.89583333333333304</v>
      </c>
      <c r="G912" s="21">
        <v>8.0000000000000036</v>
      </c>
      <c r="H912" s="21">
        <v>3.9999999999999822</v>
      </c>
      <c r="I912" s="21">
        <v>3.9999999999999822</v>
      </c>
      <c r="J912" s="24" t="s">
        <v>9</v>
      </c>
      <c r="K912" s="23" t="s">
        <v>297</v>
      </c>
      <c r="L912" s="59">
        <v>1</v>
      </c>
      <c r="M912" s="8" t="s">
        <v>103</v>
      </c>
    </row>
    <row r="913" spans="1:13" ht="15.75" x14ac:dyDescent="0.25">
      <c r="A913" s="16" t="s">
        <v>0</v>
      </c>
      <c r="B913" s="17" t="s">
        <v>69</v>
      </c>
      <c r="C913" s="18">
        <v>43097</v>
      </c>
      <c r="D913" s="19" t="s">
        <v>18</v>
      </c>
      <c r="E913" s="20">
        <v>0.75</v>
      </c>
      <c r="F913" s="20">
        <v>0.9375</v>
      </c>
      <c r="G913" s="21">
        <v>8.0000000000000036</v>
      </c>
      <c r="H913" s="21">
        <v>4.4999999999999964</v>
      </c>
      <c r="I913" s="21">
        <v>4.4999999999999964</v>
      </c>
      <c r="J913" s="24" t="s">
        <v>33</v>
      </c>
      <c r="K913" s="23" t="s">
        <v>298</v>
      </c>
      <c r="L913" s="59">
        <v>1</v>
      </c>
      <c r="M913" s="8" t="s">
        <v>103</v>
      </c>
    </row>
    <row r="914" spans="1:13" ht="15.75" x14ac:dyDescent="0.25">
      <c r="A914" s="16" t="s">
        <v>0</v>
      </c>
      <c r="B914" s="17" t="s">
        <v>68</v>
      </c>
      <c r="C914" s="18">
        <v>43098</v>
      </c>
      <c r="D914" s="19" t="s">
        <v>17</v>
      </c>
      <c r="E914" s="20">
        <v>0.625</v>
      </c>
      <c r="F914" s="20">
        <v>0.89583333333333304</v>
      </c>
      <c r="G914" s="21">
        <v>8.0000000000000036</v>
      </c>
      <c r="H914" s="21">
        <v>6.4999999999999893</v>
      </c>
      <c r="I914" s="21">
        <v>6.4999999999999893</v>
      </c>
      <c r="J914" s="24" t="s">
        <v>9</v>
      </c>
      <c r="K914" s="23" t="s">
        <v>299</v>
      </c>
      <c r="L914" s="59">
        <v>1</v>
      </c>
      <c r="M914" s="8" t="s">
        <v>103</v>
      </c>
    </row>
    <row r="915" spans="1:13" ht="15.75" x14ac:dyDescent="0.25">
      <c r="A915" s="16" t="s">
        <v>0</v>
      </c>
      <c r="B915" s="17" t="s">
        <v>12</v>
      </c>
      <c r="C915" s="18">
        <v>43099</v>
      </c>
      <c r="D915" s="19" t="s">
        <v>24</v>
      </c>
      <c r="E915" s="20">
        <v>0.79166666666666696</v>
      </c>
      <c r="F915" s="20">
        <v>0.95833333333333304</v>
      </c>
      <c r="G915" s="21">
        <v>8.0000000000000036</v>
      </c>
      <c r="H915" s="21">
        <v>3.9999999999999822</v>
      </c>
      <c r="I915" s="21">
        <v>11.999999999999986</v>
      </c>
      <c r="J915" s="24" t="s">
        <v>300</v>
      </c>
      <c r="K915" s="23" t="s">
        <v>301</v>
      </c>
      <c r="L915" s="59">
        <v>1</v>
      </c>
      <c r="M915" s="8" t="s">
        <v>103</v>
      </c>
    </row>
    <row r="916" spans="1:13" ht="15.75" x14ac:dyDescent="0.25">
      <c r="A916" s="16" t="s">
        <v>0</v>
      </c>
      <c r="B916" s="17" t="s">
        <v>69</v>
      </c>
      <c r="C916" s="18">
        <v>43099</v>
      </c>
      <c r="D916" s="19" t="s">
        <v>24</v>
      </c>
      <c r="E916" s="20">
        <v>0.75</v>
      </c>
      <c r="F916" s="20">
        <v>0.95833333333333304</v>
      </c>
      <c r="G916" s="21">
        <v>8.0000000000000036</v>
      </c>
      <c r="H916" s="21">
        <v>4.9999999999999893</v>
      </c>
      <c r="I916" s="21">
        <v>12.999999999999993</v>
      </c>
      <c r="J916" s="24" t="s">
        <v>300</v>
      </c>
      <c r="K916" s="23" t="s">
        <v>301</v>
      </c>
      <c r="L916" s="59">
        <v>1</v>
      </c>
      <c r="M916" s="8" t="s">
        <v>103</v>
      </c>
    </row>
    <row r="917" spans="1:13" ht="15.75" x14ac:dyDescent="0.25">
      <c r="A917" s="16" t="s">
        <v>0</v>
      </c>
      <c r="B917" s="17" t="s">
        <v>10</v>
      </c>
      <c r="C917" s="25">
        <v>43105</v>
      </c>
      <c r="D917" s="19" t="s">
        <v>17</v>
      </c>
      <c r="E917" s="20">
        <v>0.625</v>
      </c>
      <c r="F917" s="20">
        <v>0.72916666666666696</v>
      </c>
      <c r="G917" s="21">
        <v>8.0000000000000036</v>
      </c>
      <c r="H917" s="21">
        <v>2.5000000000000036</v>
      </c>
      <c r="I917" s="21">
        <v>2.5000000000000036</v>
      </c>
      <c r="J917" s="22" t="s">
        <v>9</v>
      </c>
      <c r="K917" s="23" t="s">
        <v>305</v>
      </c>
      <c r="L917" s="59">
        <v>1</v>
      </c>
      <c r="M917" s="8" t="s">
        <v>302</v>
      </c>
    </row>
    <row r="918" spans="1:13" ht="15.75" x14ac:dyDescent="0.25">
      <c r="A918" s="16" t="s">
        <v>0</v>
      </c>
      <c r="B918" s="17" t="s">
        <v>12</v>
      </c>
      <c r="C918" s="18">
        <v>43105</v>
      </c>
      <c r="D918" s="19" t="s">
        <v>17</v>
      </c>
      <c r="E918" s="20">
        <v>0.625</v>
      </c>
      <c r="F918" s="20">
        <v>0.72916666666666696</v>
      </c>
      <c r="G918" s="21">
        <v>8.0000000000000036</v>
      </c>
      <c r="H918" s="21">
        <v>2.5000000000000036</v>
      </c>
      <c r="I918" s="21">
        <v>2.5000000000000036</v>
      </c>
      <c r="J918" s="22" t="s">
        <v>9</v>
      </c>
      <c r="K918" s="23" t="s">
        <v>305</v>
      </c>
      <c r="L918" s="59">
        <v>1</v>
      </c>
      <c r="M918" s="8" t="s">
        <v>302</v>
      </c>
    </row>
    <row r="919" spans="1:13" ht="15.75" x14ac:dyDescent="0.25">
      <c r="A919" s="16" t="s">
        <v>0</v>
      </c>
      <c r="B919" s="17" t="s">
        <v>34</v>
      </c>
      <c r="C919" s="18">
        <v>43105</v>
      </c>
      <c r="D919" s="19" t="s">
        <v>17</v>
      </c>
      <c r="E919" s="20">
        <v>0.625</v>
      </c>
      <c r="F919" s="20">
        <v>0.72916666666666696</v>
      </c>
      <c r="G919" s="21">
        <v>8.0000000000000036</v>
      </c>
      <c r="H919" s="21">
        <v>2.5000000000000036</v>
      </c>
      <c r="I919" s="21">
        <v>2.5000000000000036</v>
      </c>
      <c r="J919" s="22" t="s">
        <v>9</v>
      </c>
      <c r="K919" s="23" t="s">
        <v>305</v>
      </c>
      <c r="L919" s="59">
        <v>1</v>
      </c>
      <c r="M919" s="8" t="s">
        <v>302</v>
      </c>
    </row>
    <row r="920" spans="1:13" ht="15.75" x14ac:dyDescent="0.25">
      <c r="A920" s="16" t="s">
        <v>0</v>
      </c>
      <c r="B920" s="17" t="s">
        <v>68</v>
      </c>
      <c r="C920" s="18">
        <v>43105</v>
      </c>
      <c r="D920" s="19" t="s">
        <v>17</v>
      </c>
      <c r="E920" s="20">
        <v>0.625</v>
      </c>
      <c r="F920" s="20">
        <v>0.72916666666666696</v>
      </c>
      <c r="G920" s="21">
        <v>8.0000000000000036</v>
      </c>
      <c r="H920" s="21">
        <v>2.5000000000000036</v>
      </c>
      <c r="I920" s="21">
        <v>2.5000000000000036</v>
      </c>
      <c r="J920" s="22" t="s">
        <v>9</v>
      </c>
      <c r="K920" s="23" t="s">
        <v>305</v>
      </c>
      <c r="L920" s="59">
        <v>1</v>
      </c>
      <c r="M920" s="8" t="s">
        <v>302</v>
      </c>
    </row>
    <row r="921" spans="1:13" ht="15.75" x14ac:dyDescent="0.25">
      <c r="A921" s="16" t="s">
        <v>0</v>
      </c>
      <c r="B921" s="17" t="s">
        <v>10</v>
      </c>
      <c r="C921" s="25">
        <v>43124</v>
      </c>
      <c r="D921" s="19" t="s">
        <v>19</v>
      </c>
      <c r="E921" s="20">
        <v>0.72916666666666696</v>
      </c>
      <c r="F921" s="20">
        <v>0.85416666666666696</v>
      </c>
      <c r="G921" s="21">
        <v>8.0000000000000036</v>
      </c>
      <c r="H921" s="21">
        <v>2.9999999999999947</v>
      </c>
      <c r="I921" s="21">
        <v>2.9999999999999947</v>
      </c>
      <c r="J921" s="22" t="s">
        <v>9</v>
      </c>
      <c r="K921" s="23" t="s">
        <v>306</v>
      </c>
      <c r="L921" s="59">
        <v>1</v>
      </c>
      <c r="M921" s="8" t="s">
        <v>302</v>
      </c>
    </row>
    <row r="922" spans="1:13" ht="15.75" x14ac:dyDescent="0.25">
      <c r="A922" s="16" t="s">
        <v>0</v>
      </c>
      <c r="B922" s="17" t="s">
        <v>12</v>
      </c>
      <c r="C922" s="18">
        <v>43124</v>
      </c>
      <c r="D922" s="19" t="s">
        <v>19</v>
      </c>
      <c r="E922" s="20">
        <v>0.72916666666666696</v>
      </c>
      <c r="F922" s="20">
        <v>0.85416666666666696</v>
      </c>
      <c r="G922" s="21">
        <v>8.0000000000000036</v>
      </c>
      <c r="H922" s="21">
        <v>2.9999999999999947</v>
      </c>
      <c r="I922" s="21">
        <v>2.9999999999999947</v>
      </c>
      <c r="J922" s="22" t="s">
        <v>9</v>
      </c>
      <c r="K922" s="23" t="s">
        <v>306</v>
      </c>
      <c r="L922" s="59">
        <v>1</v>
      </c>
      <c r="M922" s="8" t="s">
        <v>302</v>
      </c>
    </row>
    <row r="923" spans="1:13" ht="15.75" x14ac:dyDescent="0.25">
      <c r="A923" s="16" t="s">
        <v>0</v>
      </c>
      <c r="B923" s="17" t="s">
        <v>34</v>
      </c>
      <c r="C923" s="18">
        <v>43124</v>
      </c>
      <c r="D923" s="19" t="s">
        <v>19</v>
      </c>
      <c r="E923" s="20">
        <v>0.72916666666666696</v>
      </c>
      <c r="F923" s="20">
        <v>0.85416666666666696</v>
      </c>
      <c r="G923" s="21">
        <v>8.0000000000000036</v>
      </c>
      <c r="H923" s="21">
        <v>2.9999999999999947</v>
      </c>
      <c r="I923" s="21">
        <v>2.9999999999999947</v>
      </c>
      <c r="J923" s="22" t="s">
        <v>9</v>
      </c>
      <c r="K923" s="23" t="s">
        <v>306</v>
      </c>
      <c r="L923" s="59">
        <v>1</v>
      </c>
      <c r="M923" s="8" t="s">
        <v>302</v>
      </c>
    </row>
    <row r="924" spans="1:13" ht="15.75" x14ac:dyDescent="0.25">
      <c r="A924" s="16" t="s">
        <v>0</v>
      </c>
      <c r="B924" s="17" t="s">
        <v>69</v>
      </c>
      <c r="C924" s="18">
        <v>43124</v>
      </c>
      <c r="D924" s="19" t="s">
        <v>19</v>
      </c>
      <c r="E924" s="20">
        <v>0.72916666666666696</v>
      </c>
      <c r="F924" s="20">
        <v>0.83333333333333304</v>
      </c>
      <c r="G924" s="21">
        <v>8.0000000000000036</v>
      </c>
      <c r="H924" s="21">
        <v>2.4999999999999805</v>
      </c>
      <c r="I924" s="21">
        <v>2.4999999999999805</v>
      </c>
      <c r="J924" s="22" t="s">
        <v>9</v>
      </c>
      <c r="K924" s="23" t="s">
        <v>306</v>
      </c>
      <c r="L924" s="59">
        <v>1</v>
      </c>
      <c r="M924" s="8" t="s">
        <v>302</v>
      </c>
    </row>
    <row r="925" spans="1:13" ht="15.75" x14ac:dyDescent="0.25">
      <c r="A925" s="16" t="s">
        <v>0</v>
      </c>
      <c r="B925" s="17" t="s">
        <v>12</v>
      </c>
      <c r="C925" s="18">
        <v>43129</v>
      </c>
      <c r="D925" s="19" t="s">
        <v>21</v>
      </c>
      <c r="E925" s="20">
        <v>0.70833333333333304</v>
      </c>
      <c r="F925" s="20">
        <v>0.875</v>
      </c>
      <c r="G925" s="21">
        <v>8.0000000000000036</v>
      </c>
      <c r="H925" s="21">
        <v>4.0000000000000036</v>
      </c>
      <c r="I925" s="21">
        <v>4.0000000000000036</v>
      </c>
      <c r="J925" s="22" t="s">
        <v>9</v>
      </c>
      <c r="K925" s="23" t="s">
        <v>307</v>
      </c>
      <c r="L925" s="59">
        <v>1</v>
      </c>
      <c r="M925" s="8" t="s">
        <v>302</v>
      </c>
    </row>
    <row r="926" spans="1:13" ht="15.75" x14ac:dyDescent="0.25">
      <c r="A926" s="16" t="s">
        <v>0</v>
      </c>
      <c r="B926" s="17" t="s">
        <v>34</v>
      </c>
      <c r="C926" s="18">
        <v>43129</v>
      </c>
      <c r="D926" s="19" t="s">
        <v>21</v>
      </c>
      <c r="E926" s="20">
        <v>0.70833333333333304</v>
      </c>
      <c r="F926" s="20">
        <v>0.875</v>
      </c>
      <c r="G926" s="21">
        <v>8.0000000000000036</v>
      </c>
      <c r="H926" s="21">
        <v>4.0000000000000036</v>
      </c>
      <c r="I926" s="21">
        <v>4.0000000000000036</v>
      </c>
      <c r="J926" s="22" t="s">
        <v>9</v>
      </c>
      <c r="K926" s="23" t="s">
        <v>307</v>
      </c>
      <c r="L926" s="59">
        <v>1</v>
      </c>
      <c r="M926" s="8" t="s">
        <v>302</v>
      </c>
    </row>
    <row r="927" spans="1:13" ht="15.75" x14ac:dyDescent="0.25">
      <c r="A927" s="16" t="s">
        <v>0</v>
      </c>
      <c r="B927" s="17" t="s">
        <v>10</v>
      </c>
      <c r="C927" s="25">
        <v>43130</v>
      </c>
      <c r="D927" s="19" t="s">
        <v>16</v>
      </c>
      <c r="E927" s="20">
        <v>0.75</v>
      </c>
      <c r="F927" s="20">
        <v>0.85416666666666696</v>
      </c>
      <c r="G927" s="21">
        <v>8.0000000000000036</v>
      </c>
      <c r="H927" s="21">
        <v>2.5000000000000036</v>
      </c>
      <c r="I927" s="21">
        <v>2.5000000000000036</v>
      </c>
      <c r="J927" s="22" t="s">
        <v>9</v>
      </c>
      <c r="K927" s="23" t="s">
        <v>308</v>
      </c>
      <c r="L927" s="59">
        <v>1</v>
      </c>
      <c r="M927" s="8" t="s">
        <v>302</v>
      </c>
    </row>
    <row r="928" spans="1:13" ht="15.75" x14ac:dyDescent="0.25">
      <c r="A928" s="16" t="s">
        <v>0</v>
      </c>
      <c r="B928" s="17" t="s">
        <v>12</v>
      </c>
      <c r="C928" s="18">
        <v>43130</v>
      </c>
      <c r="D928" s="19" t="s">
        <v>16</v>
      </c>
      <c r="E928" s="20">
        <v>0.70833333333333304</v>
      </c>
      <c r="F928" s="20">
        <v>0.85416666666666696</v>
      </c>
      <c r="G928" s="21">
        <v>8.0000000000000036</v>
      </c>
      <c r="H928" s="21">
        <v>3.5000000000000107</v>
      </c>
      <c r="I928" s="21">
        <v>3.5000000000000107</v>
      </c>
      <c r="J928" s="22" t="s">
        <v>9</v>
      </c>
      <c r="K928" s="23" t="s">
        <v>308</v>
      </c>
      <c r="L928" s="59">
        <v>1</v>
      </c>
      <c r="M928" s="8" t="s">
        <v>302</v>
      </c>
    </row>
    <row r="929" spans="1:13" ht="15.75" x14ac:dyDescent="0.25">
      <c r="A929" s="16" t="s">
        <v>0</v>
      </c>
      <c r="B929" s="17" t="s">
        <v>34</v>
      </c>
      <c r="C929" s="18">
        <v>43130</v>
      </c>
      <c r="D929" s="19" t="s">
        <v>16</v>
      </c>
      <c r="E929" s="20">
        <v>0.70833333333333304</v>
      </c>
      <c r="F929" s="20">
        <v>0.85416666666666696</v>
      </c>
      <c r="G929" s="21">
        <v>8.0000000000000036</v>
      </c>
      <c r="H929" s="21">
        <v>3.5000000000000107</v>
      </c>
      <c r="I929" s="21">
        <v>3.5000000000000107</v>
      </c>
      <c r="J929" s="22" t="s">
        <v>9</v>
      </c>
      <c r="K929" s="23" t="s">
        <v>308</v>
      </c>
      <c r="L929" s="59">
        <v>1</v>
      </c>
      <c r="M929" s="8" t="s">
        <v>302</v>
      </c>
    </row>
    <row r="930" spans="1:13" ht="15.75" x14ac:dyDescent="0.25">
      <c r="A930" s="16" t="s">
        <v>0</v>
      </c>
      <c r="B930" s="17" t="s">
        <v>10</v>
      </c>
      <c r="C930" s="25">
        <v>43131</v>
      </c>
      <c r="D930" s="19" t="s">
        <v>19</v>
      </c>
      <c r="E930" s="20">
        <v>0.70833333333333304</v>
      </c>
      <c r="F930" s="20">
        <v>0.875</v>
      </c>
      <c r="G930" s="21">
        <v>8.0000000000000036</v>
      </c>
      <c r="H930" s="21">
        <v>4.0000000000000036</v>
      </c>
      <c r="I930" s="21">
        <v>4.0000000000000036</v>
      </c>
      <c r="J930" s="22" t="s">
        <v>9</v>
      </c>
      <c r="K930" s="23" t="s">
        <v>309</v>
      </c>
      <c r="L930" s="59">
        <v>1</v>
      </c>
      <c r="M930" s="8" t="s">
        <v>302</v>
      </c>
    </row>
    <row r="931" spans="1:13" ht="15.75" x14ac:dyDescent="0.25">
      <c r="A931" s="16" t="s">
        <v>0</v>
      </c>
      <c r="B931" s="17" t="s">
        <v>12</v>
      </c>
      <c r="C931" s="18">
        <v>43131</v>
      </c>
      <c r="D931" s="19" t="s">
        <v>19</v>
      </c>
      <c r="E931" s="20">
        <v>0.70833333333333304</v>
      </c>
      <c r="F931" s="20">
        <v>0.83333333333333304</v>
      </c>
      <c r="G931" s="21">
        <v>8.0000000000000036</v>
      </c>
      <c r="H931" s="21">
        <v>2.9999999999999964</v>
      </c>
      <c r="I931" s="21">
        <v>2.9999999999999964</v>
      </c>
      <c r="J931" s="22" t="s">
        <v>9</v>
      </c>
      <c r="K931" s="23" t="s">
        <v>309</v>
      </c>
      <c r="L931" s="59">
        <v>1</v>
      </c>
      <c r="M931" s="8" t="s">
        <v>302</v>
      </c>
    </row>
    <row r="932" spans="1:13" ht="15.75" x14ac:dyDescent="0.25">
      <c r="A932" s="16" t="s">
        <v>0</v>
      </c>
      <c r="B932" s="17" t="s">
        <v>34</v>
      </c>
      <c r="C932" s="18">
        <v>43131</v>
      </c>
      <c r="D932" s="19" t="s">
        <v>19</v>
      </c>
      <c r="E932" s="20">
        <v>0.70833333333333304</v>
      </c>
      <c r="F932" s="20">
        <v>0.875</v>
      </c>
      <c r="G932" s="21">
        <v>8.0000000000000036</v>
      </c>
      <c r="H932" s="21">
        <v>4.0000000000000036</v>
      </c>
      <c r="I932" s="21">
        <v>4.0000000000000036</v>
      </c>
      <c r="J932" s="22" t="s">
        <v>9</v>
      </c>
      <c r="K932" s="23" t="s">
        <v>309</v>
      </c>
      <c r="L932" s="59">
        <v>1</v>
      </c>
      <c r="M932" s="8" t="s">
        <v>302</v>
      </c>
    </row>
    <row r="933" spans="1:13" ht="15.75" x14ac:dyDescent="0.25">
      <c r="A933" s="16" t="s">
        <v>0</v>
      </c>
      <c r="B933" s="17" t="s">
        <v>10</v>
      </c>
      <c r="C933" s="18">
        <v>43132</v>
      </c>
      <c r="D933" s="19" t="s">
        <v>18</v>
      </c>
      <c r="E933" s="20">
        <v>0.70833333333333304</v>
      </c>
      <c r="F933" s="20">
        <v>0.875</v>
      </c>
      <c r="G933" s="21">
        <v>8.0000000000000036</v>
      </c>
      <c r="H933" s="21">
        <v>4.0000000000000036</v>
      </c>
      <c r="I933" s="21">
        <v>4.0000000000000036</v>
      </c>
      <c r="J933" s="22" t="s">
        <v>9</v>
      </c>
      <c r="K933" s="23" t="s">
        <v>310</v>
      </c>
      <c r="L933" s="59">
        <v>1</v>
      </c>
      <c r="M933" s="8" t="s">
        <v>303</v>
      </c>
    </row>
    <row r="934" spans="1:13" ht="15.75" x14ac:dyDescent="0.25">
      <c r="A934" s="16" t="s">
        <v>0</v>
      </c>
      <c r="B934" s="17" t="s">
        <v>12</v>
      </c>
      <c r="C934" s="18">
        <v>43132</v>
      </c>
      <c r="D934" s="19" t="s">
        <v>18</v>
      </c>
      <c r="E934" s="20">
        <v>0.70833333333333304</v>
      </c>
      <c r="F934" s="20">
        <v>0.875</v>
      </c>
      <c r="G934" s="21">
        <v>8.0000000000000036</v>
      </c>
      <c r="H934" s="21">
        <v>4.0000000000000036</v>
      </c>
      <c r="I934" s="21">
        <v>4.0000000000000036</v>
      </c>
      <c r="J934" s="22" t="s">
        <v>9</v>
      </c>
      <c r="K934" s="23" t="s">
        <v>310</v>
      </c>
      <c r="L934" s="59">
        <v>1</v>
      </c>
      <c r="M934" s="8" t="s">
        <v>303</v>
      </c>
    </row>
    <row r="935" spans="1:13" ht="15.75" x14ac:dyDescent="0.25">
      <c r="A935" s="16" t="s">
        <v>0</v>
      </c>
      <c r="B935" s="17" t="s">
        <v>34</v>
      </c>
      <c r="C935" s="18">
        <v>43132</v>
      </c>
      <c r="D935" s="19" t="s">
        <v>18</v>
      </c>
      <c r="E935" s="20">
        <v>0.70833333333333304</v>
      </c>
      <c r="F935" s="20">
        <v>0.83333333333333304</v>
      </c>
      <c r="G935" s="21">
        <v>8.0000000000000036</v>
      </c>
      <c r="H935" s="21">
        <v>2.9999999999999964</v>
      </c>
      <c r="I935" s="21">
        <v>2.9999999999999964</v>
      </c>
      <c r="J935" s="22" t="s">
        <v>9</v>
      </c>
      <c r="K935" s="23" t="s">
        <v>310</v>
      </c>
      <c r="L935" s="59">
        <v>1</v>
      </c>
      <c r="M935" s="8" t="s">
        <v>303</v>
      </c>
    </row>
    <row r="936" spans="1:13" ht="15.75" x14ac:dyDescent="0.25">
      <c r="A936" s="16" t="s">
        <v>0</v>
      </c>
      <c r="B936" s="17" t="s">
        <v>68</v>
      </c>
      <c r="C936" s="18">
        <v>43132</v>
      </c>
      <c r="D936" s="19" t="s">
        <v>18</v>
      </c>
      <c r="E936" s="20">
        <v>0.70833333333333304</v>
      </c>
      <c r="F936" s="20">
        <v>0.875</v>
      </c>
      <c r="G936" s="21">
        <v>8.0000000000000036</v>
      </c>
      <c r="H936" s="21">
        <v>4.0000000000000036</v>
      </c>
      <c r="I936" s="21">
        <v>4.0000000000000036</v>
      </c>
      <c r="J936" s="22" t="s">
        <v>9</v>
      </c>
      <c r="K936" s="23" t="s">
        <v>310</v>
      </c>
      <c r="L936" s="59">
        <v>1</v>
      </c>
      <c r="M936" s="8" t="s">
        <v>303</v>
      </c>
    </row>
    <row r="937" spans="1:13" ht="15.75" x14ac:dyDescent="0.25">
      <c r="A937" s="16" t="s">
        <v>0</v>
      </c>
      <c r="B937" s="17" t="s">
        <v>69</v>
      </c>
      <c r="C937" s="18">
        <v>43132</v>
      </c>
      <c r="D937" s="19" t="s">
        <v>18</v>
      </c>
      <c r="E937" s="20">
        <v>0.70833333333333304</v>
      </c>
      <c r="F937" s="20">
        <v>0.875</v>
      </c>
      <c r="G937" s="21">
        <v>8.0000000000000036</v>
      </c>
      <c r="H937" s="21">
        <v>4.0000000000000036</v>
      </c>
      <c r="I937" s="21">
        <v>4.0000000000000036</v>
      </c>
      <c r="J937" s="22" t="s">
        <v>9</v>
      </c>
      <c r="K937" s="23" t="s">
        <v>310</v>
      </c>
      <c r="L937" s="59">
        <v>1</v>
      </c>
      <c r="M937" s="8" t="s">
        <v>303</v>
      </c>
    </row>
    <row r="938" spans="1:13" ht="15.75" x14ac:dyDescent="0.25">
      <c r="A938" s="16" t="s">
        <v>0</v>
      </c>
      <c r="B938" s="17" t="s">
        <v>10</v>
      </c>
      <c r="C938" s="18">
        <v>43153</v>
      </c>
      <c r="D938" s="19" t="s">
        <v>18</v>
      </c>
      <c r="E938" s="20">
        <v>0.72916666666666696</v>
      </c>
      <c r="F938" s="20">
        <v>0.84375</v>
      </c>
      <c r="G938" s="21">
        <v>8.0000000000000036</v>
      </c>
      <c r="H938" s="21">
        <v>2.7499999999999876</v>
      </c>
      <c r="I938" s="21">
        <v>2.7499999999999876</v>
      </c>
      <c r="J938" s="22" t="s">
        <v>9</v>
      </c>
      <c r="K938" s="23" t="s">
        <v>311</v>
      </c>
      <c r="L938" s="59">
        <v>1</v>
      </c>
      <c r="M938" s="8" t="s">
        <v>303</v>
      </c>
    </row>
    <row r="939" spans="1:13" ht="15.75" x14ac:dyDescent="0.25">
      <c r="A939" s="16" t="s">
        <v>0</v>
      </c>
      <c r="B939" s="17" t="s">
        <v>12</v>
      </c>
      <c r="C939" s="18">
        <v>43153</v>
      </c>
      <c r="D939" s="19" t="s">
        <v>18</v>
      </c>
      <c r="E939" s="20">
        <v>0.72916666666666696</v>
      </c>
      <c r="F939" s="20">
        <v>0.84375</v>
      </c>
      <c r="G939" s="21">
        <v>8.0000000000000036</v>
      </c>
      <c r="H939" s="21">
        <v>2.7499999999999876</v>
      </c>
      <c r="I939" s="21">
        <v>2.7499999999999876</v>
      </c>
      <c r="J939" s="22" t="s">
        <v>9</v>
      </c>
      <c r="K939" s="23" t="s">
        <v>311</v>
      </c>
      <c r="L939" s="59">
        <v>1</v>
      </c>
      <c r="M939" s="8" t="s">
        <v>303</v>
      </c>
    </row>
    <row r="940" spans="1:13" ht="15.75" x14ac:dyDescent="0.25">
      <c r="A940" s="16" t="s">
        <v>0</v>
      </c>
      <c r="B940" s="17" t="s">
        <v>68</v>
      </c>
      <c r="C940" s="18">
        <v>43153</v>
      </c>
      <c r="D940" s="19" t="s">
        <v>18</v>
      </c>
      <c r="E940" s="20">
        <v>0.72916666666666696</v>
      </c>
      <c r="F940" s="20">
        <v>0.84375</v>
      </c>
      <c r="G940" s="21">
        <v>8.0000000000000036</v>
      </c>
      <c r="H940" s="21">
        <v>2.7499999999999876</v>
      </c>
      <c r="I940" s="21">
        <v>2.7499999999999876</v>
      </c>
      <c r="J940" s="22" t="s">
        <v>9</v>
      </c>
      <c r="K940" s="23" t="s">
        <v>311</v>
      </c>
      <c r="L940" s="59">
        <v>1</v>
      </c>
      <c r="M940" s="8" t="s">
        <v>303</v>
      </c>
    </row>
    <row r="941" spans="1:13" ht="15.75" x14ac:dyDescent="0.25">
      <c r="A941" s="16" t="s">
        <v>0</v>
      </c>
      <c r="B941" s="17" t="s">
        <v>69</v>
      </c>
      <c r="C941" s="18">
        <v>43153</v>
      </c>
      <c r="D941" s="19" t="s">
        <v>18</v>
      </c>
      <c r="E941" s="20">
        <v>0.72916666666666696</v>
      </c>
      <c r="F941" s="20">
        <v>0.84375</v>
      </c>
      <c r="G941" s="21">
        <v>8.0000000000000036</v>
      </c>
      <c r="H941" s="21">
        <v>2.7499999999999876</v>
      </c>
      <c r="I941" s="21">
        <v>2.7499999999999876</v>
      </c>
      <c r="J941" s="22" t="s">
        <v>9</v>
      </c>
      <c r="K941" s="23" t="s">
        <v>311</v>
      </c>
      <c r="L941" s="59">
        <v>1</v>
      </c>
      <c r="M941" s="8" t="s">
        <v>303</v>
      </c>
    </row>
    <row r="942" spans="1:13" ht="15.75" x14ac:dyDescent="0.25">
      <c r="A942" s="16" t="s">
        <v>0</v>
      </c>
      <c r="B942" s="17" t="s">
        <v>12</v>
      </c>
      <c r="C942" s="18">
        <v>43157</v>
      </c>
      <c r="D942" s="19" t="s">
        <v>21</v>
      </c>
      <c r="E942" s="20">
        <v>0.70833333333333304</v>
      </c>
      <c r="F942" s="20">
        <v>0.875</v>
      </c>
      <c r="G942" s="21">
        <v>8.0000000000000036</v>
      </c>
      <c r="H942" s="21">
        <v>4.0000000000000036</v>
      </c>
      <c r="I942" s="21">
        <v>4.0000000000000036</v>
      </c>
      <c r="J942" s="22" t="s">
        <v>9</v>
      </c>
      <c r="K942" s="23" t="s">
        <v>312</v>
      </c>
      <c r="L942" s="59">
        <v>1</v>
      </c>
      <c r="M942" s="8" t="s">
        <v>303</v>
      </c>
    </row>
    <row r="943" spans="1:13" ht="15.75" x14ac:dyDescent="0.25">
      <c r="A943" s="16" t="s">
        <v>0</v>
      </c>
      <c r="B943" s="17" t="s">
        <v>34</v>
      </c>
      <c r="C943" s="18">
        <v>43157</v>
      </c>
      <c r="D943" s="19" t="s">
        <v>21</v>
      </c>
      <c r="E943" s="20">
        <v>0.70833333333333304</v>
      </c>
      <c r="F943" s="20">
        <v>0.875</v>
      </c>
      <c r="G943" s="21">
        <v>8.0000000000000036</v>
      </c>
      <c r="H943" s="21">
        <v>4.0000000000000036</v>
      </c>
      <c r="I943" s="21">
        <v>4.0000000000000036</v>
      </c>
      <c r="J943" s="22" t="s">
        <v>9</v>
      </c>
      <c r="K943" s="23" t="s">
        <v>312</v>
      </c>
      <c r="L943" s="59">
        <v>1</v>
      </c>
      <c r="M943" s="8" t="s">
        <v>303</v>
      </c>
    </row>
    <row r="944" spans="1:13" ht="15.75" x14ac:dyDescent="0.25">
      <c r="A944" s="16" t="s">
        <v>0</v>
      </c>
      <c r="B944" s="17" t="s">
        <v>68</v>
      </c>
      <c r="C944" s="18">
        <v>43157</v>
      </c>
      <c r="D944" s="19" t="s">
        <v>21</v>
      </c>
      <c r="E944" s="20">
        <v>0.70833333333333304</v>
      </c>
      <c r="F944" s="20">
        <v>0.875</v>
      </c>
      <c r="G944" s="21">
        <v>8.0000000000000036</v>
      </c>
      <c r="H944" s="21">
        <v>4.0000000000000036</v>
      </c>
      <c r="I944" s="21">
        <v>4.0000000000000036</v>
      </c>
      <c r="J944" s="22" t="s">
        <v>9</v>
      </c>
      <c r="K944" s="23" t="s">
        <v>312</v>
      </c>
      <c r="L944" s="59">
        <v>1</v>
      </c>
      <c r="M944" s="8" t="s">
        <v>303</v>
      </c>
    </row>
    <row r="945" spans="1:13" ht="15.75" x14ac:dyDescent="0.25">
      <c r="A945" s="16" t="s">
        <v>0</v>
      </c>
      <c r="B945" s="17" t="s">
        <v>69</v>
      </c>
      <c r="C945" s="18">
        <v>43157</v>
      </c>
      <c r="D945" s="19" t="s">
        <v>21</v>
      </c>
      <c r="E945" s="20">
        <v>0.70833333333333304</v>
      </c>
      <c r="F945" s="20">
        <v>0.875</v>
      </c>
      <c r="G945" s="21">
        <v>8.0000000000000036</v>
      </c>
      <c r="H945" s="21">
        <v>4.0000000000000036</v>
      </c>
      <c r="I945" s="21">
        <v>4.0000000000000036</v>
      </c>
      <c r="J945" s="22" t="s">
        <v>9</v>
      </c>
      <c r="K945" s="23" t="s">
        <v>312</v>
      </c>
      <c r="L945" s="59">
        <v>1</v>
      </c>
      <c r="M945" s="8" t="s">
        <v>303</v>
      </c>
    </row>
    <row r="946" spans="1:13" ht="15.75" x14ac:dyDescent="0.25">
      <c r="A946" s="16" t="s">
        <v>0</v>
      </c>
      <c r="B946" s="17" t="s">
        <v>12</v>
      </c>
      <c r="C946" s="18">
        <v>43158</v>
      </c>
      <c r="D946" s="19" t="s">
        <v>16</v>
      </c>
      <c r="E946" s="20">
        <v>0.70833333333333304</v>
      </c>
      <c r="F946" s="20">
        <v>0.875</v>
      </c>
      <c r="G946" s="21">
        <v>8.0000000000000036</v>
      </c>
      <c r="H946" s="21">
        <v>4.0000000000000036</v>
      </c>
      <c r="I946" s="21">
        <v>4.0000000000000036</v>
      </c>
      <c r="J946" s="22" t="s">
        <v>9</v>
      </c>
      <c r="K946" s="23" t="s">
        <v>313</v>
      </c>
      <c r="L946" s="59">
        <v>1</v>
      </c>
      <c r="M946" s="8" t="s">
        <v>303</v>
      </c>
    </row>
    <row r="947" spans="1:13" ht="15.75" x14ac:dyDescent="0.25">
      <c r="A947" s="16" t="s">
        <v>0</v>
      </c>
      <c r="B947" s="17" t="s">
        <v>68</v>
      </c>
      <c r="C947" s="18">
        <v>43158</v>
      </c>
      <c r="D947" s="19" t="s">
        <v>16</v>
      </c>
      <c r="E947" s="20">
        <v>0.70833333333333304</v>
      </c>
      <c r="F947" s="20">
        <v>0.875</v>
      </c>
      <c r="G947" s="21">
        <v>8.0000000000000036</v>
      </c>
      <c r="H947" s="21">
        <v>4.0000000000000036</v>
      </c>
      <c r="I947" s="21">
        <v>4.0000000000000036</v>
      </c>
      <c r="J947" s="22" t="s">
        <v>9</v>
      </c>
      <c r="K947" s="23" t="s">
        <v>313</v>
      </c>
      <c r="L947" s="59">
        <v>1</v>
      </c>
      <c r="M947" s="8" t="s">
        <v>303</v>
      </c>
    </row>
    <row r="948" spans="1:13" ht="15.75" x14ac:dyDescent="0.25">
      <c r="A948" s="16" t="s">
        <v>0</v>
      </c>
      <c r="B948" s="17" t="s">
        <v>69</v>
      </c>
      <c r="C948" s="18">
        <v>43158</v>
      </c>
      <c r="D948" s="19" t="s">
        <v>16</v>
      </c>
      <c r="E948" s="20">
        <v>0.70833333333333304</v>
      </c>
      <c r="F948" s="20">
        <v>0.875</v>
      </c>
      <c r="G948" s="21">
        <v>8.0000000000000036</v>
      </c>
      <c r="H948" s="21">
        <v>4.0000000000000036</v>
      </c>
      <c r="I948" s="21">
        <v>4.0000000000000036</v>
      </c>
      <c r="J948" s="22" t="s">
        <v>9</v>
      </c>
      <c r="K948" s="23" t="s">
        <v>313</v>
      </c>
      <c r="L948" s="59">
        <v>1</v>
      </c>
      <c r="M948" s="8" t="s">
        <v>303</v>
      </c>
    </row>
    <row r="949" spans="1:13" ht="15.75" x14ac:dyDescent="0.25">
      <c r="A949" s="16" t="s">
        <v>0</v>
      </c>
      <c r="B949" s="17" t="s">
        <v>10</v>
      </c>
      <c r="C949" s="18">
        <v>43159</v>
      </c>
      <c r="D949" s="19" t="s">
        <v>19</v>
      </c>
      <c r="E949" s="20">
        <v>0.75</v>
      </c>
      <c r="F949" s="20">
        <v>0.875</v>
      </c>
      <c r="G949" s="21">
        <v>8.0000000000000036</v>
      </c>
      <c r="H949" s="21">
        <v>2.9999999999999964</v>
      </c>
      <c r="I949" s="21">
        <v>2.9999999999999964</v>
      </c>
      <c r="J949" s="22" t="s">
        <v>9</v>
      </c>
      <c r="K949" s="23" t="s">
        <v>314</v>
      </c>
      <c r="L949" s="59">
        <v>1</v>
      </c>
      <c r="M949" s="8" t="s">
        <v>303</v>
      </c>
    </row>
    <row r="950" spans="1:13" ht="15.75" x14ac:dyDescent="0.25">
      <c r="A950" s="16" t="s">
        <v>0</v>
      </c>
      <c r="B950" s="17" t="s">
        <v>34</v>
      </c>
      <c r="C950" s="18">
        <v>43159</v>
      </c>
      <c r="D950" s="19" t="s">
        <v>19</v>
      </c>
      <c r="E950" s="20">
        <v>0.70833333333333304</v>
      </c>
      <c r="F950" s="20">
        <v>0.875</v>
      </c>
      <c r="G950" s="21">
        <v>8.0000000000000036</v>
      </c>
      <c r="H950" s="21">
        <v>4.0000000000000036</v>
      </c>
      <c r="I950" s="21">
        <v>4.0000000000000036</v>
      </c>
      <c r="J950" s="22" t="s">
        <v>9</v>
      </c>
      <c r="K950" s="23" t="s">
        <v>315</v>
      </c>
      <c r="L950" s="59">
        <v>1</v>
      </c>
      <c r="M950" s="8" t="s">
        <v>303</v>
      </c>
    </row>
    <row r="951" spans="1:13" ht="15.75" x14ac:dyDescent="0.25">
      <c r="A951" s="16" t="s">
        <v>0</v>
      </c>
      <c r="B951" s="17" t="s">
        <v>68</v>
      </c>
      <c r="C951" s="18">
        <v>43159</v>
      </c>
      <c r="D951" s="19" t="s">
        <v>19</v>
      </c>
      <c r="E951" s="20">
        <v>0.70833333333333304</v>
      </c>
      <c r="F951" s="20">
        <v>0.875</v>
      </c>
      <c r="G951" s="21">
        <v>8.0000000000000036</v>
      </c>
      <c r="H951" s="21">
        <v>4.0000000000000036</v>
      </c>
      <c r="I951" s="21">
        <v>4.0000000000000036</v>
      </c>
      <c r="J951" s="22" t="s">
        <v>9</v>
      </c>
      <c r="K951" s="23" t="s">
        <v>315</v>
      </c>
      <c r="L951" s="59">
        <v>1</v>
      </c>
      <c r="M951" s="8" t="s">
        <v>303</v>
      </c>
    </row>
    <row r="952" spans="1:13" ht="15.75" x14ac:dyDescent="0.25">
      <c r="A952" s="16" t="s">
        <v>0</v>
      </c>
      <c r="B952" s="17" t="s">
        <v>69</v>
      </c>
      <c r="C952" s="18">
        <v>43159</v>
      </c>
      <c r="D952" s="19" t="s">
        <v>19</v>
      </c>
      <c r="E952" s="20">
        <v>0.70833333333333304</v>
      </c>
      <c r="F952" s="20">
        <v>0.875</v>
      </c>
      <c r="G952" s="21">
        <v>8.0000000000000036</v>
      </c>
      <c r="H952" s="21">
        <v>4.0000000000000036</v>
      </c>
      <c r="I952" s="21">
        <v>4.0000000000000036</v>
      </c>
      <c r="J952" s="22" t="s">
        <v>9</v>
      </c>
      <c r="K952" s="23" t="s">
        <v>315</v>
      </c>
      <c r="L952" s="59">
        <v>1</v>
      </c>
      <c r="M952" s="8" t="s">
        <v>303</v>
      </c>
    </row>
    <row r="953" spans="1:13" ht="15.75" x14ac:dyDescent="0.25">
      <c r="A953" s="16" t="s">
        <v>0</v>
      </c>
      <c r="B953" s="17" t="s">
        <v>12</v>
      </c>
      <c r="C953" s="18">
        <v>43160</v>
      </c>
      <c r="D953" s="19" t="s">
        <v>18</v>
      </c>
      <c r="E953" s="20">
        <v>0.70833333333333326</v>
      </c>
      <c r="F953" s="20">
        <v>0.875</v>
      </c>
      <c r="G953" s="21">
        <v>8.0000000000000036</v>
      </c>
      <c r="H953" s="21">
        <v>3.9999999999999982</v>
      </c>
      <c r="I953" s="21">
        <v>3.9999999999999982</v>
      </c>
      <c r="J953" s="24" t="s">
        <v>9</v>
      </c>
      <c r="K953" s="23" t="s">
        <v>320</v>
      </c>
      <c r="L953" s="59">
        <v>1</v>
      </c>
      <c r="M953" s="8" t="s">
        <v>304</v>
      </c>
    </row>
    <row r="954" spans="1:13" ht="15.75" x14ac:dyDescent="0.25">
      <c r="A954" s="16" t="s">
        <v>0</v>
      </c>
      <c r="B954" s="17" t="s">
        <v>34</v>
      </c>
      <c r="C954" s="18">
        <v>43160</v>
      </c>
      <c r="D954" s="19" t="s">
        <v>18</v>
      </c>
      <c r="E954" s="20">
        <v>0.70833333333333326</v>
      </c>
      <c r="F954" s="20">
        <v>0.875</v>
      </c>
      <c r="G954" s="21">
        <v>8.0000000000000036</v>
      </c>
      <c r="H954" s="21">
        <v>3.9999999999999982</v>
      </c>
      <c r="I954" s="21">
        <v>3.9999999999999982</v>
      </c>
      <c r="J954" s="24" t="s">
        <v>9</v>
      </c>
      <c r="K954" s="23" t="s">
        <v>320</v>
      </c>
      <c r="L954" s="59">
        <v>1</v>
      </c>
      <c r="M954" s="8" t="s">
        <v>304</v>
      </c>
    </row>
    <row r="955" spans="1:13" ht="15.75" x14ac:dyDescent="0.25">
      <c r="A955" s="16" t="s">
        <v>0</v>
      </c>
      <c r="B955" s="17" t="s">
        <v>68</v>
      </c>
      <c r="C955" s="18">
        <v>43160</v>
      </c>
      <c r="D955" s="19" t="s">
        <v>18</v>
      </c>
      <c r="E955" s="20">
        <v>0.70833333333333326</v>
      </c>
      <c r="F955" s="20">
        <v>0.875</v>
      </c>
      <c r="G955" s="21">
        <v>8.0000000000000036</v>
      </c>
      <c r="H955" s="21">
        <v>3.9999999999999982</v>
      </c>
      <c r="I955" s="21">
        <v>3.9999999999999982</v>
      </c>
      <c r="J955" s="24" t="s">
        <v>9</v>
      </c>
      <c r="K955" s="23" t="s">
        <v>320</v>
      </c>
      <c r="L955" s="59">
        <v>1</v>
      </c>
      <c r="M955" s="8" t="s">
        <v>304</v>
      </c>
    </row>
    <row r="956" spans="1:13" ht="15.75" x14ac:dyDescent="0.25">
      <c r="A956" s="16" t="s">
        <v>0</v>
      </c>
      <c r="B956" s="17" t="s">
        <v>69</v>
      </c>
      <c r="C956" s="18">
        <v>43160</v>
      </c>
      <c r="D956" s="19" t="s">
        <v>18</v>
      </c>
      <c r="E956" s="20">
        <v>0.70833333333333326</v>
      </c>
      <c r="F956" s="20">
        <v>0.875</v>
      </c>
      <c r="G956" s="21">
        <v>8.0000000000000036</v>
      </c>
      <c r="H956" s="21">
        <v>3.9999999999999982</v>
      </c>
      <c r="I956" s="21">
        <v>3.9999999999999982</v>
      </c>
      <c r="J956" s="24" t="s">
        <v>9</v>
      </c>
      <c r="K956" s="23" t="s">
        <v>320</v>
      </c>
      <c r="L956" s="59">
        <v>1</v>
      </c>
      <c r="M956" s="8" t="s">
        <v>304</v>
      </c>
    </row>
    <row r="957" spans="1:13" ht="15.75" x14ac:dyDescent="0.25">
      <c r="A957" s="16" t="s">
        <v>0</v>
      </c>
      <c r="B957" s="17" t="s">
        <v>12</v>
      </c>
      <c r="C957" s="18">
        <v>43167</v>
      </c>
      <c r="D957" s="19" t="s">
        <v>18</v>
      </c>
      <c r="E957" s="20">
        <v>0.72916666666666663</v>
      </c>
      <c r="F957" s="20">
        <v>0.875</v>
      </c>
      <c r="G957" s="21">
        <v>8.0000000000000036</v>
      </c>
      <c r="H957" s="21">
        <v>3.4999999999999964</v>
      </c>
      <c r="I957" s="21">
        <v>3.4999999999999964</v>
      </c>
      <c r="J957" s="24" t="s">
        <v>9</v>
      </c>
      <c r="K957" s="23" t="s">
        <v>321</v>
      </c>
      <c r="L957" s="59">
        <v>1</v>
      </c>
      <c r="M957" s="8" t="s">
        <v>304</v>
      </c>
    </row>
    <row r="958" spans="1:13" ht="15.75" x14ac:dyDescent="0.25">
      <c r="A958" s="16" t="s">
        <v>0</v>
      </c>
      <c r="B958" s="17" t="s">
        <v>69</v>
      </c>
      <c r="C958" s="18">
        <v>43171</v>
      </c>
      <c r="D958" s="19" t="s">
        <v>21</v>
      </c>
      <c r="E958" s="20">
        <v>0.72916666666666663</v>
      </c>
      <c r="F958" s="20">
        <v>0.89583333333333337</v>
      </c>
      <c r="G958" s="21">
        <v>8.0000000000000036</v>
      </c>
      <c r="H958" s="21">
        <v>3.9999999999999982</v>
      </c>
      <c r="I958" s="21">
        <v>3.9999999999999982</v>
      </c>
      <c r="J958" s="24" t="s">
        <v>9</v>
      </c>
      <c r="K958" s="23" t="s">
        <v>322</v>
      </c>
      <c r="L958" s="59">
        <v>1</v>
      </c>
      <c r="M958" s="8" t="s">
        <v>304</v>
      </c>
    </row>
    <row r="959" spans="1:13" ht="15.75" x14ac:dyDescent="0.25">
      <c r="A959" s="16" t="s">
        <v>0</v>
      </c>
      <c r="B959" s="17" t="s">
        <v>12</v>
      </c>
      <c r="C959" s="18">
        <v>43172</v>
      </c>
      <c r="D959" s="19" t="s">
        <v>16</v>
      </c>
      <c r="E959" s="20">
        <v>0.72916666666666663</v>
      </c>
      <c r="F959" s="20">
        <v>0.89583333333333337</v>
      </c>
      <c r="G959" s="21">
        <v>8.0000000000000036</v>
      </c>
      <c r="H959" s="21">
        <v>3.9999999999999982</v>
      </c>
      <c r="I959" s="21">
        <v>3.9999999999999982</v>
      </c>
      <c r="J959" s="24" t="s">
        <v>9</v>
      </c>
      <c r="K959" s="23" t="s">
        <v>323</v>
      </c>
      <c r="L959" s="59">
        <v>1</v>
      </c>
      <c r="M959" s="8" t="s">
        <v>304</v>
      </c>
    </row>
    <row r="960" spans="1:13" ht="15.75" x14ac:dyDescent="0.25">
      <c r="A960" s="16" t="s">
        <v>0</v>
      </c>
      <c r="B960" s="17" t="s">
        <v>34</v>
      </c>
      <c r="C960" s="18">
        <v>43172</v>
      </c>
      <c r="D960" s="19" t="s">
        <v>16</v>
      </c>
      <c r="E960" s="20">
        <v>0.72916666666666663</v>
      </c>
      <c r="F960" s="20">
        <v>0.89583333333333337</v>
      </c>
      <c r="G960" s="21">
        <v>8.0000000000000036</v>
      </c>
      <c r="H960" s="21">
        <v>3.9999999999999982</v>
      </c>
      <c r="I960" s="21">
        <v>3.9999999999999982</v>
      </c>
      <c r="J960" s="24" t="s">
        <v>9</v>
      </c>
      <c r="K960" s="23" t="s">
        <v>324</v>
      </c>
      <c r="L960" s="59">
        <v>1</v>
      </c>
      <c r="M960" s="8" t="s">
        <v>304</v>
      </c>
    </row>
    <row r="961" spans="1:13" ht="15.75" x14ac:dyDescent="0.25">
      <c r="A961" s="16" t="s">
        <v>0</v>
      </c>
      <c r="B961" s="17" t="s">
        <v>68</v>
      </c>
      <c r="C961" s="18">
        <v>43172</v>
      </c>
      <c r="D961" s="19" t="s">
        <v>16</v>
      </c>
      <c r="E961" s="20">
        <v>0.72916666666666663</v>
      </c>
      <c r="F961" s="20">
        <v>0.89583333333333337</v>
      </c>
      <c r="G961" s="21">
        <v>8.0000000000000036</v>
      </c>
      <c r="H961" s="21">
        <v>3.9999999999999982</v>
      </c>
      <c r="I961" s="21">
        <v>3.9999999999999982</v>
      </c>
      <c r="J961" s="24" t="s">
        <v>9</v>
      </c>
      <c r="K961" s="23" t="s">
        <v>324</v>
      </c>
      <c r="L961" s="59">
        <v>1</v>
      </c>
      <c r="M961" s="8" t="s">
        <v>304</v>
      </c>
    </row>
    <row r="962" spans="1:13" ht="15.75" x14ac:dyDescent="0.25">
      <c r="A962" s="16" t="s">
        <v>0</v>
      </c>
      <c r="B962" s="17" t="s">
        <v>69</v>
      </c>
      <c r="C962" s="18">
        <v>43172</v>
      </c>
      <c r="D962" s="19" t="s">
        <v>16</v>
      </c>
      <c r="E962" s="20">
        <v>0.72916666666666663</v>
      </c>
      <c r="F962" s="20">
        <v>0.89583333333333337</v>
      </c>
      <c r="G962" s="21">
        <v>8.0000000000000036</v>
      </c>
      <c r="H962" s="21">
        <v>3.9999999999999982</v>
      </c>
      <c r="I962" s="21">
        <v>3.9999999999999982</v>
      </c>
      <c r="J962" s="24" t="s">
        <v>9</v>
      </c>
      <c r="K962" s="23" t="s">
        <v>324</v>
      </c>
      <c r="L962" s="59">
        <v>1</v>
      </c>
      <c r="M962" s="8" t="s">
        <v>304</v>
      </c>
    </row>
    <row r="963" spans="1:13" ht="15.75" x14ac:dyDescent="0.25">
      <c r="A963" s="16" t="s">
        <v>0</v>
      </c>
      <c r="B963" s="17" t="s">
        <v>34</v>
      </c>
      <c r="C963" s="18">
        <v>43173</v>
      </c>
      <c r="D963" s="19" t="s">
        <v>19</v>
      </c>
      <c r="E963" s="20">
        <v>0.72916666666666663</v>
      </c>
      <c r="F963" s="20">
        <v>0.875</v>
      </c>
      <c r="G963" s="21">
        <v>8.0000000000000036</v>
      </c>
      <c r="H963" s="21">
        <v>3.4999999999999964</v>
      </c>
      <c r="I963" s="21">
        <v>3.4999999999999964</v>
      </c>
      <c r="J963" s="24" t="s">
        <v>9</v>
      </c>
      <c r="K963" s="23" t="s">
        <v>325</v>
      </c>
      <c r="L963" s="59">
        <v>1</v>
      </c>
      <c r="M963" s="8" t="s">
        <v>304</v>
      </c>
    </row>
    <row r="964" spans="1:13" ht="15.75" x14ac:dyDescent="0.25">
      <c r="A964" s="16" t="s">
        <v>0</v>
      </c>
      <c r="B964" s="17" t="s">
        <v>12</v>
      </c>
      <c r="C964" s="18">
        <v>43174</v>
      </c>
      <c r="D964" s="19" t="s">
        <v>18</v>
      </c>
      <c r="E964" s="20">
        <v>0.72916666666666663</v>
      </c>
      <c r="F964" s="20">
        <v>0.89583333333333337</v>
      </c>
      <c r="G964" s="21">
        <v>8.0000000000000036</v>
      </c>
      <c r="H964" s="21">
        <v>3.9999999999999982</v>
      </c>
      <c r="I964" s="21">
        <v>3.9999999999999982</v>
      </c>
      <c r="J964" s="24" t="s">
        <v>9</v>
      </c>
      <c r="K964" s="23" t="s">
        <v>326</v>
      </c>
      <c r="L964" s="59">
        <v>1</v>
      </c>
      <c r="M964" s="8" t="s">
        <v>304</v>
      </c>
    </row>
    <row r="965" spans="1:13" ht="15.75" x14ac:dyDescent="0.25">
      <c r="A965" s="16" t="s">
        <v>0</v>
      </c>
      <c r="B965" s="17" t="s">
        <v>34</v>
      </c>
      <c r="C965" s="18">
        <v>43174</v>
      </c>
      <c r="D965" s="19" t="s">
        <v>18</v>
      </c>
      <c r="E965" s="20">
        <v>0.72916666666666663</v>
      </c>
      <c r="F965" s="20">
        <v>0.875</v>
      </c>
      <c r="G965" s="21">
        <v>8.0000000000000036</v>
      </c>
      <c r="H965" s="21">
        <v>3.4999999999999964</v>
      </c>
      <c r="I965" s="21">
        <v>3.4999999999999964</v>
      </c>
      <c r="J965" s="24" t="s">
        <v>9</v>
      </c>
      <c r="K965" s="23" t="s">
        <v>326</v>
      </c>
      <c r="L965" s="59">
        <v>1</v>
      </c>
      <c r="M965" s="8" t="s">
        <v>304</v>
      </c>
    </row>
    <row r="966" spans="1:13" ht="15.75" x14ac:dyDescent="0.25">
      <c r="A966" s="16" t="s">
        <v>0</v>
      </c>
      <c r="B966" s="17" t="s">
        <v>68</v>
      </c>
      <c r="C966" s="18">
        <v>43174</v>
      </c>
      <c r="D966" s="19" t="s">
        <v>18</v>
      </c>
      <c r="E966" s="20">
        <v>0.72916666666666663</v>
      </c>
      <c r="F966" s="20">
        <v>0.875</v>
      </c>
      <c r="G966" s="21">
        <v>8.0000000000000036</v>
      </c>
      <c r="H966" s="21">
        <v>3.4999999999999964</v>
      </c>
      <c r="I966" s="21">
        <v>3.4999999999999964</v>
      </c>
      <c r="J966" s="24" t="s">
        <v>9</v>
      </c>
      <c r="K966" s="23" t="s">
        <v>326</v>
      </c>
      <c r="L966" s="59">
        <v>1</v>
      </c>
      <c r="M966" s="8" t="s">
        <v>304</v>
      </c>
    </row>
    <row r="967" spans="1:13" ht="15.75" x14ac:dyDescent="0.25">
      <c r="A967" s="16" t="s">
        <v>0</v>
      </c>
      <c r="B967" s="17" t="s">
        <v>69</v>
      </c>
      <c r="C967" s="18">
        <v>43174</v>
      </c>
      <c r="D967" s="19" t="s">
        <v>18</v>
      </c>
      <c r="E967" s="20">
        <v>0.72916666666666663</v>
      </c>
      <c r="F967" s="20">
        <v>0.875</v>
      </c>
      <c r="G967" s="21">
        <v>8.0000000000000036</v>
      </c>
      <c r="H967" s="21">
        <v>3.4999999999999964</v>
      </c>
      <c r="I967" s="21">
        <v>3.4999999999999964</v>
      </c>
      <c r="J967" s="24" t="s">
        <v>9</v>
      </c>
      <c r="K967" s="23" t="s">
        <v>327</v>
      </c>
      <c r="L967" s="59">
        <v>1</v>
      </c>
      <c r="M967" s="8" t="s">
        <v>304</v>
      </c>
    </row>
    <row r="968" spans="1:13" ht="15.75" x14ac:dyDescent="0.25">
      <c r="A968" s="16" t="s">
        <v>0</v>
      </c>
      <c r="B968" s="17" t="s">
        <v>10</v>
      </c>
      <c r="C968" s="25">
        <v>43175</v>
      </c>
      <c r="D968" s="19" t="s">
        <v>17</v>
      </c>
      <c r="E968" s="20">
        <v>0.72916666666666663</v>
      </c>
      <c r="F968" s="20">
        <v>0.89583333333333337</v>
      </c>
      <c r="G968" s="21">
        <v>8.0000000000000036</v>
      </c>
      <c r="H968" s="21">
        <v>3.9999999999999982</v>
      </c>
      <c r="I968" s="21">
        <v>3.9999999999999982</v>
      </c>
      <c r="J968" s="24" t="s">
        <v>9</v>
      </c>
      <c r="K968" s="23" t="s">
        <v>328</v>
      </c>
      <c r="L968" s="59">
        <v>1</v>
      </c>
      <c r="M968" s="8" t="s">
        <v>304</v>
      </c>
    </row>
    <row r="969" spans="1:13" ht="15.75" x14ac:dyDescent="0.25">
      <c r="A969" s="16" t="s">
        <v>0</v>
      </c>
      <c r="B969" s="17" t="s">
        <v>12</v>
      </c>
      <c r="C969" s="18">
        <v>43175</v>
      </c>
      <c r="D969" s="19" t="s">
        <v>17</v>
      </c>
      <c r="E969" s="20">
        <v>0.72916666666666663</v>
      </c>
      <c r="F969" s="20">
        <v>0.89583333333333337</v>
      </c>
      <c r="G969" s="21">
        <v>8.0000000000000036</v>
      </c>
      <c r="H969" s="21">
        <v>3.9999999999999982</v>
      </c>
      <c r="I969" s="21">
        <v>3.9999999999999982</v>
      </c>
      <c r="J969" s="24" t="s">
        <v>9</v>
      </c>
      <c r="K969" s="23" t="s">
        <v>329</v>
      </c>
      <c r="L969" s="59">
        <v>1</v>
      </c>
      <c r="M969" s="8" t="s">
        <v>304</v>
      </c>
    </row>
    <row r="970" spans="1:13" ht="15.75" x14ac:dyDescent="0.25">
      <c r="A970" s="16" t="s">
        <v>0</v>
      </c>
      <c r="B970" s="17" t="s">
        <v>34</v>
      </c>
      <c r="C970" s="18">
        <v>43175</v>
      </c>
      <c r="D970" s="19" t="s">
        <v>17</v>
      </c>
      <c r="E970" s="20">
        <v>0.72916666666666663</v>
      </c>
      <c r="F970" s="20">
        <v>0.8125</v>
      </c>
      <c r="G970" s="21">
        <v>8.0000000000000036</v>
      </c>
      <c r="H970" s="21">
        <v>1.9999999999999964</v>
      </c>
      <c r="I970" s="21">
        <v>1.9999999999999964</v>
      </c>
      <c r="J970" s="24" t="s">
        <v>9</v>
      </c>
      <c r="K970" s="23" t="s">
        <v>328</v>
      </c>
      <c r="L970" s="59">
        <v>1</v>
      </c>
      <c r="M970" s="8" t="s">
        <v>304</v>
      </c>
    </row>
    <row r="971" spans="1:13" ht="15.75" x14ac:dyDescent="0.25">
      <c r="A971" s="16" t="s">
        <v>0</v>
      </c>
      <c r="B971" s="17" t="s">
        <v>68</v>
      </c>
      <c r="C971" s="18">
        <v>43175</v>
      </c>
      <c r="D971" s="19" t="s">
        <v>17</v>
      </c>
      <c r="E971" s="20">
        <v>0.72916666666666663</v>
      </c>
      <c r="F971" s="20">
        <v>0.89583333333333337</v>
      </c>
      <c r="G971" s="21">
        <v>8.0000000000000036</v>
      </c>
      <c r="H971" s="21">
        <v>3.9999999999999982</v>
      </c>
      <c r="I971" s="21">
        <v>3.9999999999999982</v>
      </c>
      <c r="J971" s="24" t="s">
        <v>9</v>
      </c>
      <c r="K971" s="23" t="s">
        <v>328</v>
      </c>
      <c r="L971" s="59">
        <v>1</v>
      </c>
      <c r="M971" s="8" t="s">
        <v>304</v>
      </c>
    </row>
    <row r="972" spans="1:13" ht="15.75" x14ac:dyDescent="0.25">
      <c r="A972" s="16" t="s">
        <v>0</v>
      </c>
      <c r="B972" s="17" t="s">
        <v>69</v>
      </c>
      <c r="C972" s="18">
        <v>43175</v>
      </c>
      <c r="D972" s="19" t="s">
        <v>17</v>
      </c>
      <c r="E972" s="20">
        <v>0.72916666666666663</v>
      </c>
      <c r="F972" s="20">
        <v>0.89583333333333337</v>
      </c>
      <c r="G972" s="21">
        <v>8.0000000000000036</v>
      </c>
      <c r="H972" s="21">
        <v>3.9999999999999982</v>
      </c>
      <c r="I972" s="21">
        <v>3.9999999999999982</v>
      </c>
      <c r="J972" s="24" t="s">
        <v>9</v>
      </c>
      <c r="K972" s="23" t="s">
        <v>328</v>
      </c>
      <c r="L972" s="59">
        <v>1</v>
      </c>
      <c r="M972" s="8" t="s">
        <v>304</v>
      </c>
    </row>
    <row r="973" spans="1:13" ht="15.75" x14ac:dyDescent="0.25">
      <c r="A973" s="16" t="s">
        <v>0</v>
      </c>
      <c r="B973" s="17" t="s">
        <v>10</v>
      </c>
      <c r="C973" s="25">
        <v>43178</v>
      </c>
      <c r="D973" s="19" t="s">
        <v>21</v>
      </c>
      <c r="E973" s="20">
        <v>0.72916666666666663</v>
      </c>
      <c r="F973" s="20">
        <v>0.89583333333333337</v>
      </c>
      <c r="G973" s="21">
        <v>8.0000000000000036</v>
      </c>
      <c r="H973" s="21">
        <v>3.9999999999999982</v>
      </c>
      <c r="I973" s="21">
        <v>3.9999999999999982</v>
      </c>
      <c r="J973" s="24" t="s">
        <v>9</v>
      </c>
      <c r="K973" s="23" t="s">
        <v>330</v>
      </c>
      <c r="L973" s="59">
        <v>1</v>
      </c>
      <c r="M973" s="8" t="s">
        <v>304</v>
      </c>
    </row>
    <row r="974" spans="1:13" ht="15.75" x14ac:dyDescent="0.25">
      <c r="A974" s="16" t="s">
        <v>0</v>
      </c>
      <c r="B974" s="17" t="s">
        <v>12</v>
      </c>
      <c r="C974" s="18">
        <v>43178</v>
      </c>
      <c r="D974" s="19" t="s">
        <v>21</v>
      </c>
      <c r="E974" s="20">
        <v>0.72916666666666663</v>
      </c>
      <c r="F974" s="20">
        <v>0.875</v>
      </c>
      <c r="G974" s="21">
        <v>8.0000000000000036</v>
      </c>
      <c r="H974" s="21">
        <v>3.4999999999999964</v>
      </c>
      <c r="I974" s="21">
        <v>3.4999999999999964</v>
      </c>
      <c r="J974" s="24" t="s">
        <v>9</v>
      </c>
      <c r="K974" s="23" t="s">
        <v>330</v>
      </c>
      <c r="L974" s="59">
        <v>1</v>
      </c>
      <c r="M974" s="8" t="s">
        <v>304</v>
      </c>
    </row>
    <row r="975" spans="1:13" ht="15.75" x14ac:dyDescent="0.25">
      <c r="A975" s="16" t="s">
        <v>0</v>
      </c>
      <c r="B975" s="17" t="s">
        <v>34</v>
      </c>
      <c r="C975" s="18">
        <v>43178</v>
      </c>
      <c r="D975" s="19" t="s">
        <v>21</v>
      </c>
      <c r="E975" s="20">
        <v>0.72916666666666663</v>
      </c>
      <c r="F975" s="20">
        <v>0.85416666666666674</v>
      </c>
      <c r="G975" s="21">
        <v>8.0000000000000036</v>
      </c>
      <c r="H975" s="21">
        <v>3</v>
      </c>
      <c r="I975" s="21">
        <v>3</v>
      </c>
      <c r="J975" s="24" t="s">
        <v>9</v>
      </c>
      <c r="K975" s="23" t="s">
        <v>331</v>
      </c>
      <c r="L975" s="59">
        <v>1</v>
      </c>
      <c r="M975" s="8" t="s">
        <v>304</v>
      </c>
    </row>
    <row r="976" spans="1:13" ht="15.75" x14ac:dyDescent="0.25">
      <c r="A976" s="16" t="s">
        <v>0</v>
      </c>
      <c r="B976" s="17" t="s">
        <v>68</v>
      </c>
      <c r="C976" s="18">
        <v>43178</v>
      </c>
      <c r="D976" s="19" t="s">
        <v>21</v>
      </c>
      <c r="E976" s="20">
        <v>0.72916666666666663</v>
      </c>
      <c r="F976" s="20">
        <v>0.89583333333333337</v>
      </c>
      <c r="G976" s="21">
        <v>8.0000000000000036</v>
      </c>
      <c r="H976" s="21">
        <v>3.9999999999999982</v>
      </c>
      <c r="I976" s="21">
        <v>3.9999999999999982</v>
      </c>
      <c r="J976" s="24" t="s">
        <v>9</v>
      </c>
      <c r="K976" s="23" t="s">
        <v>330</v>
      </c>
      <c r="L976" s="59">
        <v>1</v>
      </c>
      <c r="M976" s="8" t="s">
        <v>304</v>
      </c>
    </row>
    <row r="977" spans="1:13" ht="15.75" x14ac:dyDescent="0.25">
      <c r="A977" s="16" t="s">
        <v>0</v>
      </c>
      <c r="B977" s="17" t="s">
        <v>69</v>
      </c>
      <c r="C977" s="18">
        <v>43178</v>
      </c>
      <c r="D977" s="19" t="s">
        <v>21</v>
      </c>
      <c r="E977" s="20">
        <v>0.72916666666666663</v>
      </c>
      <c r="F977" s="20">
        <v>0.89583333333333337</v>
      </c>
      <c r="G977" s="21">
        <v>8.0000000000000036</v>
      </c>
      <c r="H977" s="21">
        <v>3.9999999999999982</v>
      </c>
      <c r="I977" s="21">
        <v>3.9999999999999982</v>
      </c>
      <c r="J977" s="24" t="s">
        <v>9</v>
      </c>
      <c r="K977" s="23" t="s">
        <v>330</v>
      </c>
      <c r="L977" s="59">
        <v>1</v>
      </c>
      <c r="M977" s="8" t="s">
        <v>304</v>
      </c>
    </row>
    <row r="978" spans="1:13" ht="15.75" x14ac:dyDescent="0.25">
      <c r="A978" s="16" t="s">
        <v>0</v>
      </c>
      <c r="B978" s="17" t="s">
        <v>10</v>
      </c>
      <c r="C978" s="25">
        <v>43179</v>
      </c>
      <c r="D978" s="19" t="s">
        <v>16</v>
      </c>
      <c r="E978" s="20">
        <v>0.72916666666666663</v>
      </c>
      <c r="F978" s="20">
        <v>0.875</v>
      </c>
      <c r="G978" s="21">
        <v>8.0000000000000036</v>
      </c>
      <c r="H978" s="21">
        <v>3.4999999999999964</v>
      </c>
      <c r="I978" s="21">
        <v>3.4999999999999964</v>
      </c>
      <c r="J978" s="24" t="s">
        <v>9</v>
      </c>
      <c r="K978" s="23" t="s">
        <v>332</v>
      </c>
      <c r="L978" s="59">
        <v>1</v>
      </c>
      <c r="M978" s="8" t="s">
        <v>304</v>
      </c>
    </row>
    <row r="979" spans="1:13" ht="15.75" x14ac:dyDescent="0.25">
      <c r="A979" s="16" t="s">
        <v>0</v>
      </c>
      <c r="B979" s="17" t="s">
        <v>12</v>
      </c>
      <c r="C979" s="18">
        <v>43179</v>
      </c>
      <c r="D979" s="19" t="s">
        <v>16</v>
      </c>
      <c r="E979" s="20">
        <v>0.72916666666666663</v>
      </c>
      <c r="F979" s="20">
        <v>0.95833333333333337</v>
      </c>
      <c r="G979" s="21">
        <v>8.0000000000000036</v>
      </c>
      <c r="H979" s="21">
        <v>5.4999999999999982</v>
      </c>
      <c r="I979" s="21">
        <v>5.4999999999999982</v>
      </c>
      <c r="J979" s="24" t="s">
        <v>33</v>
      </c>
      <c r="K979" s="23" t="s">
        <v>333</v>
      </c>
      <c r="L979" s="59">
        <v>1</v>
      </c>
      <c r="M979" s="8" t="s">
        <v>304</v>
      </c>
    </row>
    <row r="980" spans="1:13" ht="15.75" x14ac:dyDescent="0.25">
      <c r="A980" s="16" t="s">
        <v>0</v>
      </c>
      <c r="B980" s="17" t="s">
        <v>68</v>
      </c>
      <c r="C980" s="18">
        <v>43179</v>
      </c>
      <c r="D980" s="19" t="s">
        <v>16</v>
      </c>
      <c r="E980" s="20">
        <v>0.72916666666666663</v>
      </c>
      <c r="F980" s="20">
        <v>0.875</v>
      </c>
      <c r="G980" s="21">
        <v>8.0000000000000036</v>
      </c>
      <c r="H980" s="21">
        <v>3.4999999999999964</v>
      </c>
      <c r="I980" s="21">
        <v>3.4999999999999964</v>
      </c>
      <c r="J980" s="24" t="s">
        <v>9</v>
      </c>
      <c r="K980" s="23" t="s">
        <v>332</v>
      </c>
      <c r="L980" s="59">
        <v>1</v>
      </c>
      <c r="M980" s="8" t="s">
        <v>304</v>
      </c>
    </row>
    <row r="981" spans="1:13" ht="15.75" x14ac:dyDescent="0.25">
      <c r="A981" s="16" t="s">
        <v>0</v>
      </c>
      <c r="B981" s="17" t="s">
        <v>69</v>
      </c>
      <c r="C981" s="18">
        <v>43179</v>
      </c>
      <c r="D981" s="19" t="s">
        <v>16</v>
      </c>
      <c r="E981" s="20">
        <v>0.72916666666666663</v>
      </c>
      <c r="F981" s="20">
        <v>0.89583333333333337</v>
      </c>
      <c r="G981" s="21">
        <v>8.0000000000000036</v>
      </c>
      <c r="H981" s="21">
        <v>3.9999999999999982</v>
      </c>
      <c r="I981" s="21">
        <v>3.9999999999999982</v>
      </c>
      <c r="J981" s="24" t="s">
        <v>9</v>
      </c>
      <c r="K981" s="23" t="s">
        <v>332</v>
      </c>
      <c r="L981" s="59">
        <v>1</v>
      </c>
      <c r="M981" s="8" t="s">
        <v>304</v>
      </c>
    </row>
    <row r="982" spans="1:13" ht="15.75" x14ac:dyDescent="0.25">
      <c r="A982" s="16" t="s">
        <v>0</v>
      </c>
      <c r="B982" s="17" t="s">
        <v>10</v>
      </c>
      <c r="C982" s="25">
        <v>43180</v>
      </c>
      <c r="D982" s="19" t="s">
        <v>19</v>
      </c>
      <c r="E982" s="20">
        <v>0.72916666666666663</v>
      </c>
      <c r="F982" s="20">
        <v>0.83333333333333337</v>
      </c>
      <c r="G982" s="21">
        <v>8.0000000000000036</v>
      </c>
      <c r="H982" s="21">
        <v>2.4999999999999982</v>
      </c>
      <c r="I982" s="21">
        <v>2.4999999999999982</v>
      </c>
      <c r="J982" s="24" t="s">
        <v>9</v>
      </c>
      <c r="K982" s="23" t="s">
        <v>334</v>
      </c>
      <c r="L982" s="59">
        <v>1</v>
      </c>
      <c r="M982" s="8" t="s">
        <v>304</v>
      </c>
    </row>
    <row r="983" spans="1:13" ht="15.75" x14ac:dyDescent="0.25">
      <c r="A983" s="16" t="s">
        <v>0</v>
      </c>
      <c r="B983" s="17" t="s">
        <v>12</v>
      </c>
      <c r="C983" s="18">
        <v>43180</v>
      </c>
      <c r="D983" s="19" t="s">
        <v>19</v>
      </c>
      <c r="E983" s="20">
        <v>0.58333333333333337</v>
      </c>
      <c r="F983" s="20">
        <v>0.91666666666666663</v>
      </c>
      <c r="G983" s="21">
        <v>8.0000000000000036</v>
      </c>
      <c r="H983" s="21">
        <v>7.9999999999999964</v>
      </c>
      <c r="I983" s="21">
        <v>7.9999999999999964</v>
      </c>
      <c r="J983" s="24" t="s">
        <v>9</v>
      </c>
      <c r="K983" s="23" t="s">
        <v>335</v>
      </c>
      <c r="L983" s="59">
        <v>1</v>
      </c>
      <c r="M983" s="8" t="s">
        <v>304</v>
      </c>
    </row>
    <row r="984" spans="1:13" ht="15.75" x14ac:dyDescent="0.25">
      <c r="A984" s="16" t="s">
        <v>0</v>
      </c>
      <c r="B984" s="17" t="s">
        <v>68</v>
      </c>
      <c r="C984" s="18">
        <v>43180</v>
      </c>
      <c r="D984" s="19" t="s">
        <v>19</v>
      </c>
      <c r="E984" s="20">
        <v>0.72916666666666663</v>
      </c>
      <c r="F984" s="20">
        <v>0.83333333333333337</v>
      </c>
      <c r="G984" s="21">
        <v>8.0000000000000036</v>
      </c>
      <c r="H984" s="21">
        <v>2.4999999999999982</v>
      </c>
      <c r="I984" s="21">
        <v>2.4999999999999982</v>
      </c>
      <c r="J984" s="24" t="s">
        <v>9</v>
      </c>
      <c r="K984" s="23" t="s">
        <v>334</v>
      </c>
      <c r="L984" s="59">
        <v>1</v>
      </c>
      <c r="M984" s="8" t="s">
        <v>304</v>
      </c>
    </row>
    <row r="985" spans="1:13" ht="15.75" x14ac:dyDescent="0.25">
      <c r="A985" s="16" t="s">
        <v>0</v>
      </c>
      <c r="B985" s="17" t="s">
        <v>69</v>
      </c>
      <c r="C985" s="18">
        <v>43180</v>
      </c>
      <c r="D985" s="19" t="s">
        <v>19</v>
      </c>
      <c r="E985" s="20">
        <v>0.58333333333333337</v>
      </c>
      <c r="F985" s="20">
        <v>0.91666666666666663</v>
      </c>
      <c r="G985" s="21">
        <v>8.0000000000000036</v>
      </c>
      <c r="H985" s="21">
        <v>7.9999999999999964</v>
      </c>
      <c r="I985" s="21">
        <v>7.9999999999999964</v>
      </c>
      <c r="J985" s="24" t="s">
        <v>9</v>
      </c>
      <c r="K985" s="23" t="s">
        <v>335</v>
      </c>
      <c r="L985" s="59">
        <v>1</v>
      </c>
      <c r="M985" s="8" t="s">
        <v>304</v>
      </c>
    </row>
    <row r="986" spans="1:13" ht="15.75" x14ac:dyDescent="0.25">
      <c r="A986" s="16" t="s">
        <v>0</v>
      </c>
      <c r="B986" s="17" t="s">
        <v>12</v>
      </c>
      <c r="C986" s="18">
        <v>43181</v>
      </c>
      <c r="D986" s="19" t="s">
        <v>18</v>
      </c>
      <c r="E986" s="20">
        <v>0.72916666666666663</v>
      </c>
      <c r="F986" s="20">
        <v>0.89583333333333337</v>
      </c>
      <c r="G986" s="21">
        <v>8.0000000000000036</v>
      </c>
      <c r="H986" s="21">
        <v>3.9999999999999982</v>
      </c>
      <c r="I986" s="21">
        <v>3.9999999999999982</v>
      </c>
      <c r="J986" s="24" t="s">
        <v>9</v>
      </c>
      <c r="K986" s="23" t="s">
        <v>336</v>
      </c>
      <c r="L986" s="59">
        <v>1</v>
      </c>
      <c r="M986" s="8" t="s">
        <v>304</v>
      </c>
    </row>
    <row r="987" spans="1:13" ht="15.75" x14ac:dyDescent="0.25">
      <c r="A987" s="16" t="s">
        <v>0</v>
      </c>
      <c r="B987" s="17" t="s">
        <v>34</v>
      </c>
      <c r="C987" s="18">
        <v>43181</v>
      </c>
      <c r="D987" s="19" t="s">
        <v>18</v>
      </c>
      <c r="E987" s="20">
        <v>0.72916666666666663</v>
      </c>
      <c r="F987" s="20">
        <v>0.89583333333333337</v>
      </c>
      <c r="G987" s="21">
        <v>8.0000000000000036</v>
      </c>
      <c r="H987" s="21">
        <v>3.9999999999999982</v>
      </c>
      <c r="I987" s="21">
        <v>3.9999999999999982</v>
      </c>
      <c r="J987" s="24" t="s">
        <v>9</v>
      </c>
      <c r="K987" s="23" t="s">
        <v>336</v>
      </c>
      <c r="L987" s="59">
        <v>1</v>
      </c>
      <c r="M987" s="8" t="s">
        <v>304</v>
      </c>
    </row>
    <row r="988" spans="1:13" ht="15.75" x14ac:dyDescent="0.25">
      <c r="A988" s="16" t="s">
        <v>0</v>
      </c>
      <c r="B988" s="17" t="s">
        <v>68</v>
      </c>
      <c r="C988" s="18">
        <v>43181</v>
      </c>
      <c r="D988" s="19" t="s">
        <v>18</v>
      </c>
      <c r="E988" s="20">
        <v>0.72916666666666663</v>
      </c>
      <c r="F988" s="20">
        <v>0.89583333333333337</v>
      </c>
      <c r="G988" s="21">
        <v>8.0000000000000036</v>
      </c>
      <c r="H988" s="21">
        <v>3.9999999999999982</v>
      </c>
      <c r="I988" s="21">
        <v>3.9999999999999982</v>
      </c>
      <c r="J988" s="24" t="s">
        <v>9</v>
      </c>
      <c r="K988" s="23" t="s">
        <v>336</v>
      </c>
      <c r="L988" s="59">
        <v>1</v>
      </c>
      <c r="M988" s="8" t="s">
        <v>304</v>
      </c>
    </row>
    <row r="989" spans="1:13" ht="15.75" x14ac:dyDescent="0.25">
      <c r="A989" s="16" t="s">
        <v>0</v>
      </c>
      <c r="B989" s="17" t="s">
        <v>69</v>
      </c>
      <c r="C989" s="18">
        <v>43181</v>
      </c>
      <c r="D989" s="19" t="s">
        <v>18</v>
      </c>
      <c r="E989" s="20">
        <v>0.64583333333333326</v>
      </c>
      <c r="F989" s="20">
        <v>0.85416666666666674</v>
      </c>
      <c r="G989" s="21">
        <v>8.0000000000000036</v>
      </c>
      <c r="H989" s="21">
        <v>5</v>
      </c>
      <c r="I989" s="21">
        <v>5</v>
      </c>
      <c r="J989" s="24" t="s">
        <v>9</v>
      </c>
      <c r="K989" s="23" t="s">
        <v>336</v>
      </c>
      <c r="L989" s="59">
        <v>1</v>
      </c>
      <c r="M989" s="8" t="s">
        <v>304</v>
      </c>
    </row>
    <row r="990" spans="1:13" ht="15.75" x14ac:dyDescent="0.25">
      <c r="A990" s="16" t="s">
        <v>0</v>
      </c>
      <c r="B990" s="17" t="s">
        <v>10</v>
      </c>
      <c r="C990" s="25">
        <v>43182</v>
      </c>
      <c r="D990" s="19" t="s">
        <v>17</v>
      </c>
      <c r="E990" s="20">
        <v>0.72916666666666663</v>
      </c>
      <c r="F990" s="20">
        <v>0.875</v>
      </c>
      <c r="G990" s="21">
        <v>8.0000000000000036</v>
      </c>
      <c r="H990" s="21">
        <v>3.4999999999999964</v>
      </c>
      <c r="I990" s="21">
        <v>3.4999999999999964</v>
      </c>
      <c r="J990" s="24" t="s">
        <v>9</v>
      </c>
      <c r="K990" s="23" t="s">
        <v>337</v>
      </c>
      <c r="L990" s="59">
        <v>1</v>
      </c>
      <c r="M990" s="8" t="s">
        <v>304</v>
      </c>
    </row>
    <row r="991" spans="1:13" ht="15.75" x14ac:dyDescent="0.25">
      <c r="A991" s="16" t="s">
        <v>0</v>
      </c>
      <c r="B991" s="17" t="s">
        <v>12</v>
      </c>
      <c r="C991" s="18">
        <v>43182</v>
      </c>
      <c r="D991" s="19" t="s">
        <v>17</v>
      </c>
      <c r="E991" s="20">
        <v>0.70833333333333326</v>
      </c>
      <c r="F991" s="20">
        <v>0.83333333333333337</v>
      </c>
      <c r="G991" s="21">
        <v>8.0000000000000036</v>
      </c>
      <c r="H991" s="21">
        <v>2.9999999999999964</v>
      </c>
      <c r="I991" s="21">
        <v>2.9999999999999964</v>
      </c>
      <c r="J991" s="24" t="s">
        <v>9</v>
      </c>
      <c r="K991" s="23" t="s">
        <v>337</v>
      </c>
      <c r="L991" s="59">
        <v>1</v>
      </c>
      <c r="M991" s="8" t="s">
        <v>304</v>
      </c>
    </row>
    <row r="992" spans="1:13" ht="15.75" x14ac:dyDescent="0.25">
      <c r="A992" s="16" t="s">
        <v>0</v>
      </c>
      <c r="B992" s="17" t="s">
        <v>68</v>
      </c>
      <c r="C992" s="18">
        <v>43182</v>
      </c>
      <c r="D992" s="19" t="s">
        <v>17</v>
      </c>
      <c r="E992" s="20">
        <v>0.72916666666666663</v>
      </c>
      <c r="F992" s="20">
        <v>0.875</v>
      </c>
      <c r="G992" s="21">
        <v>8.0000000000000036</v>
      </c>
      <c r="H992" s="21">
        <v>3.4999999999999964</v>
      </c>
      <c r="I992" s="21">
        <v>3.4999999999999964</v>
      </c>
      <c r="J992" s="24" t="s">
        <v>9</v>
      </c>
      <c r="K992" s="23" t="s">
        <v>337</v>
      </c>
      <c r="L992" s="59">
        <v>1</v>
      </c>
      <c r="M992" s="8" t="s">
        <v>304</v>
      </c>
    </row>
    <row r="993" spans="1:13" ht="15.75" x14ac:dyDescent="0.25">
      <c r="A993" s="16" t="s">
        <v>0</v>
      </c>
      <c r="B993" s="17" t="s">
        <v>69</v>
      </c>
      <c r="C993" s="18">
        <v>43182</v>
      </c>
      <c r="D993" s="19" t="s">
        <v>17</v>
      </c>
      <c r="E993" s="20">
        <v>0.6875</v>
      </c>
      <c r="F993" s="20">
        <v>0.89583333333333337</v>
      </c>
      <c r="G993" s="21">
        <v>8.0000000000000036</v>
      </c>
      <c r="H993" s="21">
        <v>4.9999999999999964</v>
      </c>
      <c r="I993" s="21">
        <v>4.9999999999999964</v>
      </c>
      <c r="J993" s="24" t="s">
        <v>9</v>
      </c>
      <c r="K993" s="23" t="s">
        <v>337</v>
      </c>
      <c r="L993" s="59">
        <v>1</v>
      </c>
      <c r="M993" s="8" t="s">
        <v>304</v>
      </c>
    </row>
    <row r="994" spans="1:13" ht="15.75" x14ac:dyDescent="0.25">
      <c r="A994" s="16" t="s">
        <v>0</v>
      </c>
      <c r="B994" s="17" t="s">
        <v>10</v>
      </c>
      <c r="C994" s="25">
        <v>43183</v>
      </c>
      <c r="D994" s="19" t="s">
        <v>24</v>
      </c>
      <c r="E994" s="20">
        <v>0.72916666666666663</v>
      </c>
      <c r="F994" s="20">
        <v>0.89583333333333337</v>
      </c>
      <c r="G994" s="21">
        <v>8.0000000000000036</v>
      </c>
      <c r="H994" s="21">
        <v>3.9999999999999982</v>
      </c>
      <c r="I994" s="21">
        <v>12.000000000000002</v>
      </c>
      <c r="J994" s="24" t="s">
        <v>46</v>
      </c>
      <c r="K994" s="23" t="s">
        <v>338</v>
      </c>
      <c r="L994" s="59">
        <v>1</v>
      </c>
      <c r="M994" s="8" t="s">
        <v>304</v>
      </c>
    </row>
    <row r="995" spans="1:13" ht="15.75" x14ac:dyDescent="0.25">
      <c r="A995" s="16" t="s">
        <v>0</v>
      </c>
      <c r="B995" s="17" t="s">
        <v>12</v>
      </c>
      <c r="C995" s="18">
        <v>43183</v>
      </c>
      <c r="D995" s="19" t="s">
        <v>24</v>
      </c>
      <c r="E995" s="20">
        <v>0.72916666666666663</v>
      </c>
      <c r="F995" s="20">
        <v>0.85416666666666674</v>
      </c>
      <c r="G995" s="21">
        <v>8.0000000000000036</v>
      </c>
      <c r="H995" s="21">
        <v>3</v>
      </c>
      <c r="I995" s="21">
        <v>11.000000000000004</v>
      </c>
      <c r="J995" s="24" t="s">
        <v>46</v>
      </c>
      <c r="K995" s="23" t="s">
        <v>338</v>
      </c>
      <c r="L995" s="59">
        <v>1</v>
      </c>
      <c r="M995" s="8" t="s">
        <v>304</v>
      </c>
    </row>
    <row r="996" spans="1:13" ht="15.75" x14ac:dyDescent="0.25">
      <c r="A996" s="16" t="s">
        <v>0</v>
      </c>
      <c r="B996" s="17" t="s">
        <v>34</v>
      </c>
      <c r="C996" s="18">
        <v>43183</v>
      </c>
      <c r="D996" s="19" t="s">
        <v>24</v>
      </c>
      <c r="E996" s="20">
        <v>0.72916666666666663</v>
      </c>
      <c r="F996" s="20">
        <v>0.89583333333333337</v>
      </c>
      <c r="G996" s="21">
        <v>8.0000000000000036</v>
      </c>
      <c r="H996" s="21">
        <v>3.9999999999999982</v>
      </c>
      <c r="I996" s="21">
        <v>12.000000000000002</v>
      </c>
      <c r="J996" s="24" t="s">
        <v>46</v>
      </c>
      <c r="K996" s="23" t="s">
        <v>338</v>
      </c>
      <c r="L996" s="59">
        <v>1</v>
      </c>
      <c r="M996" s="8" t="s">
        <v>304</v>
      </c>
    </row>
    <row r="997" spans="1:13" ht="15.75" x14ac:dyDescent="0.25">
      <c r="A997" s="16" t="s">
        <v>0</v>
      </c>
      <c r="B997" s="17" t="s">
        <v>68</v>
      </c>
      <c r="C997" s="18">
        <v>43183</v>
      </c>
      <c r="D997" s="19" t="s">
        <v>24</v>
      </c>
      <c r="E997" s="20">
        <v>0.72916666666666663</v>
      </c>
      <c r="F997" s="20">
        <v>0.89583333333333337</v>
      </c>
      <c r="G997" s="21">
        <v>8.0000000000000036</v>
      </c>
      <c r="H997" s="21">
        <v>3.9999999999999982</v>
      </c>
      <c r="I997" s="21">
        <v>12.000000000000002</v>
      </c>
      <c r="J997" s="24" t="s">
        <v>46</v>
      </c>
      <c r="K997" s="23" t="s">
        <v>338</v>
      </c>
      <c r="L997" s="59">
        <v>1</v>
      </c>
      <c r="M997" s="8" t="s">
        <v>304</v>
      </c>
    </row>
    <row r="998" spans="1:13" ht="15.75" x14ac:dyDescent="0.25">
      <c r="A998" s="16" t="s">
        <v>0</v>
      </c>
      <c r="B998" s="17" t="s">
        <v>69</v>
      </c>
      <c r="C998" s="18">
        <v>43183</v>
      </c>
      <c r="D998" s="19" t="s">
        <v>24</v>
      </c>
      <c r="E998" s="20">
        <v>0.6875</v>
      </c>
      <c r="F998" s="20">
        <v>0.89583333333333337</v>
      </c>
      <c r="G998" s="21">
        <v>8.0000000000000036</v>
      </c>
      <c r="H998" s="21">
        <v>4.9999999999999964</v>
      </c>
      <c r="I998" s="21">
        <v>13</v>
      </c>
      <c r="J998" s="24" t="s">
        <v>46</v>
      </c>
      <c r="K998" s="23" t="s">
        <v>338</v>
      </c>
      <c r="L998" s="59">
        <v>1</v>
      </c>
      <c r="M998" s="8" t="s">
        <v>304</v>
      </c>
    </row>
    <row r="999" spans="1:13" ht="15.75" x14ac:dyDescent="0.25">
      <c r="A999" s="16" t="s">
        <v>0</v>
      </c>
      <c r="B999" s="17" t="s">
        <v>12</v>
      </c>
      <c r="C999" s="18">
        <v>43185</v>
      </c>
      <c r="D999" s="19" t="s">
        <v>21</v>
      </c>
      <c r="E999" s="20">
        <v>0.64583333333333326</v>
      </c>
      <c r="F999" s="20">
        <v>0.85416666666666674</v>
      </c>
      <c r="G999" s="21">
        <v>8.0000000000000036</v>
      </c>
      <c r="H999" s="21">
        <v>5</v>
      </c>
      <c r="I999" s="21">
        <v>5</v>
      </c>
      <c r="J999" s="24" t="s">
        <v>9</v>
      </c>
      <c r="K999" s="23" t="s">
        <v>339</v>
      </c>
      <c r="L999" s="59">
        <v>1</v>
      </c>
      <c r="M999" s="8" t="s">
        <v>304</v>
      </c>
    </row>
    <row r="1000" spans="1:13" ht="15.75" x14ac:dyDescent="0.25">
      <c r="A1000" s="16" t="s">
        <v>0</v>
      </c>
      <c r="B1000" s="17" t="s">
        <v>34</v>
      </c>
      <c r="C1000" s="18">
        <v>43185</v>
      </c>
      <c r="D1000" s="19" t="s">
        <v>21</v>
      </c>
      <c r="E1000" s="20">
        <v>0.66666666666666674</v>
      </c>
      <c r="F1000" s="20">
        <v>0.91666666666666663</v>
      </c>
      <c r="G1000" s="21">
        <v>8.0000000000000036</v>
      </c>
      <c r="H1000" s="21">
        <v>5.9999999999999964</v>
      </c>
      <c r="I1000" s="21">
        <v>5.9999999999999964</v>
      </c>
      <c r="J1000" s="24" t="s">
        <v>9</v>
      </c>
      <c r="K1000" s="23" t="s">
        <v>339</v>
      </c>
      <c r="L1000" s="59">
        <v>1</v>
      </c>
      <c r="M1000" s="8" t="s">
        <v>304</v>
      </c>
    </row>
    <row r="1001" spans="1:13" ht="15.75" x14ac:dyDescent="0.25">
      <c r="A1001" s="16" t="s">
        <v>0</v>
      </c>
      <c r="B1001" s="17" t="s">
        <v>69</v>
      </c>
      <c r="C1001" s="18">
        <v>43185</v>
      </c>
      <c r="D1001" s="19" t="s">
        <v>21</v>
      </c>
      <c r="E1001" s="20">
        <v>0.60416666666666674</v>
      </c>
      <c r="F1001" s="20">
        <v>0.9375</v>
      </c>
      <c r="G1001" s="21">
        <v>8.0000000000000036</v>
      </c>
      <c r="H1001" s="21">
        <v>7.9999999999999964</v>
      </c>
      <c r="I1001" s="21">
        <v>7.9999999999999964</v>
      </c>
      <c r="J1001" s="24" t="s">
        <v>33</v>
      </c>
      <c r="K1001" s="23" t="s">
        <v>339</v>
      </c>
      <c r="L1001" s="59">
        <v>1</v>
      </c>
      <c r="M1001" s="8" t="s">
        <v>304</v>
      </c>
    </row>
    <row r="1002" spans="1:13" ht="15.75" x14ac:dyDescent="0.25">
      <c r="A1002" s="16" t="s">
        <v>0</v>
      </c>
      <c r="B1002" s="17" t="s">
        <v>10</v>
      </c>
      <c r="C1002" s="25">
        <v>43186</v>
      </c>
      <c r="D1002" s="19" t="s">
        <v>16</v>
      </c>
      <c r="E1002" s="20">
        <v>0.70833333333333326</v>
      </c>
      <c r="F1002" s="20">
        <v>0.875</v>
      </c>
      <c r="G1002" s="21">
        <v>8.0000000000000036</v>
      </c>
      <c r="H1002" s="21">
        <v>3.9999999999999982</v>
      </c>
      <c r="I1002" s="21">
        <v>3.9999999999999982</v>
      </c>
      <c r="J1002" s="24" t="s">
        <v>9</v>
      </c>
      <c r="K1002" s="23" t="s">
        <v>340</v>
      </c>
      <c r="L1002" s="59">
        <v>1</v>
      </c>
      <c r="M1002" s="8" t="s">
        <v>304</v>
      </c>
    </row>
    <row r="1003" spans="1:13" ht="15.75" x14ac:dyDescent="0.25">
      <c r="A1003" s="16" t="s">
        <v>0</v>
      </c>
      <c r="B1003" s="17" t="s">
        <v>12</v>
      </c>
      <c r="C1003" s="18">
        <v>43186</v>
      </c>
      <c r="D1003" s="19" t="s">
        <v>16</v>
      </c>
      <c r="E1003" s="20">
        <v>0.70833333333333326</v>
      </c>
      <c r="F1003" s="20">
        <v>0.83333333333333337</v>
      </c>
      <c r="G1003" s="21">
        <v>8.0000000000000036</v>
      </c>
      <c r="H1003" s="21">
        <v>2.9999999999999964</v>
      </c>
      <c r="I1003" s="21">
        <v>2.9999999999999964</v>
      </c>
      <c r="J1003" s="24" t="s">
        <v>9</v>
      </c>
      <c r="K1003" s="23" t="s">
        <v>341</v>
      </c>
      <c r="L1003" s="59">
        <v>1</v>
      </c>
      <c r="M1003" s="8" t="s">
        <v>304</v>
      </c>
    </row>
    <row r="1004" spans="1:13" ht="15.75" x14ac:dyDescent="0.25">
      <c r="A1004" s="16" t="s">
        <v>0</v>
      </c>
      <c r="B1004" s="17" t="s">
        <v>34</v>
      </c>
      <c r="C1004" s="18">
        <v>43186</v>
      </c>
      <c r="D1004" s="19" t="s">
        <v>16</v>
      </c>
      <c r="E1004" s="20">
        <v>0.70833333333333326</v>
      </c>
      <c r="F1004" s="20">
        <v>0.875</v>
      </c>
      <c r="G1004" s="21">
        <v>8.0000000000000036</v>
      </c>
      <c r="H1004" s="21">
        <v>3.9999999999999982</v>
      </c>
      <c r="I1004" s="21">
        <v>3.9999999999999982</v>
      </c>
      <c r="J1004" s="24" t="s">
        <v>9</v>
      </c>
      <c r="K1004" s="23" t="s">
        <v>341</v>
      </c>
      <c r="L1004" s="59">
        <v>1</v>
      </c>
      <c r="M1004" s="8" t="s">
        <v>304</v>
      </c>
    </row>
    <row r="1005" spans="1:13" ht="15.75" x14ac:dyDescent="0.25">
      <c r="A1005" s="16" t="s">
        <v>0</v>
      </c>
      <c r="B1005" s="17" t="s">
        <v>68</v>
      </c>
      <c r="C1005" s="18">
        <v>43186</v>
      </c>
      <c r="D1005" s="19" t="s">
        <v>16</v>
      </c>
      <c r="E1005" s="20">
        <v>0.70833333333333326</v>
      </c>
      <c r="F1005" s="20">
        <v>0.875</v>
      </c>
      <c r="G1005" s="21">
        <v>8.0000000000000036</v>
      </c>
      <c r="H1005" s="21">
        <v>3.9999999999999982</v>
      </c>
      <c r="I1005" s="21">
        <v>3.9999999999999982</v>
      </c>
      <c r="J1005" s="24" t="s">
        <v>9</v>
      </c>
      <c r="K1005" s="23" t="s">
        <v>341</v>
      </c>
      <c r="L1005" s="59">
        <v>1</v>
      </c>
      <c r="M1005" s="8" t="s">
        <v>304</v>
      </c>
    </row>
    <row r="1006" spans="1:13" ht="15.75" x14ac:dyDescent="0.25">
      <c r="A1006" s="16" t="s">
        <v>0</v>
      </c>
      <c r="B1006" s="17" t="s">
        <v>69</v>
      </c>
      <c r="C1006" s="18">
        <v>43186</v>
      </c>
      <c r="D1006" s="19" t="s">
        <v>16</v>
      </c>
      <c r="E1006" s="20">
        <v>0.70833333333333326</v>
      </c>
      <c r="F1006" s="20">
        <v>0.875</v>
      </c>
      <c r="G1006" s="21">
        <v>8.0000000000000036</v>
      </c>
      <c r="H1006" s="21">
        <v>3.9999999999999982</v>
      </c>
      <c r="I1006" s="21">
        <v>3.9999999999999982</v>
      </c>
      <c r="J1006" s="24" t="s">
        <v>9</v>
      </c>
      <c r="K1006" s="23" t="s">
        <v>341</v>
      </c>
      <c r="L1006" s="59">
        <v>1</v>
      </c>
      <c r="M1006" s="8" t="s">
        <v>304</v>
      </c>
    </row>
    <row r="1007" spans="1:13" ht="15.75" x14ac:dyDescent="0.25">
      <c r="A1007" s="16" t="s">
        <v>0</v>
      </c>
      <c r="B1007" s="17" t="s">
        <v>10</v>
      </c>
      <c r="C1007" s="25">
        <v>43187</v>
      </c>
      <c r="D1007" s="19" t="s">
        <v>19</v>
      </c>
      <c r="E1007" s="20">
        <v>0.70833333333333326</v>
      </c>
      <c r="F1007" s="20">
        <v>0.875</v>
      </c>
      <c r="G1007" s="21">
        <v>8.0000000000000036</v>
      </c>
      <c r="H1007" s="21">
        <v>3.9999999999999982</v>
      </c>
      <c r="I1007" s="21">
        <v>3.9999999999999982</v>
      </c>
      <c r="J1007" s="24" t="s">
        <v>9</v>
      </c>
      <c r="K1007" s="23" t="s">
        <v>342</v>
      </c>
      <c r="L1007" s="59">
        <v>1</v>
      </c>
      <c r="M1007" s="8" t="s">
        <v>304</v>
      </c>
    </row>
    <row r="1008" spans="1:13" ht="15.75" x14ac:dyDescent="0.25">
      <c r="A1008" s="16" t="s">
        <v>0</v>
      </c>
      <c r="B1008" s="17" t="s">
        <v>12</v>
      </c>
      <c r="C1008" s="18">
        <v>43187</v>
      </c>
      <c r="D1008" s="19" t="s">
        <v>19</v>
      </c>
      <c r="E1008" s="20">
        <v>0.70833333333333326</v>
      </c>
      <c r="F1008" s="20">
        <v>0.875</v>
      </c>
      <c r="G1008" s="21">
        <v>8.0000000000000036</v>
      </c>
      <c r="H1008" s="21">
        <v>3.9999999999999982</v>
      </c>
      <c r="I1008" s="21">
        <v>3.9999999999999982</v>
      </c>
      <c r="J1008" s="24" t="s">
        <v>9</v>
      </c>
      <c r="K1008" s="23" t="s">
        <v>342</v>
      </c>
      <c r="L1008" s="59">
        <v>1</v>
      </c>
      <c r="M1008" s="8" t="s">
        <v>304</v>
      </c>
    </row>
    <row r="1009" spans="1:13" ht="15.75" x14ac:dyDescent="0.25">
      <c r="A1009" s="16" t="s">
        <v>0</v>
      </c>
      <c r="B1009" s="17" t="s">
        <v>34</v>
      </c>
      <c r="C1009" s="18">
        <v>43187</v>
      </c>
      <c r="D1009" s="19" t="s">
        <v>19</v>
      </c>
      <c r="E1009" s="20">
        <v>0.70833333333333326</v>
      </c>
      <c r="F1009" s="20">
        <v>0.875</v>
      </c>
      <c r="G1009" s="21">
        <v>8.0000000000000036</v>
      </c>
      <c r="H1009" s="21">
        <v>3.9999999999999982</v>
      </c>
      <c r="I1009" s="21">
        <v>3.9999999999999982</v>
      </c>
      <c r="J1009" s="24" t="s">
        <v>9</v>
      </c>
      <c r="K1009" s="23" t="s">
        <v>342</v>
      </c>
      <c r="L1009" s="59">
        <v>1</v>
      </c>
      <c r="M1009" s="8" t="s">
        <v>304</v>
      </c>
    </row>
    <row r="1010" spans="1:13" ht="15.75" x14ac:dyDescent="0.25">
      <c r="A1010" s="16" t="s">
        <v>0</v>
      </c>
      <c r="B1010" s="17" t="s">
        <v>68</v>
      </c>
      <c r="C1010" s="18">
        <v>43187</v>
      </c>
      <c r="D1010" s="19" t="s">
        <v>19</v>
      </c>
      <c r="E1010" s="20">
        <v>0.70833333333333326</v>
      </c>
      <c r="F1010" s="20">
        <v>0.83333333333333337</v>
      </c>
      <c r="G1010" s="21">
        <v>8.0000000000000036</v>
      </c>
      <c r="H1010" s="21">
        <v>2.9999999999999964</v>
      </c>
      <c r="I1010" s="21">
        <v>2.9999999999999964</v>
      </c>
      <c r="J1010" s="24" t="s">
        <v>9</v>
      </c>
      <c r="K1010" s="23" t="s">
        <v>342</v>
      </c>
      <c r="L1010" s="59">
        <v>1</v>
      </c>
      <c r="M1010" s="8" t="s">
        <v>304</v>
      </c>
    </row>
    <row r="1011" spans="1:13" ht="15.75" x14ac:dyDescent="0.25">
      <c r="A1011" s="16" t="s">
        <v>0</v>
      </c>
      <c r="B1011" s="17" t="s">
        <v>69</v>
      </c>
      <c r="C1011" s="18">
        <v>43187</v>
      </c>
      <c r="D1011" s="19" t="s">
        <v>19</v>
      </c>
      <c r="E1011" s="20">
        <v>0.70833333333333326</v>
      </c>
      <c r="F1011" s="20">
        <v>0.875</v>
      </c>
      <c r="G1011" s="21">
        <v>8.0000000000000036</v>
      </c>
      <c r="H1011" s="21">
        <v>3.9999999999999982</v>
      </c>
      <c r="I1011" s="21">
        <v>3.9999999999999982</v>
      </c>
      <c r="J1011" s="24" t="s">
        <v>9</v>
      </c>
      <c r="K1011" s="23" t="s">
        <v>342</v>
      </c>
      <c r="L1011" s="59">
        <v>1</v>
      </c>
      <c r="M1011" s="8" t="s">
        <v>304</v>
      </c>
    </row>
    <row r="1012" spans="1:13" ht="15.75" x14ac:dyDescent="0.25">
      <c r="A1012" s="16" t="s">
        <v>0</v>
      </c>
      <c r="B1012" s="17" t="s">
        <v>10</v>
      </c>
      <c r="C1012" s="25">
        <v>43188</v>
      </c>
      <c r="D1012" s="19" t="s">
        <v>18</v>
      </c>
      <c r="E1012" s="20">
        <v>0.70833333333333326</v>
      </c>
      <c r="F1012" s="20">
        <v>0.875</v>
      </c>
      <c r="G1012" s="21">
        <v>8.0000000000000036</v>
      </c>
      <c r="H1012" s="21">
        <v>3.9999999999999982</v>
      </c>
      <c r="I1012" s="21">
        <v>3.9999999999999982</v>
      </c>
      <c r="J1012" s="24" t="s">
        <v>9</v>
      </c>
      <c r="K1012" s="23" t="s">
        <v>343</v>
      </c>
      <c r="L1012" s="59">
        <v>1</v>
      </c>
      <c r="M1012" s="8" t="s">
        <v>304</v>
      </c>
    </row>
    <row r="1013" spans="1:13" ht="15.75" x14ac:dyDescent="0.25">
      <c r="A1013" s="16" t="s">
        <v>0</v>
      </c>
      <c r="B1013" s="17" t="s">
        <v>12</v>
      </c>
      <c r="C1013" s="18">
        <v>43188</v>
      </c>
      <c r="D1013" s="19" t="s">
        <v>18</v>
      </c>
      <c r="E1013" s="20">
        <v>0.70833333333333326</v>
      </c>
      <c r="F1013" s="20">
        <v>0.875</v>
      </c>
      <c r="G1013" s="21">
        <v>8.0000000000000036</v>
      </c>
      <c r="H1013" s="21">
        <v>3.9999999999999982</v>
      </c>
      <c r="I1013" s="21">
        <v>3.9999999999999982</v>
      </c>
      <c r="J1013" s="24" t="s">
        <v>9</v>
      </c>
      <c r="K1013" s="23" t="s">
        <v>343</v>
      </c>
      <c r="L1013" s="59">
        <v>1</v>
      </c>
      <c r="M1013" s="8" t="s">
        <v>304</v>
      </c>
    </row>
    <row r="1014" spans="1:13" ht="15.75" x14ac:dyDescent="0.25">
      <c r="A1014" s="16" t="s">
        <v>0</v>
      </c>
      <c r="B1014" s="17" t="s">
        <v>34</v>
      </c>
      <c r="C1014" s="18">
        <v>43188</v>
      </c>
      <c r="D1014" s="19" t="s">
        <v>18</v>
      </c>
      <c r="E1014" s="20">
        <v>0.70833333333333326</v>
      </c>
      <c r="F1014" s="20">
        <v>0.83333333333333337</v>
      </c>
      <c r="G1014" s="21">
        <v>8.0000000000000036</v>
      </c>
      <c r="H1014" s="21">
        <v>2.9999999999999964</v>
      </c>
      <c r="I1014" s="21">
        <v>2.9999999999999964</v>
      </c>
      <c r="J1014" s="24" t="s">
        <v>9</v>
      </c>
      <c r="K1014" s="23" t="s">
        <v>343</v>
      </c>
      <c r="L1014" s="59">
        <v>1</v>
      </c>
      <c r="M1014" s="8" t="s">
        <v>304</v>
      </c>
    </row>
    <row r="1015" spans="1:13" ht="15.75" x14ac:dyDescent="0.25">
      <c r="A1015" s="16" t="s">
        <v>0</v>
      </c>
      <c r="B1015" s="17" t="s">
        <v>68</v>
      </c>
      <c r="C1015" s="18">
        <v>43188</v>
      </c>
      <c r="D1015" s="19" t="s">
        <v>18</v>
      </c>
      <c r="E1015" s="20">
        <v>0.70833333333333326</v>
      </c>
      <c r="F1015" s="20">
        <v>0.875</v>
      </c>
      <c r="G1015" s="21">
        <v>8.0000000000000036</v>
      </c>
      <c r="H1015" s="21">
        <v>3.9999999999999982</v>
      </c>
      <c r="I1015" s="21">
        <v>3.9999999999999982</v>
      </c>
      <c r="J1015" s="24" t="s">
        <v>9</v>
      </c>
      <c r="K1015" s="23" t="s">
        <v>343</v>
      </c>
      <c r="L1015" s="59">
        <v>1</v>
      </c>
      <c r="M1015" s="8" t="s">
        <v>304</v>
      </c>
    </row>
    <row r="1016" spans="1:13" ht="15.75" x14ac:dyDescent="0.25">
      <c r="A1016" s="16" t="s">
        <v>0</v>
      </c>
      <c r="B1016" s="17" t="s">
        <v>69</v>
      </c>
      <c r="C1016" s="18">
        <v>43188</v>
      </c>
      <c r="D1016" s="19" t="s">
        <v>18</v>
      </c>
      <c r="E1016" s="20">
        <v>0.70833333333333326</v>
      </c>
      <c r="F1016" s="20">
        <v>0.875</v>
      </c>
      <c r="G1016" s="21">
        <v>8.0000000000000036</v>
      </c>
      <c r="H1016" s="21">
        <v>3.9999999999999982</v>
      </c>
      <c r="I1016" s="21">
        <v>3.9999999999999982</v>
      </c>
      <c r="J1016" s="24" t="s">
        <v>9</v>
      </c>
      <c r="K1016" s="23" t="s">
        <v>343</v>
      </c>
      <c r="L1016" s="59">
        <v>1</v>
      </c>
      <c r="M1016" s="8" t="s">
        <v>304</v>
      </c>
    </row>
    <row r="1017" spans="1:13" ht="15.75" x14ac:dyDescent="0.25">
      <c r="A1017" s="16" t="s">
        <v>0</v>
      </c>
      <c r="B1017" s="17" t="s">
        <v>10</v>
      </c>
      <c r="C1017" s="25">
        <v>43189</v>
      </c>
      <c r="D1017" s="19" t="s">
        <v>17</v>
      </c>
      <c r="E1017" s="20">
        <v>0.70833333333333326</v>
      </c>
      <c r="F1017" s="20">
        <v>0.875</v>
      </c>
      <c r="G1017" s="21">
        <v>8.0000000000000036</v>
      </c>
      <c r="H1017" s="21">
        <v>3.9999999999999982</v>
      </c>
      <c r="I1017" s="21">
        <v>3.9999999999999982</v>
      </c>
      <c r="J1017" s="24" t="s">
        <v>9</v>
      </c>
      <c r="K1017" s="23" t="s">
        <v>344</v>
      </c>
      <c r="L1017" s="59">
        <v>1</v>
      </c>
      <c r="M1017" s="8" t="s">
        <v>304</v>
      </c>
    </row>
    <row r="1018" spans="1:13" ht="15.75" x14ac:dyDescent="0.25">
      <c r="A1018" s="16" t="s">
        <v>0</v>
      </c>
      <c r="B1018" s="17" t="s">
        <v>34</v>
      </c>
      <c r="C1018" s="18">
        <v>43189</v>
      </c>
      <c r="D1018" s="19" t="s">
        <v>17</v>
      </c>
      <c r="E1018" s="20">
        <v>0.70833333333333326</v>
      </c>
      <c r="F1018" s="20">
        <v>0.875</v>
      </c>
      <c r="G1018" s="21">
        <v>8.0000000000000036</v>
      </c>
      <c r="H1018" s="21">
        <v>3.9999999999999982</v>
      </c>
      <c r="I1018" s="21">
        <v>3.9999999999999982</v>
      </c>
      <c r="J1018" s="24" t="s">
        <v>9</v>
      </c>
      <c r="K1018" s="23" t="s">
        <v>344</v>
      </c>
      <c r="L1018" s="59">
        <v>1</v>
      </c>
      <c r="M1018" s="8" t="s">
        <v>304</v>
      </c>
    </row>
    <row r="1019" spans="1:13" ht="15.75" x14ac:dyDescent="0.25">
      <c r="A1019" s="16" t="s">
        <v>0</v>
      </c>
      <c r="B1019" s="17" t="s">
        <v>68</v>
      </c>
      <c r="C1019" s="18">
        <v>43189</v>
      </c>
      <c r="D1019" s="19" t="s">
        <v>17</v>
      </c>
      <c r="E1019" s="20">
        <v>0.70833333333333326</v>
      </c>
      <c r="F1019" s="20">
        <v>0.875</v>
      </c>
      <c r="G1019" s="21">
        <v>8.0000000000000036</v>
      </c>
      <c r="H1019" s="21">
        <v>3.9999999999999982</v>
      </c>
      <c r="I1019" s="21">
        <v>3.9999999999999982</v>
      </c>
      <c r="J1019" s="24" t="s">
        <v>9</v>
      </c>
      <c r="K1019" s="23" t="s">
        <v>344</v>
      </c>
      <c r="L1019" s="59">
        <v>1</v>
      </c>
      <c r="M1019" s="8" t="s">
        <v>304</v>
      </c>
    </row>
    <row r="1020" spans="1:13" ht="15.75" x14ac:dyDescent="0.25">
      <c r="A1020" s="16" t="s">
        <v>0</v>
      </c>
      <c r="B1020" s="17" t="s">
        <v>69</v>
      </c>
      <c r="C1020" s="18">
        <v>43189</v>
      </c>
      <c r="D1020" s="19" t="s">
        <v>17</v>
      </c>
      <c r="E1020" s="20">
        <v>0.70833333333333326</v>
      </c>
      <c r="F1020" s="20">
        <v>0.875</v>
      </c>
      <c r="G1020" s="21">
        <v>8.0000000000000036</v>
      </c>
      <c r="H1020" s="21">
        <v>3.9999999999999982</v>
      </c>
      <c r="I1020" s="21">
        <v>3.9999999999999982</v>
      </c>
      <c r="J1020" s="24" t="s">
        <v>9</v>
      </c>
      <c r="K1020" s="23" t="s">
        <v>344</v>
      </c>
      <c r="L1020" s="59">
        <v>1</v>
      </c>
      <c r="M1020" s="8" t="s">
        <v>304</v>
      </c>
    </row>
    <row r="1021" spans="1:13" ht="15.75" x14ac:dyDescent="0.25">
      <c r="A1021" s="16" t="s">
        <v>0</v>
      </c>
      <c r="B1021" s="17" t="s">
        <v>10</v>
      </c>
      <c r="C1021" s="25">
        <v>43192</v>
      </c>
      <c r="D1021" s="19" t="s">
        <v>21</v>
      </c>
      <c r="E1021" s="20">
        <v>0.70833333333333304</v>
      </c>
      <c r="F1021" s="20">
        <v>0.875</v>
      </c>
      <c r="G1021" s="21">
        <v>8.0000000000000036</v>
      </c>
      <c r="H1021" s="21">
        <v>4.0000000000000036</v>
      </c>
      <c r="I1021" s="21">
        <v>4.0000000000000036</v>
      </c>
      <c r="J1021" s="24" t="s">
        <v>9</v>
      </c>
      <c r="K1021" s="23" t="s">
        <v>345</v>
      </c>
      <c r="L1021" s="59">
        <v>1</v>
      </c>
      <c r="M1021" s="8" t="s">
        <v>316</v>
      </c>
    </row>
    <row r="1022" spans="1:13" ht="15.75" x14ac:dyDescent="0.25">
      <c r="A1022" s="16" t="s">
        <v>0</v>
      </c>
      <c r="B1022" s="17" t="s">
        <v>12</v>
      </c>
      <c r="C1022" s="18">
        <v>43192</v>
      </c>
      <c r="D1022" s="19" t="s">
        <v>21</v>
      </c>
      <c r="E1022" s="20">
        <v>0.70833333333333304</v>
      </c>
      <c r="F1022" s="20">
        <v>0.875</v>
      </c>
      <c r="G1022" s="21">
        <v>8.0000000000000036</v>
      </c>
      <c r="H1022" s="21">
        <v>4.0000000000000036</v>
      </c>
      <c r="I1022" s="21">
        <v>4.0000000000000036</v>
      </c>
      <c r="J1022" s="24" t="s">
        <v>9</v>
      </c>
      <c r="K1022" s="23" t="s">
        <v>345</v>
      </c>
      <c r="L1022" s="59">
        <v>1</v>
      </c>
      <c r="M1022" s="8" t="s">
        <v>316</v>
      </c>
    </row>
    <row r="1023" spans="1:13" ht="15.75" x14ac:dyDescent="0.25">
      <c r="A1023" s="16" t="s">
        <v>0</v>
      </c>
      <c r="B1023" s="17" t="s">
        <v>34</v>
      </c>
      <c r="C1023" s="18">
        <v>43192</v>
      </c>
      <c r="D1023" s="19" t="s">
        <v>21</v>
      </c>
      <c r="E1023" s="20">
        <v>0.70833333333333304</v>
      </c>
      <c r="F1023" s="20">
        <v>0.875</v>
      </c>
      <c r="G1023" s="21">
        <v>8.0000000000000036</v>
      </c>
      <c r="H1023" s="21">
        <v>4.0000000000000036</v>
      </c>
      <c r="I1023" s="21">
        <v>4.0000000000000036</v>
      </c>
      <c r="J1023" s="24" t="s">
        <v>9</v>
      </c>
      <c r="K1023" s="23" t="s">
        <v>345</v>
      </c>
      <c r="L1023" s="59">
        <v>1</v>
      </c>
      <c r="M1023" s="8" t="s">
        <v>316</v>
      </c>
    </row>
    <row r="1024" spans="1:13" ht="15.75" x14ac:dyDescent="0.25">
      <c r="A1024" s="16" t="s">
        <v>0</v>
      </c>
      <c r="B1024" s="17" t="s">
        <v>68</v>
      </c>
      <c r="C1024" s="18">
        <v>43192</v>
      </c>
      <c r="D1024" s="19" t="s">
        <v>21</v>
      </c>
      <c r="E1024" s="20">
        <v>0.70833333333333304</v>
      </c>
      <c r="F1024" s="20">
        <v>0.875</v>
      </c>
      <c r="G1024" s="21">
        <v>8.0000000000000036</v>
      </c>
      <c r="H1024" s="21">
        <v>4.0000000000000036</v>
      </c>
      <c r="I1024" s="21">
        <v>4.0000000000000036</v>
      </c>
      <c r="J1024" s="24" t="s">
        <v>9</v>
      </c>
      <c r="K1024" s="23" t="s">
        <v>345</v>
      </c>
      <c r="L1024" s="59">
        <v>1</v>
      </c>
      <c r="M1024" s="8" t="s">
        <v>316</v>
      </c>
    </row>
    <row r="1025" spans="1:13" ht="15.75" x14ac:dyDescent="0.25">
      <c r="A1025" s="16" t="s">
        <v>0</v>
      </c>
      <c r="B1025" s="17" t="s">
        <v>69</v>
      </c>
      <c r="C1025" s="18">
        <v>43192</v>
      </c>
      <c r="D1025" s="19" t="s">
        <v>21</v>
      </c>
      <c r="E1025" s="20">
        <v>0.70833333333333304</v>
      </c>
      <c r="F1025" s="20">
        <v>0.875</v>
      </c>
      <c r="G1025" s="21">
        <v>8.0000000000000036</v>
      </c>
      <c r="H1025" s="21">
        <v>4.0000000000000036</v>
      </c>
      <c r="I1025" s="21">
        <v>4.0000000000000036</v>
      </c>
      <c r="J1025" s="24" t="s">
        <v>9</v>
      </c>
      <c r="K1025" s="23" t="s">
        <v>345</v>
      </c>
      <c r="L1025" s="59">
        <v>1</v>
      </c>
      <c r="M1025" s="8" t="s">
        <v>316</v>
      </c>
    </row>
    <row r="1026" spans="1:13" ht="15.75" x14ac:dyDescent="0.25">
      <c r="A1026" s="16" t="s">
        <v>0</v>
      </c>
      <c r="B1026" s="17" t="s">
        <v>10</v>
      </c>
      <c r="C1026" s="25">
        <v>43193</v>
      </c>
      <c r="D1026" s="19" t="s">
        <v>16</v>
      </c>
      <c r="E1026" s="20">
        <v>0.70833333333333304</v>
      </c>
      <c r="F1026" s="20">
        <v>0.875</v>
      </c>
      <c r="G1026" s="21">
        <v>8.0000000000000036</v>
      </c>
      <c r="H1026" s="21">
        <v>4.0000000000000036</v>
      </c>
      <c r="I1026" s="21">
        <v>4.0000000000000036</v>
      </c>
      <c r="J1026" s="24" t="s">
        <v>9</v>
      </c>
      <c r="K1026" s="23" t="s">
        <v>346</v>
      </c>
      <c r="L1026" s="59">
        <v>1</v>
      </c>
      <c r="M1026" s="8" t="s">
        <v>316</v>
      </c>
    </row>
    <row r="1027" spans="1:13" ht="15.75" x14ac:dyDescent="0.25">
      <c r="A1027" s="16" t="s">
        <v>0</v>
      </c>
      <c r="B1027" s="17" t="s">
        <v>12</v>
      </c>
      <c r="C1027" s="18">
        <v>43193</v>
      </c>
      <c r="D1027" s="19" t="s">
        <v>16</v>
      </c>
      <c r="E1027" s="20">
        <v>0.70833333333333304</v>
      </c>
      <c r="F1027" s="20">
        <v>0.875</v>
      </c>
      <c r="G1027" s="21">
        <v>8.0000000000000036</v>
      </c>
      <c r="H1027" s="21">
        <v>4.0000000000000036</v>
      </c>
      <c r="I1027" s="21">
        <v>4.0000000000000036</v>
      </c>
      <c r="J1027" s="24" t="s">
        <v>9</v>
      </c>
      <c r="K1027" s="23" t="s">
        <v>346</v>
      </c>
      <c r="L1027" s="59">
        <v>1</v>
      </c>
      <c r="M1027" s="8" t="s">
        <v>316</v>
      </c>
    </row>
    <row r="1028" spans="1:13" ht="15.75" x14ac:dyDescent="0.25">
      <c r="A1028" s="16" t="s">
        <v>0</v>
      </c>
      <c r="B1028" s="17" t="s">
        <v>34</v>
      </c>
      <c r="C1028" s="18">
        <v>43193</v>
      </c>
      <c r="D1028" s="19" t="s">
        <v>16</v>
      </c>
      <c r="E1028" s="20">
        <v>0.6875</v>
      </c>
      <c r="F1028" s="20">
        <v>0.85416666666666696</v>
      </c>
      <c r="G1028" s="21">
        <v>8.0000000000000036</v>
      </c>
      <c r="H1028" s="21">
        <v>4.0000000000000036</v>
      </c>
      <c r="I1028" s="21">
        <v>4.0000000000000036</v>
      </c>
      <c r="J1028" s="24" t="s">
        <v>9</v>
      </c>
      <c r="K1028" s="23" t="s">
        <v>346</v>
      </c>
      <c r="L1028" s="59">
        <v>1</v>
      </c>
      <c r="M1028" s="8" t="s">
        <v>316</v>
      </c>
    </row>
    <row r="1029" spans="1:13" ht="15.75" x14ac:dyDescent="0.25">
      <c r="A1029" s="16" t="s">
        <v>0</v>
      </c>
      <c r="B1029" s="17" t="s">
        <v>68</v>
      </c>
      <c r="C1029" s="18">
        <v>43193</v>
      </c>
      <c r="D1029" s="19" t="s">
        <v>16</v>
      </c>
      <c r="E1029" s="20">
        <v>0.70833333333333304</v>
      </c>
      <c r="F1029" s="20">
        <v>0.875</v>
      </c>
      <c r="G1029" s="21">
        <v>8.0000000000000036</v>
      </c>
      <c r="H1029" s="21">
        <v>4.0000000000000036</v>
      </c>
      <c r="I1029" s="21">
        <v>4.0000000000000036</v>
      </c>
      <c r="J1029" s="24" t="s">
        <v>9</v>
      </c>
      <c r="K1029" s="23" t="s">
        <v>346</v>
      </c>
      <c r="L1029" s="59">
        <v>1</v>
      </c>
      <c r="M1029" s="8" t="s">
        <v>316</v>
      </c>
    </row>
    <row r="1030" spans="1:13" ht="15.75" x14ac:dyDescent="0.25">
      <c r="A1030" s="16" t="s">
        <v>0</v>
      </c>
      <c r="B1030" s="17" t="s">
        <v>10</v>
      </c>
      <c r="C1030" s="25">
        <v>43194</v>
      </c>
      <c r="D1030" s="19" t="s">
        <v>19</v>
      </c>
      <c r="E1030" s="20">
        <v>0.70833333333333304</v>
      </c>
      <c r="F1030" s="20">
        <v>0.875</v>
      </c>
      <c r="G1030" s="21">
        <v>8.0000000000000036</v>
      </c>
      <c r="H1030" s="21">
        <v>4.0000000000000036</v>
      </c>
      <c r="I1030" s="21">
        <v>4.0000000000000036</v>
      </c>
      <c r="J1030" s="24" t="s">
        <v>9</v>
      </c>
      <c r="K1030" s="23" t="s">
        <v>347</v>
      </c>
      <c r="L1030" s="59">
        <v>1</v>
      </c>
      <c r="M1030" s="8" t="s">
        <v>316</v>
      </c>
    </row>
    <row r="1031" spans="1:13" ht="15.75" x14ac:dyDescent="0.25">
      <c r="A1031" s="16" t="s">
        <v>0</v>
      </c>
      <c r="B1031" s="17" t="s">
        <v>12</v>
      </c>
      <c r="C1031" s="18">
        <v>43194</v>
      </c>
      <c r="D1031" s="19" t="s">
        <v>19</v>
      </c>
      <c r="E1031" s="20">
        <v>0.70833333333333304</v>
      </c>
      <c r="F1031" s="20">
        <v>0.875</v>
      </c>
      <c r="G1031" s="21">
        <v>8.0000000000000036</v>
      </c>
      <c r="H1031" s="21">
        <v>4.0000000000000036</v>
      </c>
      <c r="I1031" s="21">
        <v>4.0000000000000036</v>
      </c>
      <c r="J1031" s="24" t="s">
        <v>9</v>
      </c>
      <c r="K1031" s="23" t="s">
        <v>347</v>
      </c>
      <c r="L1031" s="59">
        <v>1</v>
      </c>
      <c r="M1031" s="8" t="s">
        <v>316</v>
      </c>
    </row>
    <row r="1032" spans="1:13" ht="15.75" x14ac:dyDescent="0.25">
      <c r="A1032" s="16" t="s">
        <v>0</v>
      </c>
      <c r="B1032" s="17" t="s">
        <v>68</v>
      </c>
      <c r="C1032" s="18">
        <v>43194</v>
      </c>
      <c r="D1032" s="19" t="s">
        <v>19</v>
      </c>
      <c r="E1032" s="20">
        <v>0.70833333333333304</v>
      </c>
      <c r="F1032" s="20">
        <v>0.83333333333333304</v>
      </c>
      <c r="G1032" s="21">
        <v>8.0000000000000036</v>
      </c>
      <c r="H1032" s="21">
        <v>2.9999999999999964</v>
      </c>
      <c r="I1032" s="21">
        <v>2.9999999999999964</v>
      </c>
      <c r="J1032" s="24" t="s">
        <v>9</v>
      </c>
      <c r="K1032" s="23" t="s">
        <v>347</v>
      </c>
      <c r="L1032" s="59">
        <v>1</v>
      </c>
      <c r="M1032" s="8" t="s">
        <v>316</v>
      </c>
    </row>
    <row r="1033" spans="1:13" ht="15.75" x14ac:dyDescent="0.25">
      <c r="A1033" s="16" t="s">
        <v>0</v>
      </c>
      <c r="B1033" s="17" t="s">
        <v>69</v>
      </c>
      <c r="C1033" s="18">
        <v>43194</v>
      </c>
      <c r="D1033" s="19" t="s">
        <v>19</v>
      </c>
      <c r="E1033" s="20">
        <v>0.66666666666666696</v>
      </c>
      <c r="F1033" s="20">
        <v>0.875</v>
      </c>
      <c r="G1033" s="21">
        <v>8.0000000000000036</v>
      </c>
      <c r="H1033" s="21">
        <v>4.9999999999999893</v>
      </c>
      <c r="I1033" s="21">
        <v>4.9999999999999893</v>
      </c>
      <c r="J1033" s="24" t="s">
        <v>9</v>
      </c>
      <c r="K1033" s="23" t="s">
        <v>347</v>
      </c>
      <c r="L1033" s="59">
        <v>1</v>
      </c>
      <c r="M1033" s="8" t="s">
        <v>316</v>
      </c>
    </row>
    <row r="1034" spans="1:13" ht="15.75" x14ac:dyDescent="0.25">
      <c r="A1034" s="16" t="s">
        <v>0</v>
      </c>
      <c r="B1034" s="17" t="s">
        <v>34</v>
      </c>
      <c r="C1034" s="18">
        <v>43195</v>
      </c>
      <c r="D1034" s="19" t="s">
        <v>18</v>
      </c>
      <c r="E1034" s="20">
        <v>0.66666666666666696</v>
      </c>
      <c r="F1034" s="20">
        <v>0.83333333333333304</v>
      </c>
      <c r="G1034" s="21">
        <v>8.0000000000000036</v>
      </c>
      <c r="H1034" s="21">
        <v>3.9999999999999822</v>
      </c>
      <c r="I1034" s="21">
        <v>3.9999999999999822</v>
      </c>
      <c r="J1034" s="24" t="s">
        <v>9</v>
      </c>
      <c r="K1034" s="23" t="s">
        <v>348</v>
      </c>
      <c r="L1034" s="59">
        <v>1</v>
      </c>
      <c r="M1034" s="8" t="s">
        <v>316</v>
      </c>
    </row>
    <row r="1035" spans="1:13" ht="15.75" x14ac:dyDescent="0.25">
      <c r="A1035" s="16" t="s">
        <v>0</v>
      </c>
      <c r="B1035" s="17" t="s">
        <v>68</v>
      </c>
      <c r="C1035" s="18">
        <v>43195</v>
      </c>
      <c r="D1035" s="19" t="s">
        <v>18</v>
      </c>
      <c r="E1035" s="20">
        <v>0.70833333333333304</v>
      </c>
      <c r="F1035" s="20">
        <v>0.875</v>
      </c>
      <c r="G1035" s="21">
        <v>8.0000000000000036</v>
      </c>
      <c r="H1035" s="21">
        <v>4.0000000000000036</v>
      </c>
      <c r="I1035" s="21">
        <v>4.0000000000000036</v>
      </c>
      <c r="J1035" s="24" t="s">
        <v>9</v>
      </c>
      <c r="K1035" s="23" t="s">
        <v>348</v>
      </c>
      <c r="L1035" s="59">
        <v>1</v>
      </c>
      <c r="M1035" s="8" t="s">
        <v>316</v>
      </c>
    </row>
    <row r="1036" spans="1:13" ht="15.75" x14ac:dyDescent="0.25">
      <c r="A1036" s="16" t="s">
        <v>0</v>
      </c>
      <c r="B1036" s="17" t="s">
        <v>69</v>
      </c>
      <c r="C1036" s="18">
        <v>43195</v>
      </c>
      <c r="D1036" s="19" t="s">
        <v>18</v>
      </c>
      <c r="E1036" s="20">
        <v>0.70833333333333304</v>
      </c>
      <c r="F1036" s="20">
        <v>0.875</v>
      </c>
      <c r="G1036" s="21">
        <v>8.0000000000000036</v>
      </c>
      <c r="H1036" s="21">
        <v>4.0000000000000036</v>
      </c>
      <c r="I1036" s="21">
        <v>4.0000000000000036</v>
      </c>
      <c r="J1036" s="24" t="s">
        <v>9</v>
      </c>
      <c r="K1036" s="23" t="s">
        <v>348</v>
      </c>
      <c r="L1036" s="59">
        <v>1</v>
      </c>
      <c r="M1036" s="8" t="s">
        <v>316</v>
      </c>
    </row>
    <row r="1037" spans="1:13" ht="15.75" x14ac:dyDescent="0.25">
      <c r="A1037" s="16" t="s">
        <v>0</v>
      </c>
      <c r="B1037" s="17" t="s">
        <v>10</v>
      </c>
      <c r="C1037" s="25">
        <v>43196</v>
      </c>
      <c r="D1037" s="19" t="s">
        <v>17</v>
      </c>
      <c r="E1037" s="20">
        <v>0.70833333333333304</v>
      </c>
      <c r="F1037" s="20">
        <v>0.875</v>
      </c>
      <c r="G1037" s="21">
        <v>8.0000000000000036</v>
      </c>
      <c r="H1037" s="21">
        <v>4.0000000000000036</v>
      </c>
      <c r="I1037" s="21">
        <v>4.0000000000000036</v>
      </c>
      <c r="J1037" s="24" t="s">
        <v>9</v>
      </c>
      <c r="K1037" s="23" t="s">
        <v>349</v>
      </c>
      <c r="L1037" s="59">
        <v>1</v>
      </c>
      <c r="M1037" s="8" t="s">
        <v>316</v>
      </c>
    </row>
    <row r="1038" spans="1:13" ht="15.75" x14ac:dyDescent="0.25">
      <c r="A1038" s="16" t="s">
        <v>0</v>
      </c>
      <c r="B1038" s="17" t="s">
        <v>12</v>
      </c>
      <c r="C1038" s="18">
        <v>43196</v>
      </c>
      <c r="D1038" s="19" t="s">
        <v>17</v>
      </c>
      <c r="E1038" s="20">
        <v>0.70833333333333304</v>
      </c>
      <c r="F1038" s="20">
        <v>0.85416666666666696</v>
      </c>
      <c r="G1038" s="21">
        <v>8.0000000000000036</v>
      </c>
      <c r="H1038" s="21">
        <v>3.5000000000000107</v>
      </c>
      <c r="I1038" s="21">
        <v>3.5000000000000107</v>
      </c>
      <c r="J1038" s="24" t="s">
        <v>9</v>
      </c>
      <c r="K1038" s="23" t="s">
        <v>349</v>
      </c>
      <c r="L1038" s="59">
        <v>1</v>
      </c>
      <c r="M1038" s="8" t="s">
        <v>316</v>
      </c>
    </row>
    <row r="1039" spans="1:13" ht="15.75" x14ac:dyDescent="0.25">
      <c r="A1039" s="16" t="s">
        <v>0</v>
      </c>
      <c r="B1039" s="17" t="s">
        <v>34</v>
      </c>
      <c r="C1039" s="18">
        <v>43196</v>
      </c>
      <c r="D1039" s="19" t="s">
        <v>17</v>
      </c>
      <c r="E1039" s="20">
        <v>0.70833333333333304</v>
      </c>
      <c r="F1039" s="20">
        <v>0.875</v>
      </c>
      <c r="G1039" s="21">
        <v>8.0000000000000036</v>
      </c>
      <c r="H1039" s="21">
        <v>4.0000000000000036</v>
      </c>
      <c r="I1039" s="21">
        <v>4.0000000000000036</v>
      </c>
      <c r="J1039" s="24" t="s">
        <v>9</v>
      </c>
      <c r="K1039" s="23" t="s">
        <v>349</v>
      </c>
      <c r="L1039" s="59">
        <v>1</v>
      </c>
      <c r="M1039" s="8" t="s">
        <v>316</v>
      </c>
    </row>
    <row r="1040" spans="1:13" ht="15.75" x14ac:dyDescent="0.25">
      <c r="A1040" s="16" t="s">
        <v>0</v>
      </c>
      <c r="B1040" s="17" t="s">
        <v>68</v>
      </c>
      <c r="C1040" s="18">
        <v>43196</v>
      </c>
      <c r="D1040" s="19" t="s">
        <v>17</v>
      </c>
      <c r="E1040" s="20">
        <v>0.70833333333333304</v>
      </c>
      <c r="F1040" s="20">
        <v>0.875</v>
      </c>
      <c r="G1040" s="21">
        <v>8.0000000000000036</v>
      </c>
      <c r="H1040" s="21">
        <v>4.0000000000000036</v>
      </c>
      <c r="I1040" s="21">
        <v>4.0000000000000036</v>
      </c>
      <c r="J1040" s="24" t="s">
        <v>9</v>
      </c>
      <c r="K1040" s="23" t="s">
        <v>349</v>
      </c>
      <c r="L1040" s="59">
        <v>1</v>
      </c>
      <c r="M1040" s="8" t="s">
        <v>316</v>
      </c>
    </row>
    <row r="1041" spans="1:13" ht="15.75" x14ac:dyDescent="0.25">
      <c r="A1041" s="16" t="s">
        <v>0</v>
      </c>
      <c r="B1041" s="17" t="s">
        <v>69</v>
      </c>
      <c r="C1041" s="18">
        <v>43196</v>
      </c>
      <c r="D1041" s="19" t="s">
        <v>17</v>
      </c>
      <c r="E1041" s="20">
        <v>0.70833333333333304</v>
      </c>
      <c r="F1041" s="20">
        <v>0.875</v>
      </c>
      <c r="G1041" s="21">
        <v>8.0000000000000036</v>
      </c>
      <c r="H1041" s="21">
        <v>4.0000000000000036</v>
      </c>
      <c r="I1041" s="21">
        <v>4.0000000000000036</v>
      </c>
      <c r="J1041" s="24" t="s">
        <v>9</v>
      </c>
      <c r="K1041" s="23" t="s">
        <v>349</v>
      </c>
      <c r="L1041" s="59">
        <v>1</v>
      </c>
      <c r="M1041" s="8" t="s">
        <v>316</v>
      </c>
    </row>
    <row r="1042" spans="1:13" ht="15.75" x14ac:dyDescent="0.25">
      <c r="A1042" s="16" t="s">
        <v>0</v>
      </c>
      <c r="B1042" s="17" t="s">
        <v>10</v>
      </c>
      <c r="C1042" s="25">
        <v>43207</v>
      </c>
      <c r="D1042" s="19" t="s">
        <v>16</v>
      </c>
      <c r="E1042" s="20">
        <v>0.72916666666666696</v>
      </c>
      <c r="F1042" s="20">
        <v>0.86458333333333304</v>
      </c>
      <c r="G1042" s="21">
        <v>8.0000000000000036</v>
      </c>
      <c r="H1042" s="21">
        <v>3.2499999999999822</v>
      </c>
      <c r="I1042" s="21">
        <v>3.2499999999999822</v>
      </c>
      <c r="J1042" s="24" t="s">
        <v>9</v>
      </c>
      <c r="K1042" s="23" t="s">
        <v>350</v>
      </c>
      <c r="L1042" s="59">
        <v>1</v>
      </c>
      <c r="M1042" s="8" t="s">
        <v>316</v>
      </c>
    </row>
    <row r="1043" spans="1:13" ht="15.75" x14ac:dyDescent="0.25">
      <c r="A1043" s="16" t="s">
        <v>0</v>
      </c>
      <c r="B1043" s="17" t="s">
        <v>12</v>
      </c>
      <c r="C1043" s="18">
        <v>43207</v>
      </c>
      <c r="D1043" s="19" t="s">
        <v>16</v>
      </c>
      <c r="E1043" s="20">
        <v>0.72916666666666696</v>
      </c>
      <c r="F1043" s="20">
        <v>0.86458333333333304</v>
      </c>
      <c r="G1043" s="21">
        <v>8.0000000000000036</v>
      </c>
      <c r="H1043" s="21">
        <v>3.2499999999999822</v>
      </c>
      <c r="I1043" s="21">
        <v>3.2499999999999822</v>
      </c>
      <c r="J1043" s="24" t="s">
        <v>9</v>
      </c>
      <c r="K1043" s="23" t="s">
        <v>350</v>
      </c>
      <c r="L1043" s="59">
        <v>1</v>
      </c>
      <c r="M1043" s="8" t="s">
        <v>316</v>
      </c>
    </row>
    <row r="1044" spans="1:13" ht="15.75" x14ac:dyDescent="0.25">
      <c r="A1044" s="16" t="s">
        <v>0</v>
      </c>
      <c r="B1044" s="17" t="s">
        <v>34</v>
      </c>
      <c r="C1044" s="18">
        <v>43207</v>
      </c>
      <c r="D1044" s="19" t="s">
        <v>16</v>
      </c>
      <c r="E1044" s="20">
        <v>0.72916666666666696</v>
      </c>
      <c r="F1044" s="20">
        <v>0.86458333333333304</v>
      </c>
      <c r="G1044" s="21">
        <v>8.0000000000000036</v>
      </c>
      <c r="H1044" s="21">
        <v>3.2499999999999822</v>
      </c>
      <c r="I1044" s="21">
        <v>3.2499999999999822</v>
      </c>
      <c r="J1044" s="24" t="s">
        <v>9</v>
      </c>
      <c r="K1044" s="23" t="s">
        <v>350</v>
      </c>
      <c r="L1044" s="59">
        <v>1</v>
      </c>
      <c r="M1044" s="8" t="s">
        <v>316</v>
      </c>
    </row>
    <row r="1045" spans="1:13" ht="15.75" x14ac:dyDescent="0.25">
      <c r="A1045" s="16" t="s">
        <v>0</v>
      </c>
      <c r="B1045" s="17" t="s">
        <v>69</v>
      </c>
      <c r="C1045" s="18">
        <v>43207</v>
      </c>
      <c r="D1045" s="19" t="s">
        <v>16</v>
      </c>
      <c r="E1045" s="20">
        <v>0.72916666666666696</v>
      </c>
      <c r="F1045" s="20">
        <v>0.86458333333333304</v>
      </c>
      <c r="G1045" s="21">
        <v>8.0000000000000036</v>
      </c>
      <c r="H1045" s="21">
        <v>3.2499999999999822</v>
      </c>
      <c r="I1045" s="21">
        <v>3.2499999999999822</v>
      </c>
      <c r="J1045" s="24" t="s">
        <v>9</v>
      </c>
      <c r="K1045" s="23" t="s">
        <v>350</v>
      </c>
      <c r="L1045" s="59">
        <v>1</v>
      </c>
      <c r="M1045" s="8" t="s">
        <v>316</v>
      </c>
    </row>
    <row r="1046" spans="1:13" ht="15.75" x14ac:dyDescent="0.25">
      <c r="A1046" s="16" t="s">
        <v>0</v>
      </c>
      <c r="B1046" s="17" t="s">
        <v>10</v>
      </c>
      <c r="C1046" s="25">
        <v>43214</v>
      </c>
      <c r="D1046" s="19" t="s">
        <v>16</v>
      </c>
      <c r="E1046" s="20">
        <v>0.72916666666666696</v>
      </c>
      <c r="F1046" s="20">
        <v>0.89583333333333304</v>
      </c>
      <c r="G1046" s="21">
        <v>8.0000000000000036</v>
      </c>
      <c r="H1046" s="21">
        <v>3.9999999999999822</v>
      </c>
      <c r="I1046" s="21">
        <v>3.9999999999999822</v>
      </c>
      <c r="J1046" s="24" t="s">
        <v>9</v>
      </c>
      <c r="K1046" s="23" t="s">
        <v>351</v>
      </c>
      <c r="L1046" s="59">
        <v>1</v>
      </c>
      <c r="M1046" s="8" t="s">
        <v>316</v>
      </c>
    </row>
    <row r="1047" spans="1:13" ht="15.75" x14ac:dyDescent="0.25">
      <c r="A1047" s="16" t="s">
        <v>0</v>
      </c>
      <c r="B1047" s="17" t="s">
        <v>68</v>
      </c>
      <c r="C1047" s="18">
        <v>43214</v>
      </c>
      <c r="D1047" s="19" t="s">
        <v>16</v>
      </c>
      <c r="E1047" s="20">
        <v>0.72916666666666696</v>
      </c>
      <c r="F1047" s="20">
        <v>0.89583333333333304</v>
      </c>
      <c r="G1047" s="21">
        <v>8.0000000000000036</v>
      </c>
      <c r="H1047" s="21">
        <v>3.9999999999999822</v>
      </c>
      <c r="I1047" s="21">
        <v>3.9999999999999822</v>
      </c>
      <c r="J1047" s="24" t="s">
        <v>9</v>
      </c>
      <c r="K1047" s="23" t="s">
        <v>351</v>
      </c>
      <c r="L1047" s="59">
        <v>1</v>
      </c>
      <c r="M1047" s="8" t="s">
        <v>316</v>
      </c>
    </row>
    <row r="1048" spans="1:13" ht="15.75" x14ac:dyDescent="0.25">
      <c r="A1048" s="16" t="s">
        <v>0</v>
      </c>
      <c r="B1048" s="17" t="s">
        <v>69</v>
      </c>
      <c r="C1048" s="18">
        <v>43214</v>
      </c>
      <c r="D1048" s="19" t="s">
        <v>16</v>
      </c>
      <c r="E1048" s="20">
        <v>0.72916666666666696</v>
      </c>
      <c r="F1048" s="20">
        <v>0.89583333333333304</v>
      </c>
      <c r="G1048" s="21">
        <v>8.0000000000000036</v>
      </c>
      <c r="H1048" s="21">
        <v>3.9999999999999822</v>
      </c>
      <c r="I1048" s="21">
        <v>3.9999999999999822</v>
      </c>
      <c r="J1048" s="24" t="s">
        <v>9</v>
      </c>
      <c r="K1048" s="23" t="s">
        <v>351</v>
      </c>
      <c r="L1048" s="59">
        <v>1</v>
      </c>
      <c r="M1048" s="8" t="s">
        <v>316</v>
      </c>
    </row>
    <row r="1049" spans="1:13" ht="15.75" x14ac:dyDescent="0.25">
      <c r="A1049" s="16" t="s">
        <v>0</v>
      </c>
      <c r="B1049" s="17" t="s">
        <v>34</v>
      </c>
      <c r="C1049" s="18">
        <v>43216</v>
      </c>
      <c r="D1049" s="19" t="s">
        <v>18</v>
      </c>
      <c r="E1049" s="20">
        <v>0.64583333333333304</v>
      </c>
      <c r="F1049" s="20">
        <v>0.8125</v>
      </c>
      <c r="G1049" s="21">
        <v>8.0000000000000036</v>
      </c>
      <c r="H1049" s="21">
        <v>4.0000000000000036</v>
      </c>
      <c r="I1049" s="21">
        <v>4.0000000000000036</v>
      </c>
      <c r="J1049" s="24" t="s">
        <v>9</v>
      </c>
      <c r="K1049" s="23" t="s">
        <v>352</v>
      </c>
      <c r="L1049" s="59">
        <v>1</v>
      </c>
      <c r="M1049" s="8" t="s">
        <v>316</v>
      </c>
    </row>
    <row r="1050" spans="1:13" ht="15.75" x14ac:dyDescent="0.25">
      <c r="A1050" s="16" t="s">
        <v>0</v>
      </c>
      <c r="B1050" s="17" t="s">
        <v>10</v>
      </c>
      <c r="C1050" s="25">
        <v>43217</v>
      </c>
      <c r="D1050" s="19" t="s">
        <v>17</v>
      </c>
      <c r="E1050" s="20">
        <v>0.70833333333333304</v>
      </c>
      <c r="F1050" s="20">
        <v>0.875</v>
      </c>
      <c r="G1050" s="21">
        <v>8.0000000000000036</v>
      </c>
      <c r="H1050" s="21">
        <v>4.0000000000000036</v>
      </c>
      <c r="I1050" s="21">
        <v>4.0000000000000036</v>
      </c>
      <c r="J1050" s="24" t="s">
        <v>9</v>
      </c>
      <c r="K1050" s="23" t="s">
        <v>353</v>
      </c>
      <c r="L1050" s="59">
        <v>1</v>
      </c>
      <c r="M1050" s="8" t="s">
        <v>316</v>
      </c>
    </row>
    <row r="1051" spans="1:13" ht="15.75" x14ac:dyDescent="0.25">
      <c r="A1051" s="16" t="s">
        <v>0</v>
      </c>
      <c r="B1051" s="17" t="s">
        <v>12</v>
      </c>
      <c r="C1051" s="18">
        <v>43217</v>
      </c>
      <c r="D1051" s="19" t="s">
        <v>17</v>
      </c>
      <c r="E1051" s="20">
        <v>0.64583333333333304</v>
      </c>
      <c r="F1051" s="20">
        <v>0.8125</v>
      </c>
      <c r="G1051" s="21">
        <v>8.0000000000000036</v>
      </c>
      <c r="H1051" s="21">
        <v>4.0000000000000036</v>
      </c>
      <c r="I1051" s="21">
        <v>4.0000000000000036</v>
      </c>
      <c r="J1051" s="24" t="s">
        <v>9</v>
      </c>
      <c r="K1051" s="23" t="s">
        <v>354</v>
      </c>
      <c r="L1051" s="59">
        <v>1</v>
      </c>
      <c r="M1051" s="8" t="s">
        <v>316</v>
      </c>
    </row>
    <row r="1052" spans="1:13" ht="15.75" x14ac:dyDescent="0.25">
      <c r="A1052" s="16" t="s">
        <v>0</v>
      </c>
      <c r="B1052" s="17" t="s">
        <v>34</v>
      </c>
      <c r="C1052" s="18">
        <v>43217</v>
      </c>
      <c r="D1052" s="19" t="s">
        <v>17</v>
      </c>
      <c r="E1052" s="20">
        <v>0.70833333333333304</v>
      </c>
      <c r="F1052" s="20">
        <v>0.875</v>
      </c>
      <c r="G1052" s="21">
        <v>8.0000000000000036</v>
      </c>
      <c r="H1052" s="21">
        <v>4.0000000000000036</v>
      </c>
      <c r="I1052" s="21">
        <v>4.0000000000000036</v>
      </c>
      <c r="J1052" s="24" t="s">
        <v>9</v>
      </c>
      <c r="K1052" s="23" t="s">
        <v>354</v>
      </c>
      <c r="L1052" s="59">
        <v>1</v>
      </c>
      <c r="M1052" s="8" t="s">
        <v>316</v>
      </c>
    </row>
    <row r="1053" spans="1:13" ht="15.75" x14ac:dyDescent="0.25">
      <c r="A1053" s="16" t="s">
        <v>0</v>
      </c>
      <c r="B1053" s="17" t="s">
        <v>10</v>
      </c>
      <c r="C1053" s="25">
        <v>43218</v>
      </c>
      <c r="D1053" s="19" t="s">
        <v>24</v>
      </c>
      <c r="E1053" s="20">
        <v>0.64583333333333304</v>
      </c>
      <c r="F1053" s="20">
        <v>0.8125</v>
      </c>
      <c r="G1053" s="21">
        <v>8.0000000000000036</v>
      </c>
      <c r="H1053" s="21">
        <v>4.0000000000000036</v>
      </c>
      <c r="I1053" s="21">
        <v>12.000000000000007</v>
      </c>
      <c r="J1053" s="24" t="s">
        <v>46</v>
      </c>
      <c r="K1053" s="23" t="s">
        <v>355</v>
      </c>
      <c r="L1053" s="59">
        <v>1</v>
      </c>
      <c r="M1053" s="8" t="s">
        <v>316</v>
      </c>
    </row>
    <row r="1054" spans="1:13" ht="15.75" x14ac:dyDescent="0.25">
      <c r="A1054" s="16" t="s">
        <v>0</v>
      </c>
      <c r="B1054" s="17" t="s">
        <v>68</v>
      </c>
      <c r="C1054" s="18">
        <v>43218</v>
      </c>
      <c r="D1054" s="19" t="s">
        <v>24</v>
      </c>
      <c r="E1054" s="20">
        <v>0.70833333333333304</v>
      </c>
      <c r="F1054" s="20">
        <v>0.875</v>
      </c>
      <c r="G1054" s="21">
        <v>8.0000000000000036</v>
      </c>
      <c r="H1054" s="21">
        <v>4.0000000000000036</v>
      </c>
      <c r="I1054" s="21">
        <v>12.000000000000007</v>
      </c>
      <c r="J1054" s="24" t="s">
        <v>46</v>
      </c>
      <c r="K1054" s="23" t="s">
        <v>355</v>
      </c>
      <c r="L1054" s="59">
        <v>1</v>
      </c>
      <c r="M1054" s="8" t="s">
        <v>316</v>
      </c>
    </row>
    <row r="1055" spans="1:13" ht="15.75" x14ac:dyDescent="0.25">
      <c r="A1055" s="16" t="s">
        <v>0</v>
      </c>
      <c r="B1055" s="17" t="s">
        <v>69</v>
      </c>
      <c r="C1055" s="18">
        <v>43218</v>
      </c>
      <c r="D1055" s="19" t="s">
        <v>24</v>
      </c>
      <c r="E1055" s="20">
        <v>0.70833333333333304</v>
      </c>
      <c r="F1055" s="20">
        <v>0.875</v>
      </c>
      <c r="G1055" s="21">
        <v>8.0000000000000036</v>
      </c>
      <c r="H1055" s="21">
        <v>4.0000000000000036</v>
      </c>
      <c r="I1055" s="21">
        <v>12.000000000000007</v>
      </c>
      <c r="J1055" s="24" t="s">
        <v>46</v>
      </c>
      <c r="K1055" s="23" t="s">
        <v>355</v>
      </c>
      <c r="L1055" s="59">
        <v>1</v>
      </c>
      <c r="M1055" s="8" t="s">
        <v>316</v>
      </c>
    </row>
    <row r="1056" spans="1:13" ht="15.75" x14ac:dyDescent="0.25">
      <c r="A1056" s="16" t="s">
        <v>0</v>
      </c>
      <c r="B1056" s="17" t="s">
        <v>10</v>
      </c>
      <c r="C1056" s="25">
        <v>43222</v>
      </c>
      <c r="D1056" s="19" t="s">
        <v>19</v>
      </c>
      <c r="E1056" s="20">
        <v>0.70833333333333304</v>
      </c>
      <c r="F1056" s="20">
        <v>0.875</v>
      </c>
      <c r="G1056" s="21">
        <v>8.0000000000000036</v>
      </c>
      <c r="H1056" s="21">
        <v>4.0000000000000036</v>
      </c>
      <c r="I1056" s="21">
        <v>4.0000000000000036</v>
      </c>
      <c r="J1056" s="24" t="s">
        <v>9</v>
      </c>
      <c r="K1056" s="23" t="s">
        <v>363</v>
      </c>
      <c r="L1056" s="59">
        <v>1</v>
      </c>
      <c r="M1056" s="8" t="s">
        <v>317</v>
      </c>
    </row>
    <row r="1057" spans="1:13" ht="15.75" x14ac:dyDescent="0.25">
      <c r="A1057" s="16" t="s">
        <v>0</v>
      </c>
      <c r="B1057" s="17" t="s">
        <v>12</v>
      </c>
      <c r="C1057" s="18">
        <v>43222</v>
      </c>
      <c r="D1057" s="19" t="s">
        <v>19</v>
      </c>
      <c r="E1057" s="20">
        <v>0.70833333333333304</v>
      </c>
      <c r="F1057" s="20">
        <v>0.875</v>
      </c>
      <c r="G1057" s="21">
        <v>8.0000000000000036</v>
      </c>
      <c r="H1057" s="21">
        <v>4.0000000000000036</v>
      </c>
      <c r="I1057" s="21">
        <v>4.0000000000000036</v>
      </c>
      <c r="J1057" s="24" t="s">
        <v>9</v>
      </c>
      <c r="K1057" s="23" t="s">
        <v>363</v>
      </c>
      <c r="L1057" s="59">
        <v>1</v>
      </c>
      <c r="M1057" s="8" t="s">
        <v>317</v>
      </c>
    </row>
    <row r="1058" spans="1:13" ht="15.75" x14ac:dyDescent="0.25">
      <c r="A1058" s="16" t="s">
        <v>0</v>
      </c>
      <c r="B1058" s="17" t="s">
        <v>69</v>
      </c>
      <c r="C1058" s="18">
        <v>43222</v>
      </c>
      <c r="D1058" s="19" t="s">
        <v>19</v>
      </c>
      <c r="E1058" s="20">
        <v>0.64583333333333304</v>
      </c>
      <c r="F1058" s="20">
        <v>0.79166666666666696</v>
      </c>
      <c r="G1058" s="21">
        <v>8.0000000000000036</v>
      </c>
      <c r="H1058" s="21">
        <v>3.5000000000000107</v>
      </c>
      <c r="I1058" s="21">
        <v>3.5000000000000107</v>
      </c>
      <c r="J1058" s="24" t="s">
        <v>9</v>
      </c>
      <c r="K1058" s="23" t="s">
        <v>363</v>
      </c>
      <c r="L1058" s="59">
        <v>1</v>
      </c>
      <c r="M1058" s="8" t="s">
        <v>317</v>
      </c>
    </row>
    <row r="1059" spans="1:13" ht="15.75" x14ac:dyDescent="0.25">
      <c r="A1059" s="16" t="s">
        <v>0</v>
      </c>
      <c r="B1059" s="17" t="s">
        <v>10</v>
      </c>
      <c r="C1059" s="25">
        <v>43223</v>
      </c>
      <c r="D1059" s="19" t="s">
        <v>18</v>
      </c>
      <c r="E1059" s="20">
        <v>0.70833333333333304</v>
      </c>
      <c r="F1059" s="20">
        <v>0.875</v>
      </c>
      <c r="G1059" s="21">
        <v>8.0000000000000036</v>
      </c>
      <c r="H1059" s="21">
        <v>4.0000000000000036</v>
      </c>
      <c r="I1059" s="21">
        <v>4.0000000000000036</v>
      </c>
      <c r="J1059" s="24" t="s">
        <v>9</v>
      </c>
      <c r="K1059" s="23" t="s">
        <v>364</v>
      </c>
      <c r="L1059" s="59">
        <v>1</v>
      </c>
      <c r="M1059" s="8" t="s">
        <v>317</v>
      </c>
    </row>
    <row r="1060" spans="1:13" ht="15.75" x14ac:dyDescent="0.25">
      <c r="A1060" s="16" t="s">
        <v>0</v>
      </c>
      <c r="B1060" s="17" t="s">
        <v>34</v>
      </c>
      <c r="C1060" s="18">
        <v>43223</v>
      </c>
      <c r="D1060" s="19" t="s">
        <v>18</v>
      </c>
      <c r="E1060" s="20">
        <v>0.64583333333333304</v>
      </c>
      <c r="F1060" s="20">
        <v>0.79166666666666696</v>
      </c>
      <c r="G1060" s="21">
        <v>8.0000000000000036</v>
      </c>
      <c r="H1060" s="21">
        <v>3.5000000000000107</v>
      </c>
      <c r="I1060" s="21">
        <v>3.5000000000000107</v>
      </c>
      <c r="J1060" s="24" t="s">
        <v>9</v>
      </c>
      <c r="K1060" s="23" t="s">
        <v>364</v>
      </c>
      <c r="L1060" s="59">
        <v>1</v>
      </c>
      <c r="M1060" s="8" t="s">
        <v>317</v>
      </c>
    </row>
    <row r="1061" spans="1:13" ht="15.75" x14ac:dyDescent="0.25">
      <c r="A1061" s="16" t="s">
        <v>0</v>
      </c>
      <c r="B1061" s="17" t="s">
        <v>68</v>
      </c>
      <c r="C1061" s="18">
        <v>43223</v>
      </c>
      <c r="D1061" s="19" t="s">
        <v>18</v>
      </c>
      <c r="E1061" s="20">
        <v>0.70833333333333304</v>
      </c>
      <c r="F1061" s="20">
        <v>0.875</v>
      </c>
      <c r="G1061" s="21">
        <v>8.0000000000000036</v>
      </c>
      <c r="H1061" s="21">
        <v>4.0000000000000036</v>
      </c>
      <c r="I1061" s="21">
        <v>4.0000000000000036</v>
      </c>
      <c r="J1061" s="24" t="s">
        <v>9</v>
      </c>
      <c r="K1061" s="23" t="s">
        <v>364</v>
      </c>
      <c r="L1061" s="59">
        <v>1</v>
      </c>
      <c r="M1061" s="8" t="s">
        <v>317</v>
      </c>
    </row>
    <row r="1062" spans="1:13" ht="15.75" x14ac:dyDescent="0.25">
      <c r="A1062" s="16" t="s">
        <v>0</v>
      </c>
      <c r="B1062" s="17" t="s">
        <v>69</v>
      </c>
      <c r="C1062" s="18">
        <v>43223</v>
      </c>
      <c r="D1062" s="19" t="s">
        <v>18</v>
      </c>
      <c r="E1062" s="20">
        <v>0.70833333333333304</v>
      </c>
      <c r="F1062" s="20">
        <v>0.875</v>
      </c>
      <c r="G1062" s="21">
        <v>8.0000000000000036</v>
      </c>
      <c r="H1062" s="21">
        <v>4.0000000000000036</v>
      </c>
      <c r="I1062" s="21">
        <v>4.0000000000000036</v>
      </c>
      <c r="J1062" s="24" t="s">
        <v>9</v>
      </c>
      <c r="K1062" s="23" t="s">
        <v>364</v>
      </c>
      <c r="L1062" s="59">
        <v>1</v>
      </c>
      <c r="M1062" s="8" t="s">
        <v>317</v>
      </c>
    </row>
    <row r="1063" spans="1:13" ht="15.75" x14ac:dyDescent="0.25">
      <c r="A1063" s="16" t="s">
        <v>0</v>
      </c>
      <c r="B1063" s="17" t="s">
        <v>12</v>
      </c>
      <c r="C1063" s="18">
        <v>43224</v>
      </c>
      <c r="D1063" s="19" t="s">
        <v>17</v>
      </c>
      <c r="E1063" s="20">
        <v>0.70833333333333304</v>
      </c>
      <c r="F1063" s="20">
        <v>0.875</v>
      </c>
      <c r="G1063" s="21">
        <v>8.0000000000000036</v>
      </c>
      <c r="H1063" s="21">
        <v>4.0000000000000036</v>
      </c>
      <c r="I1063" s="21">
        <v>4.0000000000000036</v>
      </c>
      <c r="J1063" s="24" t="s">
        <v>9</v>
      </c>
      <c r="K1063" s="23" t="s">
        <v>365</v>
      </c>
      <c r="L1063" s="59">
        <v>1</v>
      </c>
      <c r="M1063" s="8" t="s">
        <v>317</v>
      </c>
    </row>
    <row r="1064" spans="1:13" ht="15.75" x14ac:dyDescent="0.25">
      <c r="A1064" s="16" t="s">
        <v>0</v>
      </c>
      <c r="B1064" s="17" t="s">
        <v>34</v>
      </c>
      <c r="C1064" s="18">
        <v>43224</v>
      </c>
      <c r="D1064" s="19" t="s">
        <v>17</v>
      </c>
      <c r="E1064" s="20">
        <v>0.70833333333333304</v>
      </c>
      <c r="F1064" s="20">
        <v>0.875</v>
      </c>
      <c r="G1064" s="21">
        <v>8.0000000000000036</v>
      </c>
      <c r="H1064" s="21">
        <v>4.0000000000000036</v>
      </c>
      <c r="I1064" s="21">
        <v>4.0000000000000036</v>
      </c>
      <c r="J1064" s="24" t="s">
        <v>9</v>
      </c>
      <c r="K1064" s="23" t="s">
        <v>365</v>
      </c>
      <c r="L1064" s="59">
        <v>1</v>
      </c>
      <c r="M1064" s="8" t="s">
        <v>317</v>
      </c>
    </row>
    <row r="1065" spans="1:13" ht="15.75" x14ac:dyDescent="0.25">
      <c r="A1065" s="16" t="s">
        <v>0</v>
      </c>
      <c r="B1065" s="17" t="s">
        <v>68</v>
      </c>
      <c r="C1065" s="18">
        <v>43224</v>
      </c>
      <c r="D1065" s="19" t="s">
        <v>17</v>
      </c>
      <c r="E1065" s="20">
        <v>0.70833333333333304</v>
      </c>
      <c r="F1065" s="20">
        <v>0.875</v>
      </c>
      <c r="G1065" s="21">
        <v>8.0000000000000036</v>
      </c>
      <c r="H1065" s="21">
        <v>4.0000000000000036</v>
      </c>
      <c r="I1065" s="21">
        <v>4.0000000000000036</v>
      </c>
      <c r="J1065" s="24" t="s">
        <v>9</v>
      </c>
      <c r="K1065" s="23" t="s">
        <v>365</v>
      </c>
      <c r="L1065" s="59">
        <v>1</v>
      </c>
      <c r="M1065" s="8" t="s">
        <v>317</v>
      </c>
    </row>
    <row r="1066" spans="1:13" ht="15.75" x14ac:dyDescent="0.25">
      <c r="A1066" s="16" t="s">
        <v>0</v>
      </c>
      <c r="B1066" s="17" t="s">
        <v>69</v>
      </c>
      <c r="C1066" s="18">
        <v>43224</v>
      </c>
      <c r="D1066" s="19" t="s">
        <v>17</v>
      </c>
      <c r="E1066" s="20">
        <v>0.64583333333333304</v>
      </c>
      <c r="F1066" s="20">
        <v>0.79166666666666696</v>
      </c>
      <c r="G1066" s="21">
        <v>8.0000000000000036</v>
      </c>
      <c r="H1066" s="21">
        <v>3.5000000000000107</v>
      </c>
      <c r="I1066" s="21">
        <v>3.5000000000000107</v>
      </c>
      <c r="J1066" s="24" t="s">
        <v>9</v>
      </c>
      <c r="K1066" s="23" t="s">
        <v>365</v>
      </c>
      <c r="L1066" s="59">
        <v>1</v>
      </c>
      <c r="M1066" s="8" t="s">
        <v>317</v>
      </c>
    </row>
    <row r="1067" spans="1:13" ht="15.75" x14ac:dyDescent="0.25">
      <c r="A1067" s="16" t="s">
        <v>0</v>
      </c>
      <c r="B1067" s="17" t="s">
        <v>10</v>
      </c>
      <c r="C1067" s="25">
        <v>43227</v>
      </c>
      <c r="D1067" s="19" t="s">
        <v>21</v>
      </c>
      <c r="E1067" s="20">
        <v>0.72916666666666696</v>
      </c>
      <c r="F1067" s="20">
        <v>0.89583333333333304</v>
      </c>
      <c r="G1067" s="21">
        <v>8.0000000000000036</v>
      </c>
      <c r="H1067" s="21">
        <v>3.9999999999999822</v>
      </c>
      <c r="I1067" s="21">
        <v>3.9999999999999822</v>
      </c>
      <c r="J1067" s="24" t="s">
        <v>9</v>
      </c>
      <c r="K1067" s="23" t="s">
        <v>366</v>
      </c>
      <c r="L1067" s="59">
        <v>1</v>
      </c>
      <c r="M1067" s="8" t="s">
        <v>317</v>
      </c>
    </row>
    <row r="1068" spans="1:13" ht="15.75" x14ac:dyDescent="0.25">
      <c r="A1068" s="16" t="s">
        <v>0</v>
      </c>
      <c r="B1068" s="17" t="s">
        <v>68</v>
      </c>
      <c r="C1068" s="18">
        <v>43227</v>
      </c>
      <c r="D1068" s="19" t="s">
        <v>21</v>
      </c>
      <c r="E1068" s="20">
        <v>0.72916666666666696</v>
      </c>
      <c r="F1068" s="20">
        <v>0.89583333333333304</v>
      </c>
      <c r="G1068" s="21">
        <v>8.0000000000000036</v>
      </c>
      <c r="H1068" s="21">
        <v>3.9999999999999822</v>
      </c>
      <c r="I1068" s="21">
        <v>3.9999999999999822</v>
      </c>
      <c r="J1068" s="24" t="s">
        <v>9</v>
      </c>
      <c r="K1068" s="23" t="s">
        <v>366</v>
      </c>
      <c r="L1068" s="59">
        <v>1</v>
      </c>
      <c r="M1068" s="8" t="s">
        <v>317</v>
      </c>
    </row>
    <row r="1069" spans="1:13" ht="15.75" x14ac:dyDescent="0.25">
      <c r="A1069" s="16" t="s">
        <v>0</v>
      </c>
      <c r="B1069" s="17" t="s">
        <v>69</v>
      </c>
      <c r="C1069" s="18">
        <v>43227</v>
      </c>
      <c r="D1069" s="19" t="s">
        <v>21</v>
      </c>
      <c r="E1069" s="20">
        <v>0.72916666666666696</v>
      </c>
      <c r="F1069" s="20">
        <v>0.89583333333333304</v>
      </c>
      <c r="G1069" s="21">
        <v>8.0000000000000036</v>
      </c>
      <c r="H1069" s="21">
        <v>3.9999999999999822</v>
      </c>
      <c r="I1069" s="21">
        <v>3.9999999999999822</v>
      </c>
      <c r="J1069" s="24" t="s">
        <v>9</v>
      </c>
      <c r="K1069" s="23" t="s">
        <v>366</v>
      </c>
      <c r="L1069" s="59">
        <v>1</v>
      </c>
      <c r="M1069" s="8" t="s">
        <v>317</v>
      </c>
    </row>
    <row r="1070" spans="1:13" ht="15.75" x14ac:dyDescent="0.25">
      <c r="A1070" s="16" t="s">
        <v>0</v>
      </c>
      <c r="B1070" s="17" t="s">
        <v>361</v>
      </c>
      <c r="C1070" s="18">
        <v>43227</v>
      </c>
      <c r="D1070" s="19" t="s">
        <v>21</v>
      </c>
      <c r="E1070" s="20">
        <v>0.72916666666666696</v>
      </c>
      <c r="F1070" s="20">
        <v>0.89583333333333304</v>
      </c>
      <c r="G1070" s="21">
        <v>8.0000000000000036</v>
      </c>
      <c r="H1070" s="21">
        <v>3.9999999999999822</v>
      </c>
      <c r="I1070" s="21">
        <v>3.9999999999999822</v>
      </c>
      <c r="J1070" s="24" t="s">
        <v>9</v>
      </c>
      <c r="K1070" s="23" t="s">
        <v>366</v>
      </c>
      <c r="L1070" s="59">
        <v>1</v>
      </c>
      <c r="M1070" s="8" t="s">
        <v>317</v>
      </c>
    </row>
    <row r="1071" spans="1:13" ht="15.75" x14ac:dyDescent="0.25">
      <c r="A1071" s="16" t="s">
        <v>0</v>
      </c>
      <c r="B1071" s="17" t="s">
        <v>367</v>
      </c>
      <c r="C1071" s="18">
        <v>43227</v>
      </c>
      <c r="D1071" s="19" t="s">
        <v>21</v>
      </c>
      <c r="E1071" s="20">
        <v>0.72916666666666696</v>
      </c>
      <c r="F1071" s="20">
        <v>0.89583333333333304</v>
      </c>
      <c r="G1071" s="21">
        <v>8.0000000000000036</v>
      </c>
      <c r="H1071" s="21">
        <v>3.9999999999999822</v>
      </c>
      <c r="I1071" s="21">
        <v>3.9999999999999822</v>
      </c>
      <c r="J1071" s="24" t="s">
        <v>9</v>
      </c>
      <c r="K1071" s="23" t="s">
        <v>366</v>
      </c>
      <c r="L1071" s="59">
        <v>1</v>
      </c>
      <c r="M1071" s="8" t="s">
        <v>317</v>
      </c>
    </row>
    <row r="1072" spans="1:13" ht="15.75" x14ac:dyDescent="0.25">
      <c r="A1072" s="16" t="s">
        <v>0</v>
      </c>
      <c r="B1072" s="17" t="s">
        <v>362</v>
      </c>
      <c r="C1072" s="18">
        <v>43227</v>
      </c>
      <c r="D1072" s="19" t="s">
        <v>21</v>
      </c>
      <c r="E1072" s="20">
        <v>0.72916666666666696</v>
      </c>
      <c r="F1072" s="20">
        <v>0.89583333333333304</v>
      </c>
      <c r="G1072" s="21">
        <v>8.0000000000000036</v>
      </c>
      <c r="H1072" s="21">
        <v>3.9999999999999822</v>
      </c>
      <c r="I1072" s="21">
        <v>3.9999999999999822</v>
      </c>
      <c r="J1072" s="24" t="s">
        <v>9</v>
      </c>
      <c r="K1072" s="23" t="s">
        <v>366</v>
      </c>
      <c r="L1072" s="59">
        <v>1</v>
      </c>
      <c r="M1072" s="8" t="s">
        <v>317</v>
      </c>
    </row>
    <row r="1073" spans="1:13" ht="15.75" x14ac:dyDescent="0.25">
      <c r="A1073" s="16" t="s">
        <v>0</v>
      </c>
      <c r="B1073" s="17" t="s">
        <v>10</v>
      </c>
      <c r="C1073" s="25">
        <v>43231</v>
      </c>
      <c r="D1073" s="19" t="s">
        <v>17</v>
      </c>
      <c r="E1073" s="20">
        <v>0.72916666666666696</v>
      </c>
      <c r="F1073" s="20">
        <v>0.95833333333333304</v>
      </c>
      <c r="G1073" s="21">
        <v>8.0000000000000036</v>
      </c>
      <c r="H1073" s="21">
        <v>5.4999999999999822</v>
      </c>
      <c r="I1073" s="21">
        <v>5.4999999999999822</v>
      </c>
      <c r="J1073" s="24" t="s">
        <v>33</v>
      </c>
      <c r="K1073" s="23" t="s">
        <v>368</v>
      </c>
      <c r="L1073" s="59">
        <v>1</v>
      </c>
      <c r="M1073" s="8" t="s">
        <v>317</v>
      </c>
    </row>
    <row r="1074" spans="1:13" ht="15.75" x14ac:dyDescent="0.25">
      <c r="A1074" s="16" t="s">
        <v>0</v>
      </c>
      <c r="B1074" s="17" t="s">
        <v>12</v>
      </c>
      <c r="C1074" s="18">
        <v>43231</v>
      </c>
      <c r="D1074" s="19" t="s">
        <v>17</v>
      </c>
      <c r="E1074" s="20">
        <v>0.72916666666666696</v>
      </c>
      <c r="F1074" s="20">
        <v>0.95833333333333304</v>
      </c>
      <c r="G1074" s="21">
        <v>8.0000000000000036</v>
      </c>
      <c r="H1074" s="21">
        <v>5.4999999999999822</v>
      </c>
      <c r="I1074" s="21">
        <v>5.4999999999999822</v>
      </c>
      <c r="J1074" s="24" t="s">
        <v>33</v>
      </c>
      <c r="K1074" s="23" t="s">
        <v>368</v>
      </c>
      <c r="L1074" s="59">
        <v>1</v>
      </c>
      <c r="M1074" s="8" t="s">
        <v>317</v>
      </c>
    </row>
    <row r="1075" spans="1:13" ht="15.75" x14ac:dyDescent="0.25">
      <c r="A1075" s="16" t="s">
        <v>0</v>
      </c>
      <c r="B1075" s="17" t="s">
        <v>34</v>
      </c>
      <c r="C1075" s="18">
        <v>43231</v>
      </c>
      <c r="D1075" s="19" t="s">
        <v>17</v>
      </c>
      <c r="E1075" s="20">
        <v>0.72916666666666696</v>
      </c>
      <c r="F1075" s="20">
        <v>0.95833333333333304</v>
      </c>
      <c r="G1075" s="21">
        <v>8.0000000000000036</v>
      </c>
      <c r="H1075" s="21">
        <v>5.4999999999999822</v>
      </c>
      <c r="I1075" s="21">
        <v>5.4999999999999822</v>
      </c>
      <c r="J1075" s="24" t="s">
        <v>33</v>
      </c>
      <c r="K1075" s="23" t="s">
        <v>368</v>
      </c>
      <c r="L1075" s="59">
        <v>1</v>
      </c>
      <c r="M1075" s="8" t="s">
        <v>317</v>
      </c>
    </row>
    <row r="1076" spans="1:13" ht="15.75" x14ac:dyDescent="0.25">
      <c r="A1076" s="16" t="s">
        <v>0</v>
      </c>
      <c r="B1076" s="17" t="s">
        <v>68</v>
      </c>
      <c r="C1076" s="18">
        <v>43231</v>
      </c>
      <c r="D1076" s="19" t="s">
        <v>17</v>
      </c>
      <c r="E1076" s="20">
        <v>0.72916666666666696</v>
      </c>
      <c r="F1076" s="20">
        <v>0.95833333333333304</v>
      </c>
      <c r="G1076" s="21">
        <v>8.0000000000000036</v>
      </c>
      <c r="H1076" s="21">
        <v>5.4999999999999822</v>
      </c>
      <c r="I1076" s="21">
        <v>5.4999999999999822</v>
      </c>
      <c r="J1076" s="24" t="s">
        <v>33</v>
      </c>
      <c r="K1076" s="23" t="s">
        <v>368</v>
      </c>
      <c r="L1076" s="59">
        <v>1</v>
      </c>
      <c r="M1076" s="8" t="s">
        <v>317</v>
      </c>
    </row>
    <row r="1077" spans="1:13" ht="15.75" x14ac:dyDescent="0.25">
      <c r="A1077" s="16" t="s">
        <v>0</v>
      </c>
      <c r="B1077" s="17" t="s">
        <v>361</v>
      </c>
      <c r="C1077" s="18">
        <v>43231</v>
      </c>
      <c r="D1077" s="19" t="s">
        <v>17</v>
      </c>
      <c r="E1077" s="20">
        <v>0.72916666666666696</v>
      </c>
      <c r="F1077" s="20">
        <v>0.95833333333333304</v>
      </c>
      <c r="G1077" s="21">
        <v>8.0000000000000036</v>
      </c>
      <c r="H1077" s="21">
        <v>5.4999999999999822</v>
      </c>
      <c r="I1077" s="21">
        <v>5.4999999999999822</v>
      </c>
      <c r="J1077" s="24" t="s">
        <v>33</v>
      </c>
      <c r="K1077" s="23" t="s">
        <v>368</v>
      </c>
      <c r="L1077" s="59">
        <v>1</v>
      </c>
      <c r="M1077" s="8" t="s">
        <v>317</v>
      </c>
    </row>
    <row r="1078" spans="1:13" ht="15.75" x14ac:dyDescent="0.25">
      <c r="A1078" s="16" t="s">
        <v>0</v>
      </c>
      <c r="B1078" s="17" t="s">
        <v>367</v>
      </c>
      <c r="C1078" s="18">
        <v>43231</v>
      </c>
      <c r="D1078" s="19" t="s">
        <v>17</v>
      </c>
      <c r="E1078" s="20">
        <v>0.72916666666666696</v>
      </c>
      <c r="F1078" s="20">
        <v>0.95833333333333304</v>
      </c>
      <c r="G1078" s="21">
        <v>8.0000000000000036</v>
      </c>
      <c r="H1078" s="21">
        <v>5.4999999999999822</v>
      </c>
      <c r="I1078" s="21">
        <v>5.4999999999999822</v>
      </c>
      <c r="J1078" s="24" t="s">
        <v>33</v>
      </c>
      <c r="K1078" s="23" t="s">
        <v>368</v>
      </c>
      <c r="L1078" s="59">
        <v>1</v>
      </c>
      <c r="M1078" s="8" t="s">
        <v>317</v>
      </c>
    </row>
    <row r="1079" spans="1:13" ht="15.75" x14ac:dyDescent="0.25">
      <c r="A1079" s="16" t="s">
        <v>0</v>
      </c>
      <c r="B1079" s="17" t="s">
        <v>362</v>
      </c>
      <c r="C1079" s="18">
        <v>43231</v>
      </c>
      <c r="D1079" s="19" t="s">
        <v>17</v>
      </c>
      <c r="E1079" s="20">
        <v>0.72916666666666696</v>
      </c>
      <c r="F1079" s="20">
        <v>0.95833333333333304</v>
      </c>
      <c r="G1079" s="21">
        <v>8.0000000000000036</v>
      </c>
      <c r="H1079" s="21">
        <v>5.4999999999999822</v>
      </c>
      <c r="I1079" s="21">
        <v>5.4999999999999822</v>
      </c>
      <c r="J1079" s="24" t="s">
        <v>33</v>
      </c>
      <c r="K1079" s="23" t="s">
        <v>368</v>
      </c>
      <c r="L1079" s="59">
        <v>1</v>
      </c>
      <c r="M1079" s="8" t="s">
        <v>317</v>
      </c>
    </row>
    <row r="1080" spans="1:13" ht="15.75" x14ac:dyDescent="0.25">
      <c r="A1080" s="16" t="s">
        <v>0</v>
      </c>
      <c r="B1080" s="17" t="s">
        <v>10</v>
      </c>
      <c r="C1080" s="25">
        <v>43234</v>
      </c>
      <c r="D1080" s="19" t="s">
        <v>21</v>
      </c>
      <c r="E1080" s="20">
        <v>0.70833333333333304</v>
      </c>
      <c r="F1080" s="20">
        <v>0.875</v>
      </c>
      <c r="G1080" s="21">
        <v>8.0000000000000036</v>
      </c>
      <c r="H1080" s="21">
        <v>4.0000000000000036</v>
      </c>
      <c r="I1080" s="21">
        <v>4.0000000000000036</v>
      </c>
      <c r="J1080" s="24" t="s">
        <v>9</v>
      </c>
      <c r="K1080" s="23" t="s">
        <v>369</v>
      </c>
      <c r="L1080" s="59">
        <v>1</v>
      </c>
      <c r="M1080" s="8" t="s">
        <v>317</v>
      </c>
    </row>
    <row r="1081" spans="1:13" ht="15.75" x14ac:dyDescent="0.25">
      <c r="A1081" s="16" t="s">
        <v>0</v>
      </c>
      <c r="B1081" s="17" t="s">
        <v>12</v>
      </c>
      <c r="C1081" s="18">
        <v>43234</v>
      </c>
      <c r="D1081" s="19" t="s">
        <v>21</v>
      </c>
      <c r="E1081" s="20">
        <v>0.66666666666666696</v>
      </c>
      <c r="F1081" s="20">
        <v>0.79166666666666696</v>
      </c>
      <c r="G1081" s="21">
        <v>8.0000000000000036</v>
      </c>
      <c r="H1081" s="21">
        <v>2.9999999999999947</v>
      </c>
      <c r="I1081" s="21">
        <v>2.9999999999999947</v>
      </c>
      <c r="J1081" s="24" t="s">
        <v>9</v>
      </c>
      <c r="K1081" s="23" t="s">
        <v>369</v>
      </c>
      <c r="L1081" s="59">
        <v>1</v>
      </c>
      <c r="M1081" s="8" t="s">
        <v>317</v>
      </c>
    </row>
    <row r="1082" spans="1:13" ht="15.75" x14ac:dyDescent="0.25">
      <c r="A1082" s="16" t="s">
        <v>0</v>
      </c>
      <c r="B1082" s="17" t="s">
        <v>68</v>
      </c>
      <c r="C1082" s="18">
        <v>43234</v>
      </c>
      <c r="D1082" s="19" t="s">
        <v>21</v>
      </c>
      <c r="E1082" s="20">
        <v>0.70833333333333304</v>
      </c>
      <c r="F1082" s="20">
        <v>0.875</v>
      </c>
      <c r="G1082" s="21">
        <v>8.0000000000000036</v>
      </c>
      <c r="H1082" s="21">
        <v>4.0000000000000036</v>
      </c>
      <c r="I1082" s="21">
        <v>4.0000000000000036</v>
      </c>
      <c r="J1082" s="24" t="s">
        <v>9</v>
      </c>
      <c r="K1082" s="23" t="s">
        <v>369</v>
      </c>
      <c r="L1082" s="59">
        <v>1</v>
      </c>
      <c r="M1082" s="8" t="s">
        <v>317</v>
      </c>
    </row>
    <row r="1083" spans="1:13" ht="15.75" x14ac:dyDescent="0.25">
      <c r="A1083" s="16" t="s">
        <v>0</v>
      </c>
      <c r="B1083" s="17" t="s">
        <v>69</v>
      </c>
      <c r="C1083" s="18">
        <v>43234</v>
      </c>
      <c r="D1083" s="19" t="s">
        <v>21</v>
      </c>
      <c r="E1083" s="20">
        <v>0.70833333333333304</v>
      </c>
      <c r="F1083" s="20">
        <v>0.875</v>
      </c>
      <c r="G1083" s="21">
        <v>8.0000000000000036</v>
      </c>
      <c r="H1083" s="21">
        <v>4.0000000000000036</v>
      </c>
      <c r="I1083" s="21">
        <v>4.0000000000000036</v>
      </c>
      <c r="J1083" s="24" t="s">
        <v>9</v>
      </c>
      <c r="K1083" s="23" t="s">
        <v>369</v>
      </c>
      <c r="L1083" s="59">
        <v>1</v>
      </c>
      <c r="M1083" s="8" t="s">
        <v>317</v>
      </c>
    </row>
    <row r="1084" spans="1:13" ht="15.75" x14ac:dyDescent="0.25">
      <c r="A1084" s="16" t="s">
        <v>0</v>
      </c>
      <c r="B1084" s="17" t="s">
        <v>361</v>
      </c>
      <c r="C1084" s="18">
        <v>43234</v>
      </c>
      <c r="D1084" s="19" t="s">
        <v>21</v>
      </c>
      <c r="E1084" s="20">
        <v>0.70833333333333304</v>
      </c>
      <c r="F1084" s="20">
        <v>0.875</v>
      </c>
      <c r="G1084" s="21">
        <v>8.0000000000000036</v>
      </c>
      <c r="H1084" s="21">
        <v>4.0000000000000036</v>
      </c>
      <c r="I1084" s="21">
        <v>4.0000000000000036</v>
      </c>
      <c r="J1084" s="24" t="s">
        <v>9</v>
      </c>
      <c r="K1084" s="23" t="s">
        <v>369</v>
      </c>
      <c r="L1084" s="59">
        <v>1</v>
      </c>
      <c r="M1084" s="8" t="s">
        <v>317</v>
      </c>
    </row>
    <row r="1085" spans="1:13" ht="15.75" x14ac:dyDescent="0.25">
      <c r="A1085" s="16" t="s">
        <v>0</v>
      </c>
      <c r="B1085" s="17" t="s">
        <v>362</v>
      </c>
      <c r="C1085" s="18">
        <v>43234</v>
      </c>
      <c r="D1085" s="19" t="s">
        <v>21</v>
      </c>
      <c r="E1085" s="20">
        <v>0.70833333333333304</v>
      </c>
      <c r="F1085" s="20">
        <v>0.875</v>
      </c>
      <c r="G1085" s="21">
        <v>8.0000000000000036</v>
      </c>
      <c r="H1085" s="21">
        <v>4.0000000000000036</v>
      </c>
      <c r="I1085" s="21">
        <v>4.0000000000000036</v>
      </c>
      <c r="J1085" s="24" t="s">
        <v>9</v>
      </c>
      <c r="K1085" s="23" t="s">
        <v>369</v>
      </c>
      <c r="L1085" s="59">
        <v>1</v>
      </c>
      <c r="M1085" s="8" t="s">
        <v>317</v>
      </c>
    </row>
    <row r="1086" spans="1:13" ht="15.75" x14ac:dyDescent="0.25">
      <c r="A1086" s="16" t="s">
        <v>0</v>
      </c>
      <c r="B1086" s="17" t="s">
        <v>10</v>
      </c>
      <c r="C1086" s="25">
        <v>43235</v>
      </c>
      <c r="D1086" s="19" t="s">
        <v>16</v>
      </c>
      <c r="E1086" s="20">
        <v>0.75</v>
      </c>
      <c r="F1086" s="20">
        <v>0.875</v>
      </c>
      <c r="G1086" s="21">
        <v>8.0000000000000036</v>
      </c>
      <c r="H1086" s="21">
        <v>2.9999999999999964</v>
      </c>
      <c r="I1086" s="21">
        <v>2.9999999999999964</v>
      </c>
      <c r="J1086" s="24" t="s">
        <v>9</v>
      </c>
      <c r="K1086" s="23" t="s">
        <v>370</v>
      </c>
      <c r="L1086" s="59">
        <v>1</v>
      </c>
      <c r="M1086" s="8" t="s">
        <v>317</v>
      </c>
    </row>
    <row r="1087" spans="1:13" ht="15.75" x14ac:dyDescent="0.25">
      <c r="A1087" s="16" t="s">
        <v>0</v>
      </c>
      <c r="B1087" s="17" t="s">
        <v>12</v>
      </c>
      <c r="C1087" s="18">
        <v>43235</v>
      </c>
      <c r="D1087" s="19" t="s">
        <v>16</v>
      </c>
      <c r="E1087" s="20">
        <v>0.70833333333333304</v>
      </c>
      <c r="F1087" s="20">
        <v>0.875</v>
      </c>
      <c r="G1087" s="21">
        <v>8.0000000000000036</v>
      </c>
      <c r="H1087" s="21">
        <v>4.0000000000000036</v>
      </c>
      <c r="I1087" s="21">
        <v>4.0000000000000036</v>
      </c>
      <c r="J1087" s="24" t="s">
        <v>9</v>
      </c>
      <c r="K1087" s="23" t="s">
        <v>370</v>
      </c>
      <c r="L1087" s="59">
        <v>1</v>
      </c>
      <c r="M1087" s="8" t="s">
        <v>317</v>
      </c>
    </row>
    <row r="1088" spans="1:13" ht="15.75" x14ac:dyDescent="0.25">
      <c r="A1088" s="16" t="s">
        <v>0</v>
      </c>
      <c r="B1088" s="17" t="s">
        <v>34</v>
      </c>
      <c r="C1088" s="18">
        <v>43235</v>
      </c>
      <c r="D1088" s="19" t="s">
        <v>16</v>
      </c>
      <c r="E1088" s="20">
        <v>0.70833333333333304</v>
      </c>
      <c r="F1088" s="20">
        <v>0.875</v>
      </c>
      <c r="G1088" s="21">
        <v>8.0000000000000036</v>
      </c>
      <c r="H1088" s="21">
        <v>4.0000000000000036</v>
      </c>
      <c r="I1088" s="21">
        <v>4.0000000000000036</v>
      </c>
      <c r="J1088" s="24" t="s">
        <v>9</v>
      </c>
      <c r="K1088" s="23" t="s">
        <v>370</v>
      </c>
      <c r="L1088" s="59">
        <v>1</v>
      </c>
      <c r="M1088" s="8" t="s">
        <v>317</v>
      </c>
    </row>
    <row r="1089" spans="1:13" ht="15.75" x14ac:dyDescent="0.25">
      <c r="A1089" s="16" t="s">
        <v>0</v>
      </c>
      <c r="B1089" s="17" t="s">
        <v>68</v>
      </c>
      <c r="C1089" s="18">
        <v>43235</v>
      </c>
      <c r="D1089" s="19" t="s">
        <v>16</v>
      </c>
      <c r="E1089" s="20">
        <v>0.70833333333333304</v>
      </c>
      <c r="F1089" s="20">
        <v>0.875</v>
      </c>
      <c r="G1089" s="21">
        <v>8.0000000000000036</v>
      </c>
      <c r="H1089" s="21">
        <v>4.0000000000000036</v>
      </c>
      <c r="I1089" s="21">
        <v>4.0000000000000036</v>
      </c>
      <c r="J1089" s="24" t="s">
        <v>9</v>
      </c>
      <c r="K1089" s="23" t="s">
        <v>370</v>
      </c>
      <c r="L1089" s="59">
        <v>1</v>
      </c>
      <c r="M1089" s="8" t="s">
        <v>317</v>
      </c>
    </row>
    <row r="1090" spans="1:13" ht="15.75" x14ac:dyDescent="0.25">
      <c r="A1090" s="16" t="s">
        <v>0</v>
      </c>
      <c r="B1090" s="17" t="s">
        <v>69</v>
      </c>
      <c r="C1090" s="18">
        <v>43235</v>
      </c>
      <c r="D1090" s="19" t="s">
        <v>16</v>
      </c>
      <c r="E1090" s="20">
        <v>0.64583333333333304</v>
      </c>
      <c r="F1090" s="20">
        <v>0.79166666666666696</v>
      </c>
      <c r="G1090" s="21">
        <v>8.0000000000000036</v>
      </c>
      <c r="H1090" s="21">
        <v>3.5000000000000107</v>
      </c>
      <c r="I1090" s="21">
        <v>3.5000000000000107</v>
      </c>
      <c r="J1090" s="24" t="s">
        <v>9</v>
      </c>
      <c r="K1090" s="23" t="s">
        <v>370</v>
      </c>
      <c r="L1090" s="59">
        <v>1</v>
      </c>
      <c r="M1090" s="8" t="s">
        <v>317</v>
      </c>
    </row>
    <row r="1091" spans="1:13" ht="15.75" x14ac:dyDescent="0.25">
      <c r="A1091" s="16" t="s">
        <v>0</v>
      </c>
      <c r="B1091" s="17" t="s">
        <v>361</v>
      </c>
      <c r="C1091" s="18">
        <v>43235</v>
      </c>
      <c r="D1091" s="19" t="s">
        <v>16</v>
      </c>
      <c r="E1091" s="20">
        <v>0.70833333333333304</v>
      </c>
      <c r="F1091" s="20">
        <v>0.875</v>
      </c>
      <c r="G1091" s="21">
        <v>8.0000000000000036</v>
      </c>
      <c r="H1091" s="21">
        <v>4.0000000000000036</v>
      </c>
      <c r="I1091" s="21">
        <v>4.0000000000000036</v>
      </c>
      <c r="J1091" s="24" t="s">
        <v>9</v>
      </c>
      <c r="K1091" s="23" t="s">
        <v>370</v>
      </c>
      <c r="L1091" s="59">
        <v>1</v>
      </c>
      <c r="M1091" s="8" t="s">
        <v>317</v>
      </c>
    </row>
    <row r="1092" spans="1:13" ht="15.75" x14ac:dyDescent="0.25">
      <c r="A1092" s="16" t="s">
        <v>0</v>
      </c>
      <c r="B1092" s="17" t="s">
        <v>362</v>
      </c>
      <c r="C1092" s="18">
        <v>43235</v>
      </c>
      <c r="D1092" s="19" t="s">
        <v>16</v>
      </c>
      <c r="E1092" s="20">
        <v>0.70833333333333304</v>
      </c>
      <c r="F1092" s="20">
        <v>0.875</v>
      </c>
      <c r="G1092" s="21">
        <v>8.0000000000000036</v>
      </c>
      <c r="H1092" s="21">
        <v>4.0000000000000036</v>
      </c>
      <c r="I1092" s="21">
        <v>4.0000000000000036</v>
      </c>
      <c r="J1092" s="24" t="s">
        <v>9</v>
      </c>
      <c r="K1092" s="23" t="s">
        <v>370</v>
      </c>
      <c r="L1092" s="59">
        <v>1</v>
      </c>
      <c r="M1092" s="8" t="s">
        <v>317</v>
      </c>
    </row>
    <row r="1093" spans="1:13" ht="15.75" x14ac:dyDescent="0.25">
      <c r="A1093" s="16" t="s">
        <v>0</v>
      </c>
      <c r="B1093" s="17" t="s">
        <v>69</v>
      </c>
      <c r="C1093" s="18">
        <v>43237</v>
      </c>
      <c r="D1093" s="19" t="s">
        <v>18</v>
      </c>
      <c r="E1093" s="20">
        <v>0.72916666666666696</v>
      </c>
      <c r="F1093" s="20">
        <v>0.89583333333333304</v>
      </c>
      <c r="G1093" s="21">
        <v>8.0000000000000036</v>
      </c>
      <c r="H1093" s="21">
        <v>3.9999999999999822</v>
      </c>
      <c r="I1093" s="21">
        <v>3.9999999999999822</v>
      </c>
      <c r="J1093" s="24" t="s">
        <v>9</v>
      </c>
      <c r="K1093" s="23" t="s">
        <v>371</v>
      </c>
      <c r="L1093" s="59">
        <v>1</v>
      </c>
      <c r="M1093" s="8" t="s">
        <v>317</v>
      </c>
    </row>
    <row r="1094" spans="1:13" ht="15.75" x14ac:dyDescent="0.25">
      <c r="A1094" s="16" t="s">
        <v>0</v>
      </c>
      <c r="B1094" s="17" t="s">
        <v>10</v>
      </c>
      <c r="C1094" s="25">
        <v>43241</v>
      </c>
      <c r="D1094" s="19" t="s">
        <v>21</v>
      </c>
      <c r="E1094" s="20">
        <v>0.72916666666666696</v>
      </c>
      <c r="F1094" s="20">
        <v>0.85416666666666696</v>
      </c>
      <c r="G1094" s="21">
        <v>8.0000000000000036</v>
      </c>
      <c r="H1094" s="21">
        <v>2.9999999999999947</v>
      </c>
      <c r="I1094" s="21">
        <v>2.9999999999999947</v>
      </c>
      <c r="J1094" s="24" t="s">
        <v>9</v>
      </c>
      <c r="K1094" s="23" t="s">
        <v>372</v>
      </c>
      <c r="L1094" s="59">
        <v>1</v>
      </c>
      <c r="M1094" s="8" t="s">
        <v>317</v>
      </c>
    </row>
    <row r="1095" spans="1:13" ht="15.75" x14ac:dyDescent="0.25">
      <c r="A1095" s="16" t="s">
        <v>0</v>
      </c>
      <c r="B1095" s="17" t="s">
        <v>12</v>
      </c>
      <c r="C1095" s="18">
        <v>43241</v>
      </c>
      <c r="D1095" s="19" t="s">
        <v>21</v>
      </c>
      <c r="E1095" s="20">
        <v>0.72916666666666696</v>
      </c>
      <c r="F1095" s="20">
        <v>0.85416666666666696</v>
      </c>
      <c r="G1095" s="21">
        <v>8.0000000000000036</v>
      </c>
      <c r="H1095" s="21">
        <v>2.9999999999999947</v>
      </c>
      <c r="I1095" s="21">
        <v>2.9999999999999947</v>
      </c>
      <c r="J1095" s="24" t="s">
        <v>9</v>
      </c>
      <c r="K1095" s="23" t="s">
        <v>372</v>
      </c>
      <c r="L1095" s="59">
        <v>1</v>
      </c>
      <c r="M1095" s="8" t="s">
        <v>317</v>
      </c>
    </row>
    <row r="1096" spans="1:13" ht="15.75" x14ac:dyDescent="0.25">
      <c r="A1096" s="16" t="s">
        <v>0</v>
      </c>
      <c r="B1096" s="17" t="s">
        <v>34</v>
      </c>
      <c r="C1096" s="18">
        <v>43241</v>
      </c>
      <c r="D1096" s="19" t="s">
        <v>21</v>
      </c>
      <c r="E1096" s="20">
        <v>0.72916666666666696</v>
      </c>
      <c r="F1096" s="20">
        <v>0.85416666666666696</v>
      </c>
      <c r="G1096" s="21">
        <v>8.0000000000000036</v>
      </c>
      <c r="H1096" s="21">
        <v>2.9999999999999947</v>
      </c>
      <c r="I1096" s="21">
        <v>2.9999999999999947</v>
      </c>
      <c r="J1096" s="24" t="s">
        <v>9</v>
      </c>
      <c r="K1096" s="23" t="s">
        <v>372</v>
      </c>
      <c r="L1096" s="59">
        <v>1</v>
      </c>
      <c r="M1096" s="8" t="s">
        <v>317</v>
      </c>
    </row>
    <row r="1097" spans="1:13" ht="15.75" x14ac:dyDescent="0.25">
      <c r="A1097" s="16" t="s">
        <v>0</v>
      </c>
      <c r="B1097" s="17" t="s">
        <v>68</v>
      </c>
      <c r="C1097" s="18">
        <v>43241</v>
      </c>
      <c r="D1097" s="19" t="s">
        <v>21</v>
      </c>
      <c r="E1097" s="20">
        <v>0.72916666666666696</v>
      </c>
      <c r="F1097" s="20">
        <v>0.85416666666666696</v>
      </c>
      <c r="G1097" s="21">
        <v>8.0000000000000036</v>
      </c>
      <c r="H1097" s="21">
        <v>2.9999999999999947</v>
      </c>
      <c r="I1097" s="21">
        <v>2.9999999999999947</v>
      </c>
      <c r="J1097" s="24" t="s">
        <v>9</v>
      </c>
      <c r="K1097" s="23" t="s">
        <v>372</v>
      </c>
      <c r="L1097" s="59">
        <v>1</v>
      </c>
      <c r="M1097" s="8" t="s">
        <v>317</v>
      </c>
    </row>
    <row r="1098" spans="1:13" ht="15.75" x14ac:dyDescent="0.25">
      <c r="A1098" s="16" t="s">
        <v>0</v>
      </c>
      <c r="B1098" s="17" t="s">
        <v>69</v>
      </c>
      <c r="C1098" s="18">
        <v>43241</v>
      </c>
      <c r="D1098" s="19" t="s">
        <v>21</v>
      </c>
      <c r="E1098" s="20">
        <v>0.72916666666666696</v>
      </c>
      <c r="F1098" s="20">
        <v>0.85416666666666696</v>
      </c>
      <c r="G1098" s="21">
        <v>8.0000000000000036</v>
      </c>
      <c r="H1098" s="21">
        <v>2.9999999999999947</v>
      </c>
      <c r="I1098" s="21">
        <v>2.9999999999999947</v>
      </c>
      <c r="J1098" s="24" t="s">
        <v>9</v>
      </c>
      <c r="K1098" s="23" t="s">
        <v>372</v>
      </c>
      <c r="L1098" s="59">
        <v>1</v>
      </c>
      <c r="M1098" s="8" t="s">
        <v>317</v>
      </c>
    </row>
    <row r="1099" spans="1:13" ht="15.75" x14ac:dyDescent="0.25">
      <c r="A1099" s="16" t="s">
        <v>0</v>
      </c>
      <c r="B1099" s="17" t="s">
        <v>361</v>
      </c>
      <c r="C1099" s="18">
        <v>43241</v>
      </c>
      <c r="D1099" s="19" t="s">
        <v>21</v>
      </c>
      <c r="E1099" s="20">
        <v>0.72916666666666696</v>
      </c>
      <c r="F1099" s="20">
        <v>0.85416666666666696</v>
      </c>
      <c r="G1099" s="21">
        <v>8.0000000000000036</v>
      </c>
      <c r="H1099" s="21">
        <v>2.9999999999999947</v>
      </c>
      <c r="I1099" s="21">
        <v>2.9999999999999947</v>
      </c>
      <c r="J1099" s="24" t="s">
        <v>9</v>
      </c>
      <c r="K1099" s="23" t="s">
        <v>372</v>
      </c>
      <c r="L1099" s="59">
        <v>1</v>
      </c>
      <c r="M1099" s="8" t="s">
        <v>317</v>
      </c>
    </row>
    <row r="1100" spans="1:13" ht="15.75" x14ac:dyDescent="0.25">
      <c r="A1100" s="16" t="s">
        <v>0</v>
      </c>
      <c r="B1100" s="17" t="s">
        <v>367</v>
      </c>
      <c r="C1100" s="18">
        <v>43241</v>
      </c>
      <c r="D1100" s="19" t="s">
        <v>21</v>
      </c>
      <c r="E1100" s="20">
        <v>0.72916666666666696</v>
      </c>
      <c r="F1100" s="20">
        <v>0.85416666666666696</v>
      </c>
      <c r="G1100" s="21">
        <v>8.0000000000000036</v>
      </c>
      <c r="H1100" s="21">
        <v>2.9999999999999947</v>
      </c>
      <c r="I1100" s="21">
        <v>2.9999999999999947</v>
      </c>
      <c r="J1100" s="24" t="s">
        <v>9</v>
      </c>
      <c r="K1100" s="23" t="s">
        <v>372</v>
      </c>
      <c r="L1100" s="59">
        <v>1</v>
      </c>
      <c r="M1100" s="8" t="s">
        <v>317</v>
      </c>
    </row>
    <row r="1101" spans="1:13" ht="15.75" x14ac:dyDescent="0.25">
      <c r="A1101" s="16" t="s">
        <v>0</v>
      </c>
      <c r="B1101" s="17" t="s">
        <v>10</v>
      </c>
      <c r="C1101" s="25">
        <v>43249</v>
      </c>
      <c r="D1101" s="19" t="s">
        <v>16</v>
      </c>
      <c r="E1101" s="20">
        <v>0.70833333333333304</v>
      </c>
      <c r="F1101" s="20">
        <v>0.875</v>
      </c>
      <c r="G1101" s="21">
        <v>8.0000000000000036</v>
      </c>
      <c r="H1101" s="21">
        <v>4.0000000000000036</v>
      </c>
      <c r="I1101" s="21">
        <v>4.0000000000000036</v>
      </c>
      <c r="J1101" s="24" t="s">
        <v>9</v>
      </c>
      <c r="K1101" s="23" t="s">
        <v>373</v>
      </c>
      <c r="L1101" s="59">
        <v>1</v>
      </c>
      <c r="M1101" s="8" t="s">
        <v>317</v>
      </c>
    </row>
    <row r="1102" spans="1:13" ht="15.75" x14ac:dyDescent="0.25">
      <c r="A1102" s="16" t="s">
        <v>0</v>
      </c>
      <c r="B1102" s="17" t="s">
        <v>12</v>
      </c>
      <c r="C1102" s="18">
        <v>43249</v>
      </c>
      <c r="D1102" s="19" t="s">
        <v>16</v>
      </c>
      <c r="E1102" s="20">
        <v>0.64583333333333304</v>
      </c>
      <c r="F1102" s="20">
        <v>0.79166666666666696</v>
      </c>
      <c r="G1102" s="21">
        <v>8.0000000000000036</v>
      </c>
      <c r="H1102" s="21">
        <v>3.5000000000000107</v>
      </c>
      <c r="I1102" s="21">
        <v>3.5000000000000107</v>
      </c>
      <c r="J1102" s="24" t="s">
        <v>9</v>
      </c>
      <c r="K1102" s="23" t="s">
        <v>373</v>
      </c>
      <c r="L1102" s="59">
        <v>1</v>
      </c>
      <c r="M1102" s="8" t="s">
        <v>317</v>
      </c>
    </row>
    <row r="1103" spans="1:13" ht="15.75" x14ac:dyDescent="0.25">
      <c r="A1103" s="16" t="s">
        <v>0</v>
      </c>
      <c r="B1103" s="17" t="s">
        <v>34</v>
      </c>
      <c r="C1103" s="18">
        <v>43249</v>
      </c>
      <c r="D1103" s="19" t="s">
        <v>16</v>
      </c>
      <c r="E1103" s="20">
        <v>0.70833333333333304</v>
      </c>
      <c r="F1103" s="20">
        <v>0.875</v>
      </c>
      <c r="G1103" s="21">
        <v>8.0000000000000036</v>
      </c>
      <c r="H1103" s="21">
        <v>4.0000000000000036</v>
      </c>
      <c r="I1103" s="21">
        <v>4.0000000000000036</v>
      </c>
      <c r="J1103" s="24" t="s">
        <v>9</v>
      </c>
      <c r="K1103" s="23" t="s">
        <v>373</v>
      </c>
      <c r="L1103" s="59">
        <v>1</v>
      </c>
      <c r="M1103" s="8" t="s">
        <v>317</v>
      </c>
    </row>
    <row r="1104" spans="1:13" ht="15.75" x14ac:dyDescent="0.25">
      <c r="A1104" s="16" t="s">
        <v>0</v>
      </c>
      <c r="B1104" s="17" t="s">
        <v>361</v>
      </c>
      <c r="C1104" s="18">
        <v>43249</v>
      </c>
      <c r="D1104" s="19" t="s">
        <v>16</v>
      </c>
      <c r="E1104" s="20">
        <v>0.70833333333333304</v>
      </c>
      <c r="F1104" s="20">
        <v>0.875</v>
      </c>
      <c r="G1104" s="21">
        <v>8.0000000000000036</v>
      </c>
      <c r="H1104" s="21">
        <v>4.0000000000000036</v>
      </c>
      <c r="I1104" s="21">
        <v>4.0000000000000036</v>
      </c>
      <c r="J1104" s="24" t="s">
        <v>9</v>
      </c>
      <c r="K1104" s="23" t="s">
        <v>373</v>
      </c>
      <c r="L1104" s="59">
        <v>1</v>
      </c>
      <c r="M1104" s="8" t="s">
        <v>317</v>
      </c>
    </row>
    <row r="1105" spans="1:13" ht="15.75" x14ac:dyDescent="0.25">
      <c r="A1105" s="16" t="s">
        <v>0</v>
      </c>
      <c r="B1105" s="17" t="s">
        <v>367</v>
      </c>
      <c r="C1105" s="18">
        <v>43249</v>
      </c>
      <c r="D1105" s="19" t="s">
        <v>16</v>
      </c>
      <c r="E1105" s="20">
        <v>0.70833333333333304</v>
      </c>
      <c r="F1105" s="20">
        <v>0.875</v>
      </c>
      <c r="G1105" s="21">
        <v>8.0000000000000036</v>
      </c>
      <c r="H1105" s="21">
        <v>4.0000000000000036</v>
      </c>
      <c r="I1105" s="21">
        <v>4.0000000000000036</v>
      </c>
      <c r="J1105" s="24" t="s">
        <v>9</v>
      </c>
      <c r="K1105" s="23" t="s">
        <v>373</v>
      </c>
      <c r="L1105" s="59">
        <v>1</v>
      </c>
      <c r="M1105" s="8" t="s">
        <v>317</v>
      </c>
    </row>
    <row r="1106" spans="1:13" ht="15.75" x14ac:dyDescent="0.25">
      <c r="A1106" s="16" t="s">
        <v>0</v>
      </c>
      <c r="B1106" s="17" t="s">
        <v>362</v>
      </c>
      <c r="C1106" s="18">
        <v>43249</v>
      </c>
      <c r="D1106" s="19" t="s">
        <v>16</v>
      </c>
      <c r="E1106" s="20">
        <v>0.70833333333333304</v>
      </c>
      <c r="F1106" s="20">
        <v>0.875</v>
      </c>
      <c r="G1106" s="21">
        <v>8.0000000000000036</v>
      </c>
      <c r="H1106" s="21">
        <v>4.0000000000000036</v>
      </c>
      <c r="I1106" s="21">
        <v>4.0000000000000036</v>
      </c>
      <c r="J1106" s="24" t="s">
        <v>9</v>
      </c>
      <c r="K1106" s="23" t="s">
        <v>373</v>
      </c>
      <c r="L1106" s="59">
        <v>1</v>
      </c>
      <c r="M1106" s="8" t="s">
        <v>317</v>
      </c>
    </row>
    <row r="1107" spans="1:13" ht="15.75" x14ac:dyDescent="0.25">
      <c r="A1107" s="16" t="s">
        <v>0</v>
      </c>
      <c r="B1107" s="17" t="s">
        <v>10</v>
      </c>
      <c r="C1107" s="25">
        <v>43250</v>
      </c>
      <c r="D1107" s="19" t="s">
        <v>19</v>
      </c>
      <c r="E1107" s="20">
        <v>0.72916666666666696</v>
      </c>
      <c r="F1107" s="20">
        <v>0.875</v>
      </c>
      <c r="G1107" s="21">
        <v>8.0000000000000036</v>
      </c>
      <c r="H1107" s="21">
        <v>3.4999999999999893</v>
      </c>
      <c r="I1107" s="21">
        <v>3.4999999999999893</v>
      </c>
      <c r="J1107" s="24" t="s">
        <v>9</v>
      </c>
      <c r="K1107" s="23" t="s">
        <v>374</v>
      </c>
      <c r="L1107" s="59">
        <v>1</v>
      </c>
      <c r="M1107" s="8" t="s">
        <v>317</v>
      </c>
    </row>
    <row r="1108" spans="1:13" ht="15.75" x14ac:dyDescent="0.25">
      <c r="A1108" s="16" t="s">
        <v>0</v>
      </c>
      <c r="B1108" s="17" t="s">
        <v>12</v>
      </c>
      <c r="C1108" s="18">
        <v>43250</v>
      </c>
      <c r="D1108" s="19" t="s">
        <v>19</v>
      </c>
      <c r="E1108" s="20">
        <v>0.70833333333333304</v>
      </c>
      <c r="F1108" s="20">
        <v>0.875</v>
      </c>
      <c r="G1108" s="21">
        <v>8.0000000000000036</v>
      </c>
      <c r="H1108" s="21">
        <v>4.0000000000000036</v>
      </c>
      <c r="I1108" s="21">
        <v>4.0000000000000036</v>
      </c>
      <c r="J1108" s="24" t="s">
        <v>9</v>
      </c>
      <c r="K1108" s="23" t="s">
        <v>374</v>
      </c>
      <c r="L1108" s="59">
        <v>1</v>
      </c>
      <c r="M1108" s="8" t="s">
        <v>317</v>
      </c>
    </row>
    <row r="1109" spans="1:13" ht="15.75" x14ac:dyDescent="0.25">
      <c r="A1109" s="16" t="s">
        <v>0</v>
      </c>
      <c r="B1109" s="17" t="s">
        <v>68</v>
      </c>
      <c r="C1109" s="18">
        <v>43250</v>
      </c>
      <c r="D1109" s="19" t="s">
        <v>19</v>
      </c>
      <c r="E1109" s="20">
        <v>0.64583333333333304</v>
      </c>
      <c r="F1109" s="20">
        <v>0.79166666666666696</v>
      </c>
      <c r="G1109" s="21">
        <v>8.0000000000000036</v>
      </c>
      <c r="H1109" s="21">
        <v>3.5000000000000107</v>
      </c>
      <c r="I1109" s="21">
        <v>3.5000000000000107</v>
      </c>
      <c r="J1109" s="24" t="s">
        <v>9</v>
      </c>
      <c r="K1109" s="23" t="s">
        <v>374</v>
      </c>
      <c r="L1109" s="59">
        <v>1</v>
      </c>
      <c r="M1109" s="8" t="s">
        <v>317</v>
      </c>
    </row>
    <row r="1110" spans="1:13" ht="15.75" x14ac:dyDescent="0.25">
      <c r="A1110" s="16" t="s">
        <v>0</v>
      </c>
      <c r="B1110" s="17" t="s">
        <v>69</v>
      </c>
      <c r="C1110" s="18">
        <v>43250</v>
      </c>
      <c r="D1110" s="19" t="s">
        <v>19</v>
      </c>
      <c r="E1110" s="20">
        <v>0.70833333333333304</v>
      </c>
      <c r="F1110" s="20">
        <v>0.875</v>
      </c>
      <c r="G1110" s="21">
        <v>8.0000000000000036</v>
      </c>
      <c r="H1110" s="21">
        <v>4.0000000000000036</v>
      </c>
      <c r="I1110" s="21">
        <v>4.0000000000000036</v>
      </c>
      <c r="J1110" s="24" t="s">
        <v>9</v>
      </c>
      <c r="K1110" s="23" t="s">
        <v>374</v>
      </c>
      <c r="L1110" s="59">
        <v>1</v>
      </c>
      <c r="M1110" s="8" t="s">
        <v>317</v>
      </c>
    </row>
    <row r="1111" spans="1:13" ht="15.75" x14ac:dyDescent="0.25">
      <c r="A1111" s="16" t="s">
        <v>0</v>
      </c>
      <c r="B1111" s="17" t="s">
        <v>361</v>
      </c>
      <c r="C1111" s="18">
        <v>43250</v>
      </c>
      <c r="D1111" s="19" t="s">
        <v>19</v>
      </c>
      <c r="E1111" s="20">
        <v>0.70833333333333304</v>
      </c>
      <c r="F1111" s="20">
        <v>0.875</v>
      </c>
      <c r="G1111" s="21">
        <v>8.0000000000000036</v>
      </c>
      <c r="H1111" s="21">
        <v>4.0000000000000036</v>
      </c>
      <c r="I1111" s="21">
        <v>4.0000000000000036</v>
      </c>
      <c r="J1111" s="24" t="s">
        <v>9</v>
      </c>
      <c r="K1111" s="23" t="s">
        <v>374</v>
      </c>
      <c r="L1111" s="59">
        <v>1</v>
      </c>
      <c r="M1111" s="8" t="s">
        <v>317</v>
      </c>
    </row>
    <row r="1112" spans="1:13" ht="15.75" x14ac:dyDescent="0.25">
      <c r="A1112" s="16" t="s">
        <v>0</v>
      </c>
      <c r="B1112" s="17" t="s">
        <v>367</v>
      </c>
      <c r="C1112" s="18">
        <v>43250</v>
      </c>
      <c r="D1112" s="19" t="s">
        <v>19</v>
      </c>
      <c r="E1112" s="20">
        <v>0.70833333333333304</v>
      </c>
      <c r="F1112" s="20">
        <v>0.875</v>
      </c>
      <c r="G1112" s="21">
        <v>8.0000000000000036</v>
      </c>
      <c r="H1112" s="21">
        <v>4.0000000000000036</v>
      </c>
      <c r="I1112" s="21">
        <v>4.0000000000000036</v>
      </c>
      <c r="J1112" s="24" t="s">
        <v>9</v>
      </c>
      <c r="K1112" s="23" t="s">
        <v>374</v>
      </c>
      <c r="L1112" s="59">
        <v>1</v>
      </c>
      <c r="M1112" s="8" t="s">
        <v>317</v>
      </c>
    </row>
    <row r="1113" spans="1:13" ht="15.75" x14ac:dyDescent="0.25">
      <c r="A1113" s="16" t="s">
        <v>0</v>
      </c>
      <c r="B1113" s="17" t="s">
        <v>362</v>
      </c>
      <c r="C1113" s="18">
        <v>43250</v>
      </c>
      <c r="D1113" s="19" t="s">
        <v>19</v>
      </c>
      <c r="E1113" s="20">
        <v>0.70833333333333304</v>
      </c>
      <c r="F1113" s="20">
        <v>0.875</v>
      </c>
      <c r="G1113" s="21">
        <v>8.0000000000000036</v>
      </c>
      <c r="H1113" s="21">
        <v>4.0000000000000036</v>
      </c>
      <c r="I1113" s="21">
        <v>4.0000000000000036</v>
      </c>
      <c r="J1113" s="24" t="s">
        <v>9</v>
      </c>
      <c r="K1113" s="23" t="s">
        <v>374</v>
      </c>
      <c r="L1113" s="59">
        <v>1</v>
      </c>
      <c r="M1113" s="8" t="s">
        <v>317</v>
      </c>
    </row>
    <row r="1114" spans="1:13" ht="15.75" x14ac:dyDescent="0.25">
      <c r="A1114" s="16" t="s">
        <v>0</v>
      </c>
      <c r="B1114" s="17" t="s">
        <v>10</v>
      </c>
      <c r="C1114" s="25">
        <v>43251</v>
      </c>
      <c r="D1114" s="19" t="s">
        <v>18</v>
      </c>
      <c r="E1114" s="20">
        <v>0.64583333333333304</v>
      </c>
      <c r="F1114" s="20">
        <v>0.79166666666666696</v>
      </c>
      <c r="G1114" s="21">
        <v>8.0000000000000036</v>
      </c>
      <c r="H1114" s="21">
        <v>3.5000000000000107</v>
      </c>
      <c r="I1114" s="21">
        <v>3.5000000000000107</v>
      </c>
      <c r="J1114" s="24" t="s">
        <v>9</v>
      </c>
      <c r="K1114" s="23" t="s">
        <v>375</v>
      </c>
      <c r="L1114" s="59">
        <v>1</v>
      </c>
      <c r="M1114" s="8" t="s">
        <v>317</v>
      </c>
    </row>
    <row r="1115" spans="1:13" ht="15.75" x14ac:dyDescent="0.25">
      <c r="A1115" s="16" t="s">
        <v>0</v>
      </c>
      <c r="B1115" s="17" t="s">
        <v>12</v>
      </c>
      <c r="C1115" s="18">
        <v>43251</v>
      </c>
      <c r="D1115" s="19" t="s">
        <v>18</v>
      </c>
      <c r="E1115" s="20">
        <v>0.70833333333333304</v>
      </c>
      <c r="F1115" s="20">
        <v>0.875</v>
      </c>
      <c r="G1115" s="21">
        <v>8.0000000000000036</v>
      </c>
      <c r="H1115" s="21">
        <v>4.0000000000000036</v>
      </c>
      <c r="I1115" s="21">
        <v>4.0000000000000036</v>
      </c>
      <c r="J1115" s="24" t="s">
        <v>9</v>
      </c>
      <c r="K1115" s="23" t="s">
        <v>375</v>
      </c>
      <c r="L1115" s="59">
        <v>1</v>
      </c>
      <c r="M1115" s="8" t="s">
        <v>317</v>
      </c>
    </row>
    <row r="1116" spans="1:13" ht="15.75" x14ac:dyDescent="0.25">
      <c r="A1116" s="16" t="s">
        <v>0</v>
      </c>
      <c r="B1116" s="17" t="s">
        <v>34</v>
      </c>
      <c r="C1116" s="18">
        <v>43251</v>
      </c>
      <c r="D1116" s="19" t="s">
        <v>18</v>
      </c>
      <c r="E1116" s="20">
        <v>0.70833333333333304</v>
      </c>
      <c r="F1116" s="20">
        <v>0.875</v>
      </c>
      <c r="G1116" s="21">
        <v>8.0000000000000036</v>
      </c>
      <c r="H1116" s="21">
        <v>4.0000000000000036</v>
      </c>
      <c r="I1116" s="21">
        <v>4.0000000000000036</v>
      </c>
      <c r="J1116" s="24" t="s">
        <v>9</v>
      </c>
      <c r="K1116" s="23" t="s">
        <v>375</v>
      </c>
      <c r="L1116" s="59">
        <v>1</v>
      </c>
      <c r="M1116" s="8" t="s">
        <v>317</v>
      </c>
    </row>
    <row r="1117" spans="1:13" ht="15.75" x14ac:dyDescent="0.25">
      <c r="A1117" s="16" t="s">
        <v>0</v>
      </c>
      <c r="B1117" s="17" t="s">
        <v>68</v>
      </c>
      <c r="C1117" s="18">
        <v>43251</v>
      </c>
      <c r="D1117" s="19" t="s">
        <v>18</v>
      </c>
      <c r="E1117" s="20">
        <v>0.70833333333333304</v>
      </c>
      <c r="F1117" s="20">
        <v>0.875</v>
      </c>
      <c r="G1117" s="21">
        <v>8.0000000000000036</v>
      </c>
      <c r="H1117" s="21">
        <v>4.0000000000000036</v>
      </c>
      <c r="I1117" s="21">
        <v>4.0000000000000036</v>
      </c>
      <c r="J1117" s="24" t="s">
        <v>9</v>
      </c>
      <c r="K1117" s="23" t="s">
        <v>375</v>
      </c>
      <c r="L1117" s="59">
        <v>1</v>
      </c>
      <c r="M1117" s="8" t="s">
        <v>317</v>
      </c>
    </row>
    <row r="1118" spans="1:13" ht="15.75" x14ac:dyDescent="0.25">
      <c r="A1118" s="16" t="s">
        <v>0</v>
      </c>
      <c r="B1118" s="17" t="s">
        <v>69</v>
      </c>
      <c r="C1118" s="18">
        <v>43251</v>
      </c>
      <c r="D1118" s="19" t="s">
        <v>18</v>
      </c>
      <c r="E1118" s="20">
        <v>0.70833333333333304</v>
      </c>
      <c r="F1118" s="20">
        <v>0.875</v>
      </c>
      <c r="G1118" s="21">
        <v>8.0000000000000036</v>
      </c>
      <c r="H1118" s="21">
        <v>4.0000000000000036</v>
      </c>
      <c r="I1118" s="21">
        <v>4.0000000000000036</v>
      </c>
      <c r="J1118" s="24" t="s">
        <v>9</v>
      </c>
      <c r="K1118" s="23" t="s">
        <v>375</v>
      </c>
      <c r="L1118" s="59">
        <v>1</v>
      </c>
      <c r="M1118" s="8" t="s">
        <v>317</v>
      </c>
    </row>
    <row r="1119" spans="1:13" ht="15.75" x14ac:dyDescent="0.25">
      <c r="A1119" s="16" t="s">
        <v>0</v>
      </c>
      <c r="B1119" s="17" t="s">
        <v>361</v>
      </c>
      <c r="C1119" s="18">
        <v>43251</v>
      </c>
      <c r="D1119" s="19" t="s">
        <v>18</v>
      </c>
      <c r="E1119" s="20">
        <v>0.70833333333333304</v>
      </c>
      <c r="F1119" s="20">
        <v>0.875</v>
      </c>
      <c r="G1119" s="21">
        <v>8.0000000000000036</v>
      </c>
      <c r="H1119" s="21">
        <v>4.0000000000000036</v>
      </c>
      <c r="I1119" s="21">
        <v>4.0000000000000036</v>
      </c>
      <c r="J1119" s="24" t="s">
        <v>9</v>
      </c>
      <c r="K1119" s="23" t="s">
        <v>375</v>
      </c>
      <c r="L1119" s="59">
        <v>1</v>
      </c>
      <c r="M1119" s="8" t="s">
        <v>317</v>
      </c>
    </row>
    <row r="1120" spans="1:13" ht="15.75" x14ac:dyDescent="0.25">
      <c r="A1120" s="16" t="s">
        <v>0</v>
      </c>
      <c r="B1120" s="17" t="s">
        <v>362</v>
      </c>
      <c r="C1120" s="18">
        <v>43251</v>
      </c>
      <c r="D1120" s="19" t="s">
        <v>18</v>
      </c>
      <c r="E1120" s="20">
        <v>0.70833333333333304</v>
      </c>
      <c r="F1120" s="20">
        <v>0.875</v>
      </c>
      <c r="G1120" s="21">
        <v>8.0000000000000036</v>
      </c>
      <c r="H1120" s="21">
        <v>4.0000000000000036</v>
      </c>
      <c r="I1120" s="21">
        <v>4.0000000000000036</v>
      </c>
      <c r="J1120" s="24" t="s">
        <v>9</v>
      </c>
      <c r="K1120" s="23" t="s">
        <v>375</v>
      </c>
      <c r="L1120" s="59">
        <v>1</v>
      </c>
      <c r="M1120" s="8" t="s">
        <v>317</v>
      </c>
    </row>
    <row r="1121" spans="1:13" ht="15.75" x14ac:dyDescent="0.25">
      <c r="A1121" s="16" t="s">
        <v>0</v>
      </c>
      <c r="B1121" s="17" t="s">
        <v>10</v>
      </c>
      <c r="C1121" s="25">
        <v>43252</v>
      </c>
      <c r="D1121" s="19" t="s">
        <v>17</v>
      </c>
      <c r="E1121" s="20">
        <v>0.70833333333333304</v>
      </c>
      <c r="F1121" s="20">
        <v>0.875</v>
      </c>
      <c r="G1121" s="21">
        <v>8.0000000000000036</v>
      </c>
      <c r="H1121" s="21">
        <v>4.0000000000000036</v>
      </c>
      <c r="I1121" s="21">
        <v>4.0000000000000036</v>
      </c>
      <c r="J1121" s="24" t="s">
        <v>9</v>
      </c>
      <c r="K1121" s="23" t="s">
        <v>377</v>
      </c>
      <c r="L1121" s="59">
        <v>1</v>
      </c>
      <c r="M1121" s="8" t="s">
        <v>318</v>
      </c>
    </row>
    <row r="1122" spans="1:13" ht="15.75" x14ac:dyDescent="0.25">
      <c r="A1122" s="16" t="s">
        <v>0</v>
      </c>
      <c r="B1122" s="17" t="s">
        <v>34</v>
      </c>
      <c r="C1122" s="18">
        <v>43252</v>
      </c>
      <c r="D1122" s="19" t="s">
        <v>17</v>
      </c>
      <c r="E1122" s="20">
        <v>0.64583333333333304</v>
      </c>
      <c r="F1122" s="20">
        <v>0.79166666666666696</v>
      </c>
      <c r="G1122" s="21">
        <v>8.0000000000000036</v>
      </c>
      <c r="H1122" s="21">
        <v>3.5000000000000107</v>
      </c>
      <c r="I1122" s="21">
        <v>3.5000000000000107</v>
      </c>
      <c r="J1122" s="24" t="s">
        <v>9</v>
      </c>
      <c r="K1122" s="23" t="s">
        <v>377</v>
      </c>
      <c r="L1122" s="59">
        <v>1</v>
      </c>
      <c r="M1122" s="8" t="s">
        <v>318</v>
      </c>
    </row>
    <row r="1123" spans="1:13" ht="15.75" x14ac:dyDescent="0.25">
      <c r="A1123" s="16" t="s">
        <v>0</v>
      </c>
      <c r="B1123" s="17" t="s">
        <v>68</v>
      </c>
      <c r="C1123" s="18">
        <v>43252</v>
      </c>
      <c r="D1123" s="19" t="s">
        <v>17</v>
      </c>
      <c r="E1123" s="20">
        <v>0.70833333333333304</v>
      </c>
      <c r="F1123" s="20">
        <v>0.875</v>
      </c>
      <c r="G1123" s="21">
        <v>8.0000000000000036</v>
      </c>
      <c r="H1123" s="21">
        <v>4.0000000000000036</v>
      </c>
      <c r="I1123" s="21">
        <v>4.0000000000000036</v>
      </c>
      <c r="J1123" s="24" t="s">
        <v>9</v>
      </c>
      <c r="K1123" s="23" t="s">
        <v>377</v>
      </c>
      <c r="L1123" s="59">
        <v>1</v>
      </c>
      <c r="M1123" s="8" t="s">
        <v>318</v>
      </c>
    </row>
    <row r="1124" spans="1:13" ht="15.75" x14ac:dyDescent="0.25">
      <c r="A1124" s="16" t="s">
        <v>0</v>
      </c>
      <c r="B1124" s="17" t="s">
        <v>69</v>
      </c>
      <c r="C1124" s="25">
        <v>43252</v>
      </c>
      <c r="D1124" s="19" t="s">
        <v>17</v>
      </c>
      <c r="E1124" s="20">
        <v>0.70833333333333304</v>
      </c>
      <c r="F1124" s="20">
        <v>0.875</v>
      </c>
      <c r="G1124" s="21">
        <v>8.0000000000000036</v>
      </c>
      <c r="H1124" s="21">
        <v>4.0000000000000036</v>
      </c>
      <c r="I1124" s="21">
        <v>4.0000000000000036</v>
      </c>
      <c r="J1124" s="24" t="s">
        <v>9</v>
      </c>
      <c r="K1124" s="23" t="s">
        <v>377</v>
      </c>
      <c r="L1124" s="59">
        <v>1</v>
      </c>
      <c r="M1124" s="8" t="s">
        <v>318</v>
      </c>
    </row>
    <row r="1125" spans="1:13" ht="15.75" x14ac:dyDescent="0.25">
      <c r="A1125" s="16" t="s">
        <v>0</v>
      </c>
      <c r="B1125" s="17" t="s">
        <v>361</v>
      </c>
      <c r="C1125" s="18">
        <v>43252</v>
      </c>
      <c r="D1125" s="19" t="s">
        <v>17</v>
      </c>
      <c r="E1125" s="20">
        <v>0.70833333333333304</v>
      </c>
      <c r="F1125" s="20">
        <v>0.875</v>
      </c>
      <c r="G1125" s="21">
        <v>8.0000000000000036</v>
      </c>
      <c r="H1125" s="21">
        <v>4.0000000000000036</v>
      </c>
      <c r="I1125" s="21">
        <v>4.0000000000000036</v>
      </c>
      <c r="J1125" s="24" t="s">
        <v>9</v>
      </c>
      <c r="K1125" s="23" t="s">
        <v>377</v>
      </c>
      <c r="L1125" s="59">
        <v>1</v>
      </c>
      <c r="M1125" s="8" t="s">
        <v>318</v>
      </c>
    </row>
    <row r="1126" spans="1:13" ht="15.75" x14ac:dyDescent="0.25">
      <c r="A1126" s="16" t="s">
        <v>0</v>
      </c>
      <c r="B1126" s="17" t="s">
        <v>367</v>
      </c>
      <c r="C1126" s="18">
        <v>43252</v>
      </c>
      <c r="D1126" s="19" t="s">
        <v>17</v>
      </c>
      <c r="E1126" s="20">
        <v>0.70833333333333304</v>
      </c>
      <c r="F1126" s="20">
        <v>0.875</v>
      </c>
      <c r="G1126" s="21">
        <v>8.0000000000000036</v>
      </c>
      <c r="H1126" s="21">
        <v>4.0000000000000036</v>
      </c>
      <c r="I1126" s="21">
        <v>4.0000000000000036</v>
      </c>
      <c r="J1126" s="24" t="s">
        <v>9</v>
      </c>
      <c r="K1126" s="23" t="s">
        <v>377</v>
      </c>
      <c r="L1126" s="59">
        <v>1</v>
      </c>
      <c r="M1126" s="8" t="s">
        <v>318</v>
      </c>
    </row>
    <row r="1127" spans="1:13" ht="15.75" x14ac:dyDescent="0.25">
      <c r="A1127" s="16" t="s">
        <v>0</v>
      </c>
      <c r="B1127" s="17" t="s">
        <v>10</v>
      </c>
      <c r="C1127" s="18">
        <v>43253</v>
      </c>
      <c r="D1127" s="19" t="s">
        <v>24</v>
      </c>
      <c r="E1127" s="20">
        <v>0.70833333333333304</v>
      </c>
      <c r="F1127" s="20">
        <v>0.875</v>
      </c>
      <c r="G1127" s="21">
        <v>8.0000000000000036</v>
      </c>
      <c r="H1127" s="21">
        <v>4.0000000000000036</v>
      </c>
      <c r="I1127" s="21">
        <v>12.000000000000007</v>
      </c>
      <c r="J1127" s="24" t="s">
        <v>46</v>
      </c>
      <c r="K1127" s="23" t="s">
        <v>378</v>
      </c>
      <c r="L1127" s="59">
        <v>1</v>
      </c>
      <c r="M1127" s="8" t="s">
        <v>318</v>
      </c>
    </row>
    <row r="1128" spans="1:13" ht="15.75" x14ac:dyDescent="0.25">
      <c r="A1128" s="16" t="s">
        <v>0</v>
      </c>
      <c r="B1128" s="17" t="s">
        <v>12</v>
      </c>
      <c r="C1128" s="18">
        <v>43253</v>
      </c>
      <c r="D1128" s="19" t="s">
        <v>24</v>
      </c>
      <c r="E1128" s="20">
        <v>0.70833333333333304</v>
      </c>
      <c r="F1128" s="20">
        <v>0.875</v>
      </c>
      <c r="G1128" s="21">
        <v>8.0000000000000036</v>
      </c>
      <c r="H1128" s="21">
        <v>4.0000000000000036</v>
      </c>
      <c r="I1128" s="21">
        <v>12.000000000000007</v>
      </c>
      <c r="J1128" s="24" t="s">
        <v>46</v>
      </c>
      <c r="K1128" s="23" t="s">
        <v>378</v>
      </c>
      <c r="L1128" s="59">
        <v>1</v>
      </c>
      <c r="M1128" s="8" t="s">
        <v>318</v>
      </c>
    </row>
    <row r="1129" spans="1:13" ht="15.75" x14ac:dyDescent="0.25">
      <c r="A1129" s="16" t="s">
        <v>0</v>
      </c>
      <c r="B1129" s="17" t="s">
        <v>34</v>
      </c>
      <c r="C1129" s="18">
        <v>43253</v>
      </c>
      <c r="D1129" s="19" t="s">
        <v>24</v>
      </c>
      <c r="E1129" s="20">
        <v>0.70833333333333304</v>
      </c>
      <c r="F1129" s="20">
        <v>0.875</v>
      </c>
      <c r="G1129" s="21">
        <v>8.0000000000000036</v>
      </c>
      <c r="H1129" s="21">
        <v>4.0000000000000036</v>
      </c>
      <c r="I1129" s="21">
        <v>12.000000000000007</v>
      </c>
      <c r="J1129" s="24" t="s">
        <v>46</v>
      </c>
      <c r="K1129" s="23" t="s">
        <v>378</v>
      </c>
      <c r="L1129" s="59">
        <v>1</v>
      </c>
      <c r="M1129" s="8" t="s">
        <v>318</v>
      </c>
    </row>
    <row r="1130" spans="1:13" ht="15.75" x14ac:dyDescent="0.25">
      <c r="A1130" s="16" t="s">
        <v>0</v>
      </c>
      <c r="B1130" s="17" t="s">
        <v>69</v>
      </c>
      <c r="C1130" s="18">
        <v>43253</v>
      </c>
      <c r="D1130" s="19" t="s">
        <v>24</v>
      </c>
      <c r="E1130" s="20">
        <v>0.64583333333333304</v>
      </c>
      <c r="F1130" s="20">
        <v>0.79166666666666696</v>
      </c>
      <c r="G1130" s="21">
        <v>8.0000000000000036</v>
      </c>
      <c r="H1130" s="21">
        <v>3.5000000000000107</v>
      </c>
      <c r="I1130" s="21">
        <v>11.500000000000014</v>
      </c>
      <c r="J1130" s="24" t="s">
        <v>46</v>
      </c>
      <c r="K1130" s="23" t="s">
        <v>378</v>
      </c>
      <c r="L1130" s="59">
        <v>1</v>
      </c>
      <c r="M1130" s="8" t="s">
        <v>318</v>
      </c>
    </row>
    <row r="1131" spans="1:13" ht="15.75" x14ac:dyDescent="0.25">
      <c r="A1131" s="16" t="s">
        <v>0</v>
      </c>
      <c r="B1131" s="17" t="s">
        <v>367</v>
      </c>
      <c r="C1131" s="18">
        <v>43253</v>
      </c>
      <c r="D1131" s="19" t="s">
        <v>24</v>
      </c>
      <c r="E1131" s="20">
        <v>0.70833333333333304</v>
      </c>
      <c r="F1131" s="20">
        <v>0.875</v>
      </c>
      <c r="G1131" s="21">
        <v>8.0000000000000036</v>
      </c>
      <c r="H1131" s="21">
        <v>4.0000000000000036</v>
      </c>
      <c r="I1131" s="21">
        <v>12.000000000000007</v>
      </c>
      <c r="J1131" s="24" t="s">
        <v>46</v>
      </c>
      <c r="K1131" s="23" t="s">
        <v>378</v>
      </c>
      <c r="L1131" s="59">
        <v>1</v>
      </c>
      <c r="M1131" s="8" t="s">
        <v>318</v>
      </c>
    </row>
    <row r="1132" spans="1:13" ht="15.75" x14ac:dyDescent="0.25">
      <c r="A1132" s="16" t="s">
        <v>0</v>
      </c>
      <c r="B1132" s="17" t="s">
        <v>362</v>
      </c>
      <c r="C1132" s="25">
        <v>43253</v>
      </c>
      <c r="D1132" s="19" t="s">
        <v>24</v>
      </c>
      <c r="E1132" s="20">
        <v>0.70833333333333304</v>
      </c>
      <c r="F1132" s="20">
        <v>0.875</v>
      </c>
      <c r="G1132" s="21">
        <v>8.0000000000000036</v>
      </c>
      <c r="H1132" s="21">
        <v>4.0000000000000036</v>
      </c>
      <c r="I1132" s="21">
        <v>12.000000000000007</v>
      </c>
      <c r="J1132" s="24" t="s">
        <v>46</v>
      </c>
      <c r="K1132" s="23" t="s">
        <v>378</v>
      </c>
      <c r="L1132" s="59">
        <v>1</v>
      </c>
      <c r="M1132" s="8" t="s">
        <v>318</v>
      </c>
    </row>
    <row r="1133" spans="1:13" ht="15.75" x14ac:dyDescent="0.25">
      <c r="A1133" s="16" t="s">
        <v>0</v>
      </c>
      <c r="B1133" s="17" t="s">
        <v>10</v>
      </c>
      <c r="C1133" s="18">
        <v>43259</v>
      </c>
      <c r="D1133" s="19" t="s">
        <v>17</v>
      </c>
      <c r="E1133" s="20">
        <v>0.72916666666666696</v>
      </c>
      <c r="F1133" s="20">
        <v>0.875</v>
      </c>
      <c r="G1133" s="21">
        <v>8.0000000000000036</v>
      </c>
      <c r="H1133" s="21">
        <v>3.4999999999999893</v>
      </c>
      <c r="I1133" s="21">
        <v>3.4999999999999893</v>
      </c>
      <c r="J1133" s="24" t="s">
        <v>9</v>
      </c>
      <c r="K1133" s="23" t="s">
        <v>379</v>
      </c>
      <c r="L1133" s="59">
        <v>1</v>
      </c>
      <c r="M1133" s="8" t="s">
        <v>318</v>
      </c>
    </row>
    <row r="1134" spans="1:13" ht="15.75" x14ac:dyDescent="0.25">
      <c r="A1134" s="16" t="s">
        <v>0</v>
      </c>
      <c r="B1134" s="17" t="s">
        <v>34</v>
      </c>
      <c r="C1134" s="18">
        <v>43259</v>
      </c>
      <c r="D1134" s="19" t="s">
        <v>17</v>
      </c>
      <c r="E1134" s="20">
        <v>0.72916666666666696</v>
      </c>
      <c r="F1134" s="20">
        <v>0.875</v>
      </c>
      <c r="G1134" s="21">
        <v>8.0000000000000036</v>
      </c>
      <c r="H1134" s="21">
        <v>3.4999999999999893</v>
      </c>
      <c r="I1134" s="21">
        <v>3.4999999999999893</v>
      </c>
      <c r="J1134" s="24" t="s">
        <v>9</v>
      </c>
      <c r="K1134" s="23" t="s">
        <v>379</v>
      </c>
      <c r="L1134" s="59">
        <v>1</v>
      </c>
      <c r="M1134" s="8" t="s">
        <v>318</v>
      </c>
    </row>
    <row r="1135" spans="1:13" ht="15.75" x14ac:dyDescent="0.25">
      <c r="A1135" s="16" t="s">
        <v>0</v>
      </c>
      <c r="B1135" s="17" t="s">
        <v>361</v>
      </c>
      <c r="C1135" s="18">
        <v>43259</v>
      </c>
      <c r="D1135" s="19" t="s">
        <v>17</v>
      </c>
      <c r="E1135" s="20">
        <v>0.72916666666666696</v>
      </c>
      <c r="F1135" s="20">
        <v>0.875</v>
      </c>
      <c r="G1135" s="21">
        <v>8.0000000000000036</v>
      </c>
      <c r="H1135" s="21">
        <v>3.4999999999999893</v>
      </c>
      <c r="I1135" s="21">
        <v>3.4999999999999893</v>
      </c>
      <c r="J1135" s="24" t="s">
        <v>9</v>
      </c>
      <c r="K1135" s="23" t="s">
        <v>379</v>
      </c>
      <c r="L1135" s="59">
        <v>1</v>
      </c>
      <c r="M1135" s="8" t="s">
        <v>318</v>
      </c>
    </row>
    <row r="1136" spans="1:13" ht="15.75" x14ac:dyDescent="0.25">
      <c r="A1136" s="16" t="s">
        <v>0</v>
      </c>
      <c r="B1136" s="17" t="s">
        <v>367</v>
      </c>
      <c r="C1136" s="18">
        <v>43259</v>
      </c>
      <c r="D1136" s="19" t="s">
        <v>17</v>
      </c>
      <c r="E1136" s="20">
        <v>0.72916666666666696</v>
      </c>
      <c r="F1136" s="20">
        <v>0.875</v>
      </c>
      <c r="G1136" s="21">
        <v>8.0000000000000036</v>
      </c>
      <c r="H1136" s="21">
        <v>3.4999999999999893</v>
      </c>
      <c r="I1136" s="21">
        <v>3.4999999999999893</v>
      </c>
      <c r="J1136" s="24" t="s">
        <v>9</v>
      </c>
      <c r="K1136" s="23" t="s">
        <v>379</v>
      </c>
      <c r="L1136" s="59">
        <v>1</v>
      </c>
      <c r="M1136" s="8" t="s">
        <v>318</v>
      </c>
    </row>
    <row r="1137" spans="1:13" ht="15.75" x14ac:dyDescent="0.25">
      <c r="A1137" s="16" t="s">
        <v>0</v>
      </c>
      <c r="B1137" s="17" t="s">
        <v>362</v>
      </c>
      <c r="C1137" s="18">
        <v>43259</v>
      </c>
      <c r="D1137" s="19" t="s">
        <v>17</v>
      </c>
      <c r="E1137" s="20">
        <v>0.72916666666666696</v>
      </c>
      <c r="F1137" s="20">
        <v>0.875</v>
      </c>
      <c r="G1137" s="21">
        <v>8.0000000000000036</v>
      </c>
      <c r="H1137" s="21">
        <v>3.4999999999999893</v>
      </c>
      <c r="I1137" s="21">
        <v>3.4999999999999893</v>
      </c>
      <c r="J1137" s="24" t="s">
        <v>9</v>
      </c>
      <c r="K1137" s="23" t="s">
        <v>379</v>
      </c>
      <c r="L1137" s="59">
        <v>1</v>
      </c>
      <c r="M1137" s="8" t="s">
        <v>318</v>
      </c>
    </row>
    <row r="1138" spans="1:13" ht="15.75" x14ac:dyDescent="0.25">
      <c r="A1138" s="16" t="s">
        <v>0</v>
      </c>
      <c r="B1138" s="17" t="s">
        <v>376</v>
      </c>
      <c r="C1138" s="25">
        <v>43259</v>
      </c>
      <c r="D1138" s="19" t="s">
        <v>17</v>
      </c>
      <c r="E1138" s="20">
        <v>0.72916666666666696</v>
      </c>
      <c r="F1138" s="20">
        <v>0.875</v>
      </c>
      <c r="G1138" s="21">
        <v>8.0000000000000036</v>
      </c>
      <c r="H1138" s="21">
        <v>3.4999999999999893</v>
      </c>
      <c r="I1138" s="21">
        <v>3.4999999999999893</v>
      </c>
      <c r="J1138" s="24" t="s">
        <v>9</v>
      </c>
      <c r="K1138" s="23" t="s">
        <v>379</v>
      </c>
      <c r="L1138" s="59">
        <v>1</v>
      </c>
      <c r="M1138" s="8" t="s">
        <v>318</v>
      </c>
    </row>
    <row r="1139" spans="1:13" ht="15.75" x14ac:dyDescent="0.25">
      <c r="A1139" s="16" t="s">
        <v>0</v>
      </c>
      <c r="B1139" s="17" t="s">
        <v>10</v>
      </c>
      <c r="C1139" s="18">
        <v>43260</v>
      </c>
      <c r="D1139" s="19" t="s">
        <v>24</v>
      </c>
      <c r="E1139" s="20">
        <v>0.66666666666666696</v>
      </c>
      <c r="F1139" s="20">
        <v>0.875</v>
      </c>
      <c r="G1139" s="21">
        <v>8.0000000000000036</v>
      </c>
      <c r="H1139" s="21">
        <v>4.9999999999999893</v>
      </c>
      <c r="I1139" s="21">
        <v>12.999999999999993</v>
      </c>
      <c r="J1139" s="24" t="s">
        <v>46</v>
      </c>
      <c r="K1139" s="23" t="s">
        <v>380</v>
      </c>
      <c r="L1139" s="59">
        <v>1</v>
      </c>
      <c r="M1139" s="8" t="s">
        <v>318</v>
      </c>
    </row>
    <row r="1140" spans="1:13" ht="15.75" x14ac:dyDescent="0.25">
      <c r="A1140" s="16" t="s">
        <v>0</v>
      </c>
      <c r="B1140" s="17" t="s">
        <v>361</v>
      </c>
      <c r="C1140" s="18">
        <v>43260</v>
      </c>
      <c r="D1140" s="19" t="s">
        <v>24</v>
      </c>
      <c r="E1140" s="20">
        <v>0.70833333333333304</v>
      </c>
      <c r="F1140" s="20">
        <v>0.875</v>
      </c>
      <c r="G1140" s="21">
        <v>8.0000000000000036</v>
      </c>
      <c r="H1140" s="21">
        <v>4.0000000000000036</v>
      </c>
      <c r="I1140" s="21">
        <v>12.000000000000007</v>
      </c>
      <c r="J1140" s="24" t="s">
        <v>46</v>
      </c>
      <c r="K1140" s="23" t="s">
        <v>380</v>
      </c>
      <c r="L1140" s="59">
        <v>1</v>
      </c>
      <c r="M1140" s="8" t="s">
        <v>318</v>
      </c>
    </row>
    <row r="1141" spans="1:13" ht="15.75" x14ac:dyDescent="0.25">
      <c r="A1141" s="16" t="s">
        <v>0</v>
      </c>
      <c r="B1141" s="17" t="s">
        <v>367</v>
      </c>
      <c r="C1141" s="18">
        <v>43260</v>
      </c>
      <c r="D1141" s="19" t="s">
        <v>24</v>
      </c>
      <c r="E1141" s="20">
        <v>0.70833333333333304</v>
      </c>
      <c r="F1141" s="20">
        <v>0.875</v>
      </c>
      <c r="G1141" s="21">
        <v>8.0000000000000036</v>
      </c>
      <c r="H1141" s="21">
        <v>4.0000000000000036</v>
      </c>
      <c r="I1141" s="21">
        <v>12.000000000000007</v>
      </c>
      <c r="J1141" s="24" t="s">
        <v>46</v>
      </c>
      <c r="K1141" s="23" t="s">
        <v>380</v>
      </c>
      <c r="L1141" s="59">
        <v>1</v>
      </c>
      <c r="M1141" s="8" t="s">
        <v>318</v>
      </c>
    </row>
    <row r="1142" spans="1:13" ht="15.75" x14ac:dyDescent="0.25">
      <c r="A1142" s="16" t="s">
        <v>0</v>
      </c>
      <c r="B1142" s="17" t="s">
        <v>376</v>
      </c>
      <c r="C1142" s="18">
        <v>43260</v>
      </c>
      <c r="D1142" s="19" t="s">
        <v>24</v>
      </c>
      <c r="E1142" s="20">
        <v>0.70833333333333304</v>
      </c>
      <c r="F1142" s="20">
        <v>0.875</v>
      </c>
      <c r="G1142" s="21">
        <v>8.0000000000000036</v>
      </c>
      <c r="H1142" s="21">
        <v>4.0000000000000036</v>
      </c>
      <c r="I1142" s="21">
        <v>12.000000000000007</v>
      </c>
      <c r="J1142" s="24" t="s">
        <v>46</v>
      </c>
      <c r="K1142" s="23" t="s">
        <v>380</v>
      </c>
      <c r="L1142" s="59">
        <v>1</v>
      </c>
      <c r="M1142" s="8" t="s">
        <v>318</v>
      </c>
    </row>
    <row r="1143" spans="1:13" ht="15.75" x14ac:dyDescent="0.25">
      <c r="A1143" s="16" t="s">
        <v>0</v>
      </c>
      <c r="B1143" s="17" t="s">
        <v>10</v>
      </c>
      <c r="C1143" s="18">
        <v>43263</v>
      </c>
      <c r="D1143" s="19" t="s">
        <v>16</v>
      </c>
      <c r="E1143" s="20">
        <v>0.72916666666666696</v>
      </c>
      <c r="F1143" s="20">
        <v>0.85416666666666696</v>
      </c>
      <c r="G1143" s="21">
        <v>8.0000000000000036</v>
      </c>
      <c r="H1143" s="21">
        <v>2.9999999999999947</v>
      </c>
      <c r="I1143" s="21">
        <v>2.9999999999999947</v>
      </c>
      <c r="J1143" s="24" t="s">
        <v>9</v>
      </c>
      <c r="K1143" s="23" t="s">
        <v>381</v>
      </c>
      <c r="L1143" s="59">
        <v>1</v>
      </c>
      <c r="M1143" s="8" t="s">
        <v>318</v>
      </c>
    </row>
    <row r="1144" spans="1:13" ht="15.75" x14ac:dyDescent="0.25">
      <c r="A1144" s="16" t="s">
        <v>0</v>
      </c>
      <c r="B1144" s="17" t="s">
        <v>12</v>
      </c>
      <c r="C1144" s="18">
        <v>43263</v>
      </c>
      <c r="D1144" s="19" t="s">
        <v>16</v>
      </c>
      <c r="E1144" s="20">
        <v>0.72916666666666696</v>
      </c>
      <c r="F1144" s="20">
        <v>0.85416666666666696</v>
      </c>
      <c r="G1144" s="21">
        <v>8.0000000000000036</v>
      </c>
      <c r="H1144" s="21">
        <v>2.9999999999999947</v>
      </c>
      <c r="I1144" s="21">
        <v>2.9999999999999947</v>
      </c>
      <c r="J1144" s="24" t="s">
        <v>9</v>
      </c>
      <c r="K1144" s="23" t="s">
        <v>381</v>
      </c>
      <c r="L1144" s="59">
        <v>1</v>
      </c>
      <c r="M1144" s="8" t="s">
        <v>318</v>
      </c>
    </row>
    <row r="1145" spans="1:13" ht="15.75" x14ac:dyDescent="0.25">
      <c r="A1145" s="16" t="s">
        <v>0</v>
      </c>
      <c r="B1145" s="17" t="s">
        <v>68</v>
      </c>
      <c r="C1145" s="25">
        <v>43263</v>
      </c>
      <c r="D1145" s="19" t="s">
        <v>16</v>
      </c>
      <c r="E1145" s="20">
        <v>0.72916666666666696</v>
      </c>
      <c r="F1145" s="20">
        <v>0.85416666666666696</v>
      </c>
      <c r="G1145" s="21">
        <v>8.0000000000000036</v>
      </c>
      <c r="H1145" s="21">
        <v>2.9999999999999947</v>
      </c>
      <c r="I1145" s="21">
        <v>2.9999999999999947</v>
      </c>
      <c r="J1145" s="24" t="s">
        <v>9</v>
      </c>
      <c r="K1145" s="23" t="s">
        <v>381</v>
      </c>
      <c r="L1145" s="59">
        <v>1</v>
      </c>
      <c r="M1145" s="8" t="s">
        <v>318</v>
      </c>
    </row>
    <row r="1146" spans="1:13" ht="15.75" x14ac:dyDescent="0.25">
      <c r="A1146" s="16" t="s">
        <v>0</v>
      </c>
      <c r="B1146" s="17" t="s">
        <v>69</v>
      </c>
      <c r="C1146" s="18">
        <v>43263</v>
      </c>
      <c r="D1146" s="19" t="s">
        <v>16</v>
      </c>
      <c r="E1146" s="20">
        <v>0.72916666666666696</v>
      </c>
      <c r="F1146" s="20">
        <v>0.85416666666666696</v>
      </c>
      <c r="G1146" s="21">
        <v>8.0000000000000036</v>
      </c>
      <c r="H1146" s="21">
        <v>2.9999999999999947</v>
      </c>
      <c r="I1146" s="21">
        <v>2.9999999999999947</v>
      </c>
      <c r="J1146" s="24" t="s">
        <v>9</v>
      </c>
      <c r="K1146" s="23" t="s">
        <v>381</v>
      </c>
      <c r="L1146" s="59">
        <v>1</v>
      </c>
      <c r="M1146" s="8" t="s">
        <v>318</v>
      </c>
    </row>
    <row r="1147" spans="1:13" ht="15.75" x14ac:dyDescent="0.25">
      <c r="A1147" s="16" t="s">
        <v>0</v>
      </c>
      <c r="B1147" s="17" t="s">
        <v>361</v>
      </c>
      <c r="C1147" s="18">
        <v>43263</v>
      </c>
      <c r="D1147" s="19" t="s">
        <v>16</v>
      </c>
      <c r="E1147" s="20">
        <v>0.72916666666666696</v>
      </c>
      <c r="F1147" s="20">
        <v>0.85416666666666696</v>
      </c>
      <c r="G1147" s="21">
        <v>8.0000000000000036</v>
      </c>
      <c r="H1147" s="21">
        <v>2.9999999999999947</v>
      </c>
      <c r="I1147" s="21">
        <v>2.9999999999999947</v>
      </c>
      <c r="J1147" s="24" t="s">
        <v>9</v>
      </c>
      <c r="K1147" s="23" t="s">
        <v>381</v>
      </c>
      <c r="L1147" s="59">
        <v>1</v>
      </c>
      <c r="M1147" s="8" t="s">
        <v>318</v>
      </c>
    </row>
    <row r="1148" spans="1:13" ht="15.75" x14ac:dyDescent="0.25">
      <c r="A1148" s="16" t="s">
        <v>0</v>
      </c>
      <c r="B1148" s="17" t="s">
        <v>367</v>
      </c>
      <c r="C1148" s="18">
        <v>43263</v>
      </c>
      <c r="D1148" s="19" t="s">
        <v>16</v>
      </c>
      <c r="E1148" s="20">
        <v>0.72916666666666696</v>
      </c>
      <c r="F1148" s="20">
        <v>0.85416666666666696</v>
      </c>
      <c r="G1148" s="21">
        <v>8.0000000000000036</v>
      </c>
      <c r="H1148" s="21">
        <v>2.9999999999999947</v>
      </c>
      <c r="I1148" s="21">
        <v>2.9999999999999947</v>
      </c>
      <c r="J1148" s="24" t="s">
        <v>9</v>
      </c>
      <c r="K1148" s="23" t="s">
        <v>381</v>
      </c>
      <c r="L1148" s="59">
        <v>1</v>
      </c>
      <c r="M1148" s="8" t="s">
        <v>318</v>
      </c>
    </row>
    <row r="1149" spans="1:13" ht="15.75" x14ac:dyDescent="0.25">
      <c r="A1149" s="16" t="s">
        <v>0</v>
      </c>
      <c r="B1149" s="17" t="s">
        <v>362</v>
      </c>
      <c r="C1149" s="18">
        <v>43263</v>
      </c>
      <c r="D1149" s="19" t="s">
        <v>16</v>
      </c>
      <c r="E1149" s="20">
        <v>0.72916666666666696</v>
      </c>
      <c r="F1149" s="20">
        <v>0.85416666666666696</v>
      </c>
      <c r="G1149" s="21">
        <v>8.0000000000000036</v>
      </c>
      <c r="H1149" s="21">
        <v>2.9999999999999947</v>
      </c>
      <c r="I1149" s="21">
        <v>2.9999999999999947</v>
      </c>
      <c r="J1149" s="24" t="s">
        <v>9</v>
      </c>
      <c r="K1149" s="23" t="s">
        <v>381</v>
      </c>
      <c r="L1149" s="59">
        <v>1</v>
      </c>
      <c r="M1149" s="8" t="s">
        <v>318</v>
      </c>
    </row>
    <row r="1150" spans="1:13" ht="15.75" x14ac:dyDescent="0.25">
      <c r="A1150" s="16" t="s">
        <v>0</v>
      </c>
      <c r="B1150" s="17" t="s">
        <v>376</v>
      </c>
      <c r="C1150" s="18">
        <v>43263</v>
      </c>
      <c r="D1150" s="19" t="s">
        <v>16</v>
      </c>
      <c r="E1150" s="20">
        <v>0.72916666666666696</v>
      </c>
      <c r="F1150" s="20">
        <v>0.85416666666666696</v>
      </c>
      <c r="G1150" s="21">
        <v>8.0000000000000036</v>
      </c>
      <c r="H1150" s="21">
        <v>2.9999999999999947</v>
      </c>
      <c r="I1150" s="21">
        <v>2.9999999999999947</v>
      </c>
      <c r="J1150" s="24" t="s">
        <v>9</v>
      </c>
      <c r="K1150" s="23" t="s">
        <v>381</v>
      </c>
      <c r="L1150" s="59">
        <v>1</v>
      </c>
      <c r="M1150" s="8" t="s">
        <v>318</v>
      </c>
    </row>
    <row r="1151" spans="1:13" ht="15.75" x14ac:dyDescent="0.25">
      <c r="A1151" s="16" t="s">
        <v>0</v>
      </c>
      <c r="B1151" s="17" t="s">
        <v>10</v>
      </c>
      <c r="C1151" s="25">
        <v>43264</v>
      </c>
      <c r="D1151" s="19" t="s">
        <v>19</v>
      </c>
      <c r="E1151" s="20">
        <v>0.72916666666666696</v>
      </c>
      <c r="F1151" s="20">
        <v>0.875</v>
      </c>
      <c r="G1151" s="21">
        <v>8.0000000000000036</v>
      </c>
      <c r="H1151" s="21">
        <v>3.4999999999999893</v>
      </c>
      <c r="I1151" s="21">
        <v>3.4999999999999893</v>
      </c>
      <c r="J1151" s="24" t="s">
        <v>9</v>
      </c>
      <c r="K1151" s="23" t="s">
        <v>382</v>
      </c>
      <c r="L1151" s="59">
        <v>1</v>
      </c>
      <c r="M1151" s="8" t="s">
        <v>318</v>
      </c>
    </row>
    <row r="1152" spans="1:13" ht="15.75" x14ac:dyDescent="0.25">
      <c r="A1152" s="16" t="s">
        <v>0</v>
      </c>
      <c r="B1152" s="17" t="s">
        <v>12</v>
      </c>
      <c r="C1152" s="18">
        <v>43264</v>
      </c>
      <c r="D1152" s="19" t="s">
        <v>19</v>
      </c>
      <c r="E1152" s="20">
        <v>0.72916666666666696</v>
      </c>
      <c r="F1152" s="20">
        <v>0.875</v>
      </c>
      <c r="G1152" s="21">
        <v>8.0000000000000036</v>
      </c>
      <c r="H1152" s="21">
        <v>3.4999999999999893</v>
      </c>
      <c r="I1152" s="21">
        <v>3.4999999999999893</v>
      </c>
      <c r="J1152" s="24" t="s">
        <v>9</v>
      </c>
      <c r="K1152" s="23" t="s">
        <v>382</v>
      </c>
      <c r="L1152" s="59">
        <v>1</v>
      </c>
      <c r="M1152" s="8" t="s">
        <v>318</v>
      </c>
    </row>
    <row r="1153" spans="1:13" ht="15.75" x14ac:dyDescent="0.25">
      <c r="A1153" s="16" t="s">
        <v>0</v>
      </c>
      <c r="B1153" s="17" t="s">
        <v>34</v>
      </c>
      <c r="C1153" s="18">
        <v>43264</v>
      </c>
      <c r="D1153" s="19" t="s">
        <v>19</v>
      </c>
      <c r="E1153" s="20">
        <v>0.66666666666666696</v>
      </c>
      <c r="F1153" s="20">
        <v>0.79166666666666696</v>
      </c>
      <c r="G1153" s="21">
        <v>8.0000000000000036</v>
      </c>
      <c r="H1153" s="21">
        <v>2.9999999999999947</v>
      </c>
      <c r="I1153" s="21">
        <v>2.9999999999999947</v>
      </c>
      <c r="J1153" s="24" t="s">
        <v>9</v>
      </c>
      <c r="K1153" s="23" t="s">
        <v>382</v>
      </c>
      <c r="L1153" s="59">
        <v>1</v>
      </c>
      <c r="M1153" s="8" t="s">
        <v>318</v>
      </c>
    </row>
    <row r="1154" spans="1:13" ht="15.75" x14ac:dyDescent="0.25">
      <c r="A1154" s="16" t="s">
        <v>0</v>
      </c>
      <c r="B1154" s="17" t="s">
        <v>68</v>
      </c>
      <c r="C1154" s="18">
        <v>43264</v>
      </c>
      <c r="D1154" s="19" t="s">
        <v>19</v>
      </c>
      <c r="E1154" s="20">
        <v>0.72916666666666696</v>
      </c>
      <c r="F1154" s="20">
        <v>0.875</v>
      </c>
      <c r="G1154" s="21">
        <v>8.0000000000000036</v>
      </c>
      <c r="H1154" s="21">
        <v>3.4999999999999893</v>
      </c>
      <c r="I1154" s="21">
        <v>3.4999999999999893</v>
      </c>
      <c r="J1154" s="24" t="s">
        <v>9</v>
      </c>
      <c r="K1154" s="23" t="s">
        <v>382</v>
      </c>
      <c r="L1154" s="59">
        <v>1</v>
      </c>
      <c r="M1154" s="8" t="s">
        <v>318</v>
      </c>
    </row>
    <row r="1155" spans="1:13" ht="15.75" x14ac:dyDescent="0.25">
      <c r="A1155" s="16" t="s">
        <v>0</v>
      </c>
      <c r="B1155" s="17" t="s">
        <v>69</v>
      </c>
      <c r="C1155" s="18">
        <v>43264</v>
      </c>
      <c r="D1155" s="19" t="s">
        <v>19</v>
      </c>
      <c r="E1155" s="20">
        <v>0.72916666666666696</v>
      </c>
      <c r="F1155" s="20">
        <v>0.875</v>
      </c>
      <c r="G1155" s="21">
        <v>8.0000000000000036</v>
      </c>
      <c r="H1155" s="21">
        <v>3.4999999999999893</v>
      </c>
      <c r="I1155" s="21">
        <v>3.4999999999999893</v>
      </c>
      <c r="J1155" s="24" t="s">
        <v>9</v>
      </c>
      <c r="K1155" s="23" t="s">
        <v>382</v>
      </c>
      <c r="L1155" s="59">
        <v>1</v>
      </c>
      <c r="M1155" s="8" t="s">
        <v>318</v>
      </c>
    </row>
    <row r="1156" spans="1:13" ht="15.75" x14ac:dyDescent="0.25">
      <c r="A1156" s="16" t="s">
        <v>0</v>
      </c>
      <c r="B1156" s="17" t="s">
        <v>361</v>
      </c>
      <c r="C1156" s="18">
        <v>43264</v>
      </c>
      <c r="D1156" s="19" t="s">
        <v>19</v>
      </c>
      <c r="E1156" s="20">
        <v>0.72916666666666696</v>
      </c>
      <c r="F1156" s="20">
        <v>0.875</v>
      </c>
      <c r="G1156" s="21">
        <v>8.0000000000000036</v>
      </c>
      <c r="H1156" s="21">
        <v>3.4999999999999893</v>
      </c>
      <c r="I1156" s="21">
        <v>3.4999999999999893</v>
      </c>
      <c r="J1156" s="24" t="s">
        <v>9</v>
      </c>
      <c r="K1156" s="23" t="s">
        <v>382</v>
      </c>
      <c r="L1156" s="59">
        <v>1</v>
      </c>
      <c r="M1156" s="8" t="s">
        <v>318</v>
      </c>
    </row>
    <row r="1157" spans="1:13" ht="15.75" x14ac:dyDescent="0.25">
      <c r="A1157" s="16" t="s">
        <v>0</v>
      </c>
      <c r="B1157" s="17" t="s">
        <v>367</v>
      </c>
      <c r="C1157" s="18">
        <v>43264</v>
      </c>
      <c r="D1157" s="19" t="s">
        <v>19</v>
      </c>
      <c r="E1157" s="20">
        <v>0.72916666666666696</v>
      </c>
      <c r="F1157" s="20">
        <v>0.875</v>
      </c>
      <c r="G1157" s="21">
        <v>8.0000000000000036</v>
      </c>
      <c r="H1157" s="21">
        <v>3.4999999999999893</v>
      </c>
      <c r="I1157" s="21">
        <v>3.4999999999999893</v>
      </c>
      <c r="J1157" s="24" t="s">
        <v>9</v>
      </c>
      <c r="K1157" s="23" t="s">
        <v>382</v>
      </c>
      <c r="L1157" s="59">
        <v>1</v>
      </c>
      <c r="M1157" s="8" t="s">
        <v>318</v>
      </c>
    </row>
    <row r="1158" spans="1:13" ht="15.75" x14ac:dyDescent="0.25">
      <c r="A1158" s="16" t="s">
        <v>0</v>
      </c>
      <c r="B1158" s="17" t="s">
        <v>362</v>
      </c>
      <c r="C1158" s="18">
        <v>43264</v>
      </c>
      <c r="D1158" s="19" t="s">
        <v>19</v>
      </c>
      <c r="E1158" s="20">
        <v>0.72916666666666696</v>
      </c>
      <c r="F1158" s="20">
        <v>0.875</v>
      </c>
      <c r="G1158" s="21">
        <v>8.0000000000000036</v>
      </c>
      <c r="H1158" s="21">
        <v>3.4999999999999893</v>
      </c>
      <c r="I1158" s="21">
        <v>3.4999999999999893</v>
      </c>
      <c r="J1158" s="24" t="s">
        <v>9</v>
      </c>
      <c r="K1158" s="23" t="s">
        <v>382</v>
      </c>
      <c r="L1158" s="59">
        <v>1</v>
      </c>
      <c r="M1158" s="8" t="s">
        <v>318</v>
      </c>
    </row>
    <row r="1159" spans="1:13" ht="15.75" x14ac:dyDescent="0.25">
      <c r="A1159" s="16" t="s">
        <v>0</v>
      </c>
      <c r="B1159" s="17" t="s">
        <v>376</v>
      </c>
      <c r="C1159" s="25">
        <v>43264</v>
      </c>
      <c r="D1159" s="19" t="s">
        <v>19</v>
      </c>
      <c r="E1159" s="20">
        <v>0.72916666666666696</v>
      </c>
      <c r="F1159" s="20">
        <v>0.875</v>
      </c>
      <c r="G1159" s="21">
        <v>8.0000000000000036</v>
      </c>
      <c r="H1159" s="21">
        <v>3.4999999999999893</v>
      </c>
      <c r="I1159" s="21">
        <v>3.4999999999999893</v>
      </c>
      <c r="J1159" s="24" t="s">
        <v>9</v>
      </c>
      <c r="K1159" s="23" t="s">
        <v>382</v>
      </c>
      <c r="L1159" s="59">
        <v>1</v>
      </c>
      <c r="M1159" s="8" t="s">
        <v>318</v>
      </c>
    </row>
    <row r="1160" spans="1:13" ht="15.75" x14ac:dyDescent="0.25">
      <c r="A1160" s="16" t="s">
        <v>0</v>
      </c>
      <c r="B1160" s="17" t="s">
        <v>10</v>
      </c>
      <c r="C1160" s="18">
        <v>43270</v>
      </c>
      <c r="D1160" s="19" t="s">
        <v>16</v>
      </c>
      <c r="E1160" s="20">
        <v>0.72916666666666696</v>
      </c>
      <c r="F1160" s="20">
        <v>0.89583333333333304</v>
      </c>
      <c r="G1160" s="21">
        <v>8.0000000000000036</v>
      </c>
      <c r="H1160" s="21">
        <v>3.9999999999999822</v>
      </c>
      <c r="I1160" s="21">
        <v>3.9999999999999822</v>
      </c>
      <c r="J1160" s="24" t="s">
        <v>9</v>
      </c>
      <c r="K1160" s="23" t="s">
        <v>383</v>
      </c>
      <c r="L1160" s="59">
        <v>1</v>
      </c>
      <c r="M1160" s="8" t="s">
        <v>318</v>
      </c>
    </row>
    <row r="1161" spans="1:13" ht="15.75" x14ac:dyDescent="0.25">
      <c r="A1161" s="16" t="s">
        <v>0</v>
      </c>
      <c r="B1161" s="17" t="s">
        <v>12</v>
      </c>
      <c r="C1161" s="18">
        <v>43270</v>
      </c>
      <c r="D1161" s="19" t="s">
        <v>16</v>
      </c>
      <c r="E1161" s="20">
        <v>0.72916666666666696</v>
      </c>
      <c r="F1161" s="20">
        <v>0.89583333333333304</v>
      </c>
      <c r="G1161" s="21">
        <v>8.0000000000000036</v>
      </c>
      <c r="H1161" s="21">
        <v>3.9999999999999822</v>
      </c>
      <c r="I1161" s="21">
        <v>3.9999999999999822</v>
      </c>
      <c r="J1161" s="24" t="s">
        <v>9</v>
      </c>
      <c r="K1161" s="23" t="s">
        <v>383</v>
      </c>
      <c r="L1161" s="59">
        <v>1</v>
      </c>
      <c r="M1161" s="8" t="s">
        <v>318</v>
      </c>
    </row>
    <row r="1162" spans="1:13" ht="15.75" x14ac:dyDescent="0.25">
      <c r="A1162" s="16" t="s">
        <v>0</v>
      </c>
      <c r="B1162" s="17" t="s">
        <v>34</v>
      </c>
      <c r="C1162" s="18">
        <v>43270</v>
      </c>
      <c r="D1162" s="19" t="s">
        <v>16</v>
      </c>
      <c r="E1162" s="20">
        <v>0.72916666666666696</v>
      </c>
      <c r="F1162" s="20">
        <v>0.89583333333333304</v>
      </c>
      <c r="G1162" s="21">
        <v>8.0000000000000036</v>
      </c>
      <c r="H1162" s="21">
        <v>3.9999999999999822</v>
      </c>
      <c r="I1162" s="21">
        <v>3.9999999999999822</v>
      </c>
      <c r="J1162" s="24" t="s">
        <v>9</v>
      </c>
      <c r="K1162" s="23" t="s">
        <v>383</v>
      </c>
      <c r="L1162" s="59">
        <v>1</v>
      </c>
      <c r="M1162" s="8" t="s">
        <v>318</v>
      </c>
    </row>
    <row r="1163" spans="1:13" ht="15.75" x14ac:dyDescent="0.25">
      <c r="A1163" s="16" t="s">
        <v>0</v>
      </c>
      <c r="B1163" s="17" t="s">
        <v>68</v>
      </c>
      <c r="C1163" s="18">
        <v>43270</v>
      </c>
      <c r="D1163" s="19" t="s">
        <v>16</v>
      </c>
      <c r="E1163" s="20">
        <v>0.72916666666666696</v>
      </c>
      <c r="F1163" s="20">
        <v>0.89583333333333304</v>
      </c>
      <c r="G1163" s="21">
        <v>8.0000000000000036</v>
      </c>
      <c r="H1163" s="21">
        <v>3.9999999999999822</v>
      </c>
      <c r="I1163" s="21">
        <v>3.9999999999999822</v>
      </c>
      <c r="J1163" s="24" t="s">
        <v>9</v>
      </c>
      <c r="K1163" s="23" t="s">
        <v>383</v>
      </c>
      <c r="L1163" s="59">
        <v>1</v>
      </c>
      <c r="M1163" s="8" t="s">
        <v>318</v>
      </c>
    </row>
    <row r="1164" spans="1:13" ht="15.75" x14ac:dyDescent="0.25">
      <c r="A1164" s="16" t="s">
        <v>0</v>
      </c>
      <c r="B1164" s="17" t="s">
        <v>69</v>
      </c>
      <c r="C1164" s="18">
        <v>43270</v>
      </c>
      <c r="D1164" s="19" t="s">
        <v>16</v>
      </c>
      <c r="E1164" s="20">
        <v>0.72916666666666696</v>
      </c>
      <c r="F1164" s="20">
        <v>0.89583333333333304</v>
      </c>
      <c r="G1164" s="21">
        <v>8.0000000000000036</v>
      </c>
      <c r="H1164" s="21">
        <v>3.9999999999999822</v>
      </c>
      <c r="I1164" s="21">
        <v>3.9999999999999822</v>
      </c>
      <c r="J1164" s="24" t="s">
        <v>9</v>
      </c>
      <c r="K1164" s="23" t="s">
        <v>383</v>
      </c>
      <c r="L1164" s="59">
        <v>1</v>
      </c>
      <c r="M1164" s="8" t="s">
        <v>318</v>
      </c>
    </row>
    <row r="1165" spans="1:13" ht="15.75" x14ac:dyDescent="0.25">
      <c r="A1165" s="16" t="s">
        <v>0</v>
      </c>
      <c r="B1165" s="17" t="s">
        <v>361</v>
      </c>
      <c r="C1165" s="18">
        <v>43270</v>
      </c>
      <c r="D1165" s="19" t="s">
        <v>16</v>
      </c>
      <c r="E1165" s="20">
        <v>0.72916666666666696</v>
      </c>
      <c r="F1165" s="20">
        <v>0.89583333333333304</v>
      </c>
      <c r="G1165" s="21">
        <v>8.0000000000000036</v>
      </c>
      <c r="H1165" s="21">
        <v>3.9999999999999822</v>
      </c>
      <c r="I1165" s="21">
        <v>3.9999999999999822</v>
      </c>
      <c r="J1165" s="24" t="s">
        <v>9</v>
      </c>
      <c r="K1165" s="23" t="s">
        <v>383</v>
      </c>
      <c r="L1165" s="59">
        <v>1</v>
      </c>
      <c r="M1165" s="8" t="s">
        <v>318</v>
      </c>
    </row>
    <row r="1166" spans="1:13" ht="15.75" x14ac:dyDescent="0.25">
      <c r="A1166" s="16" t="s">
        <v>0</v>
      </c>
      <c r="B1166" s="17" t="s">
        <v>367</v>
      </c>
      <c r="C1166" s="25">
        <v>43270</v>
      </c>
      <c r="D1166" s="19" t="s">
        <v>16</v>
      </c>
      <c r="E1166" s="20">
        <v>0.72916666666666696</v>
      </c>
      <c r="F1166" s="20">
        <v>0.89583333333333304</v>
      </c>
      <c r="G1166" s="21">
        <v>8.0000000000000036</v>
      </c>
      <c r="H1166" s="21">
        <v>3.9999999999999822</v>
      </c>
      <c r="I1166" s="21">
        <v>3.9999999999999822</v>
      </c>
      <c r="J1166" s="24" t="s">
        <v>9</v>
      </c>
      <c r="K1166" s="23" t="s">
        <v>383</v>
      </c>
      <c r="L1166" s="59">
        <v>1</v>
      </c>
      <c r="M1166" s="8" t="s">
        <v>318</v>
      </c>
    </row>
    <row r="1167" spans="1:13" ht="15.75" x14ac:dyDescent="0.25">
      <c r="A1167" s="16" t="s">
        <v>0</v>
      </c>
      <c r="B1167" s="17" t="s">
        <v>362</v>
      </c>
      <c r="C1167" s="18">
        <v>43270</v>
      </c>
      <c r="D1167" s="19" t="s">
        <v>16</v>
      </c>
      <c r="E1167" s="20">
        <v>0.72916666666666696</v>
      </c>
      <c r="F1167" s="20">
        <v>0.89583333333333304</v>
      </c>
      <c r="G1167" s="21">
        <v>8.0000000000000036</v>
      </c>
      <c r="H1167" s="21">
        <v>3.9999999999999822</v>
      </c>
      <c r="I1167" s="21">
        <v>3.9999999999999822</v>
      </c>
      <c r="J1167" s="24" t="s">
        <v>9</v>
      </c>
      <c r="K1167" s="23" t="s">
        <v>383</v>
      </c>
      <c r="L1167" s="59">
        <v>1</v>
      </c>
      <c r="M1167" s="8" t="s">
        <v>318</v>
      </c>
    </row>
    <row r="1168" spans="1:13" ht="15.75" x14ac:dyDescent="0.25">
      <c r="A1168" s="16" t="s">
        <v>0</v>
      </c>
      <c r="B1168" s="17" t="s">
        <v>376</v>
      </c>
      <c r="C1168" s="18">
        <v>43270</v>
      </c>
      <c r="D1168" s="19" t="s">
        <v>16</v>
      </c>
      <c r="E1168" s="20">
        <v>0.72916666666666696</v>
      </c>
      <c r="F1168" s="20">
        <v>0.89583333333333304</v>
      </c>
      <c r="G1168" s="21">
        <v>8.0000000000000036</v>
      </c>
      <c r="H1168" s="21">
        <v>3.9999999999999822</v>
      </c>
      <c r="I1168" s="21">
        <v>3.9999999999999822</v>
      </c>
      <c r="J1168" s="24" t="s">
        <v>9</v>
      </c>
      <c r="K1168" s="23" t="s">
        <v>383</v>
      </c>
      <c r="L1168" s="59">
        <v>1</v>
      </c>
      <c r="M1168" s="8" t="s">
        <v>318</v>
      </c>
    </row>
    <row r="1169" spans="1:13" ht="15.75" x14ac:dyDescent="0.25">
      <c r="A1169" s="16" t="s">
        <v>0</v>
      </c>
      <c r="B1169" s="17" t="s">
        <v>10</v>
      </c>
      <c r="C1169" s="18">
        <v>43276</v>
      </c>
      <c r="D1169" s="19" t="s">
        <v>21</v>
      </c>
      <c r="E1169" s="20">
        <v>0.77083333333333304</v>
      </c>
      <c r="F1169" s="20">
        <v>0.89583333333333304</v>
      </c>
      <c r="G1169" s="21">
        <v>8.0000000000000036</v>
      </c>
      <c r="H1169" s="21">
        <v>2.9999999999999964</v>
      </c>
      <c r="I1169" s="21">
        <v>2.9999999999999964</v>
      </c>
      <c r="J1169" s="24" t="s">
        <v>9</v>
      </c>
      <c r="K1169" s="23" t="s">
        <v>384</v>
      </c>
      <c r="L1169" s="59">
        <v>1</v>
      </c>
      <c r="M1169" s="8" t="s">
        <v>318</v>
      </c>
    </row>
    <row r="1170" spans="1:13" ht="15.75" x14ac:dyDescent="0.25">
      <c r="A1170" s="16" t="s">
        <v>0</v>
      </c>
      <c r="B1170" s="17" t="s">
        <v>12</v>
      </c>
      <c r="C1170" s="18">
        <v>43276</v>
      </c>
      <c r="D1170" s="19" t="s">
        <v>21</v>
      </c>
      <c r="E1170" s="20">
        <v>0.72916666666666696</v>
      </c>
      <c r="F1170" s="20">
        <v>0.89583333333333304</v>
      </c>
      <c r="G1170" s="21">
        <v>8.0000000000000036</v>
      </c>
      <c r="H1170" s="21">
        <v>3.9999999999999822</v>
      </c>
      <c r="I1170" s="21">
        <v>3.9999999999999822</v>
      </c>
      <c r="J1170" s="24" t="s">
        <v>9</v>
      </c>
      <c r="K1170" s="23" t="s">
        <v>384</v>
      </c>
      <c r="L1170" s="59">
        <v>1</v>
      </c>
      <c r="M1170" s="8" t="s">
        <v>318</v>
      </c>
    </row>
    <row r="1171" spans="1:13" ht="15.75" x14ac:dyDescent="0.25">
      <c r="A1171" s="16" t="s">
        <v>0</v>
      </c>
      <c r="B1171" s="17" t="s">
        <v>34</v>
      </c>
      <c r="C1171" s="18">
        <v>43276</v>
      </c>
      <c r="D1171" s="19" t="s">
        <v>21</v>
      </c>
      <c r="E1171" s="20">
        <v>0.6875</v>
      </c>
      <c r="F1171" s="20">
        <v>0.85416666666666696</v>
      </c>
      <c r="G1171" s="21">
        <v>8.0000000000000036</v>
      </c>
      <c r="H1171" s="21">
        <v>4.0000000000000036</v>
      </c>
      <c r="I1171" s="21">
        <v>4.0000000000000036</v>
      </c>
      <c r="J1171" s="24" t="s">
        <v>9</v>
      </c>
      <c r="K1171" s="23" t="s">
        <v>384</v>
      </c>
      <c r="L1171" s="59">
        <v>1</v>
      </c>
      <c r="M1171" s="8" t="s">
        <v>318</v>
      </c>
    </row>
    <row r="1172" spans="1:13" ht="15.75" x14ac:dyDescent="0.25">
      <c r="A1172" s="16" t="s">
        <v>0</v>
      </c>
      <c r="B1172" s="17" t="s">
        <v>68</v>
      </c>
      <c r="C1172" s="25">
        <v>43276</v>
      </c>
      <c r="D1172" s="19" t="s">
        <v>21</v>
      </c>
      <c r="E1172" s="20">
        <v>0.72916666666666696</v>
      </c>
      <c r="F1172" s="20">
        <v>0.89583333333333304</v>
      </c>
      <c r="G1172" s="21">
        <v>8.0000000000000036</v>
      </c>
      <c r="H1172" s="21">
        <v>3.9999999999999822</v>
      </c>
      <c r="I1172" s="21">
        <v>3.9999999999999822</v>
      </c>
      <c r="J1172" s="24" t="s">
        <v>9</v>
      </c>
      <c r="K1172" s="23" t="s">
        <v>384</v>
      </c>
      <c r="L1172" s="59">
        <v>1</v>
      </c>
      <c r="M1172" s="8" t="s">
        <v>318</v>
      </c>
    </row>
    <row r="1173" spans="1:13" ht="15.75" x14ac:dyDescent="0.25">
      <c r="A1173" s="16" t="s">
        <v>0</v>
      </c>
      <c r="B1173" s="17" t="s">
        <v>69</v>
      </c>
      <c r="C1173" s="18">
        <v>43276</v>
      </c>
      <c r="D1173" s="19" t="s">
        <v>21</v>
      </c>
      <c r="E1173" s="20">
        <v>0.72916666666666696</v>
      </c>
      <c r="F1173" s="20">
        <v>0.89583333333333304</v>
      </c>
      <c r="G1173" s="21">
        <v>8.0000000000000036</v>
      </c>
      <c r="H1173" s="21">
        <v>3.9999999999999822</v>
      </c>
      <c r="I1173" s="21">
        <v>3.9999999999999822</v>
      </c>
      <c r="J1173" s="24" t="s">
        <v>9</v>
      </c>
      <c r="K1173" s="23" t="s">
        <v>384</v>
      </c>
      <c r="L1173" s="59">
        <v>1</v>
      </c>
      <c r="M1173" s="8" t="s">
        <v>318</v>
      </c>
    </row>
    <row r="1174" spans="1:13" ht="15.75" x14ac:dyDescent="0.25">
      <c r="A1174" s="16" t="s">
        <v>0</v>
      </c>
      <c r="B1174" s="17" t="s">
        <v>361</v>
      </c>
      <c r="C1174" s="18">
        <v>43276</v>
      </c>
      <c r="D1174" s="19" t="s">
        <v>21</v>
      </c>
      <c r="E1174" s="20">
        <v>0.72916666666666696</v>
      </c>
      <c r="F1174" s="20">
        <v>0.89583333333333304</v>
      </c>
      <c r="G1174" s="21">
        <v>8.0000000000000036</v>
      </c>
      <c r="H1174" s="21">
        <v>3.9999999999999822</v>
      </c>
      <c r="I1174" s="21">
        <v>3.9999999999999822</v>
      </c>
      <c r="J1174" s="24" t="s">
        <v>9</v>
      </c>
      <c r="K1174" s="23" t="s">
        <v>384</v>
      </c>
      <c r="L1174" s="59">
        <v>1</v>
      </c>
      <c r="M1174" s="8" t="s">
        <v>318</v>
      </c>
    </row>
    <row r="1175" spans="1:13" ht="15.75" x14ac:dyDescent="0.25">
      <c r="A1175" s="16" t="s">
        <v>0</v>
      </c>
      <c r="B1175" s="17" t="s">
        <v>367</v>
      </c>
      <c r="C1175" s="18">
        <v>43276</v>
      </c>
      <c r="D1175" s="19" t="s">
        <v>21</v>
      </c>
      <c r="E1175" s="20">
        <v>0.72916666666666696</v>
      </c>
      <c r="F1175" s="20">
        <v>0.89583333333333304</v>
      </c>
      <c r="G1175" s="21">
        <v>8.0000000000000036</v>
      </c>
      <c r="H1175" s="21">
        <v>3.9999999999999822</v>
      </c>
      <c r="I1175" s="21">
        <v>3.9999999999999822</v>
      </c>
      <c r="J1175" s="24" t="s">
        <v>9</v>
      </c>
      <c r="K1175" s="23" t="s">
        <v>384</v>
      </c>
      <c r="L1175" s="59">
        <v>1</v>
      </c>
      <c r="M1175" s="8" t="s">
        <v>318</v>
      </c>
    </row>
    <row r="1176" spans="1:13" ht="15.75" x14ac:dyDescent="0.25">
      <c r="A1176" s="16" t="s">
        <v>0</v>
      </c>
      <c r="B1176" s="17" t="s">
        <v>362</v>
      </c>
      <c r="C1176" s="18">
        <v>43276</v>
      </c>
      <c r="D1176" s="19" t="s">
        <v>21</v>
      </c>
      <c r="E1176" s="20">
        <v>0.72916666666666696</v>
      </c>
      <c r="F1176" s="20">
        <v>0.89583333333333304</v>
      </c>
      <c r="G1176" s="21">
        <v>8.0000000000000036</v>
      </c>
      <c r="H1176" s="21">
        <v>3.9999999999999822</v>
      </c>
      <c r="I1176" s="21">
        <v>3.9999999999999822</v>
      </c>
      <c r="J1176" s="24" t="s">
        <v>9</v>
      </c>
      <c r="K1176" s="23" t="s">
        <v>384</v>
      </c>
      <c r="L1176" s="59">
        <v>1</v>
      </c>
      <c r="M1176" s="8" t="s">
        <v>318</v>
      </c>
    </row>
    <row r="1177" spans="1:13" ht="15.75" x14ac:dyDescent="0.25">
      <c r="A1177" s="16" t="s">
        <v>0</v>
      </c>
      <c r="B1177" s="17" t="s">
        <v>376</v>
      </c>
      <c r="C1177" s="18">
        <v>43276</v>
      </c>
      <c r="D1177" s="19" t="s">
        <v>21</v>
      </c>
      <c r="E1177" s="20">
        <v>0.72916666666666696</v>
      </c>
      <c r="F1177" s="20">
        <v>0.89583333333333304</v>
      </c>
      <c r="G1177" s="21">
        <v>8.0000000000000036</v>
      </c>
      <c r="H1177" s="21">
        <v>3.9999999999999822</v>
      </c>
      <c r="I1177" s="21">
        <v>3.9999999999999822</v>
      </c>
      <c r="J1177" s="24" t="s">
        <v>9</v>
      </c>
      <c r="K1177" s="23" t="s">
        <v>384</v>
      </c>
      <c r="L1177" s="59">
        <v>1</v>
      </c>
      <c r="M1177" s="8" t="s">
        <v>318</v>
      </c>
    </row>
    <row r="1178" spans="1:13" ht="15.75" x14ac:dyDescent="0.25">
      <c r="A1178" s="16" t="s">
        <v>0</v>
      </c>
      <c r="B1178" s="17" t="s">
        <v>10</v>
      </c>
      <c r="C1178" s="18">
        <v>43277</v>
      </c>
      <c r="D1178" s="19" t="s">
        <v>16</v>
      </c>
      <c r="E1178" s="20">
        <v>0.70833333333333304</v>
      </c>
      <c r="F1178" s="20">
        <v>0.875</v>
      </c>
      <c r="G1178" s="21">
        <v>8.0000000000000036</v>
      </c>
      <c r="H1178" s="21">
        <v>4.0000000000000036</v>
      </c>
      <c r="I1178" s="21">
        <v>4.0000000000000036</v>
      </c>
      <c r="J1178" s="24" t="s">
        <v>9</v>
      </c>
      <c r="K1178" s="23" t="s">
        <v>385</v>
      </c>
      <c r="L1178" s="59">
        <v>1</v>
      </c>
      <c r="M1178" s="8" t="s">
        <v>318</v>
      </c>
    </row>
    <row r="1179" spans="1:13" ht="15.75" x14ac:dyDescent="0.25">
      <c r="A1179" s="16" t="s">
        <v>0</v>
      </c>
      <c r="B1179" s="17" t="s">
        <v>34</v>
      </c>
      <c r="C1179" s="25">
        <v>43277</v>
      </c>
      <c r="D1179" s="19" t="s">
        <v>16</v>
      </c>
      <c r="E1179" s="20">
        <v>0.70833333333333304</v>
      </c>
      <c r="F1179" s="20">
        <v>0.875</v>
      </c>
      <c r="G1179" s="21">
        <v>8.0000000000000036</v>
      </c>
      <c r="H1179" s="21">
        <v>4.0000000000000036</v>
      </c>
      <c r="I1179" s="21">
        <v>4.0000000000000036</v>
      </c>
      <c r="J1179" s="24" t="s">
        <v>9</v>
      </c>
      <c r="K1179" s="23" t="s">
        <v>385</v>
      </c>
      <c r="L1179" s="59">
        <v>1</v>
      </c>
      <c r="M1179" s="8" t="s">
        <v>318</v>
      </c>
    </row>
    <row r="1180" spans="1:13" ht="15.75" x14ac:dyDescent="0.25">
      <c r="A1180" s="16" t="s">
        <v>0</v>
      </c>
      <c r="B1180" s="17" t="s">
        <v>68</v>
      </c>
      <c r="C1180" s="18">
        <v>43277</v>
      </c>
      <c r="D1180" s="19" t="s">
        <v>16</v>
      </c>
      <c r="E1180" s="20">
        <v>0.70833333333333304</v>
      </c>
      <c r="F1180" s="20">
        <v>0.875</v>
      </c>
      <c r="G1180" s="21">
        <v>8.0000000000000036</v>
      </c>
      <c r="H1180" s="21">
        <v>4.0000000000000036</v>
      </c>
      <c r="I1180" s="21">
        <v>4.0000000000000036</v>
      </c>
      <c r="J1180" s="24" t="s">
        <v>9</v>
      </c>
      <c r="K1180" s="23" t="s">
        <v>385</v>
      </c>
      <c r="L1180" s="59">
        <v>1</v>
      </c>
      <c r="M1180" s="8" t="s">
        <v>318</v>
      </c>
    </row>
    <row r="1181" spans="1:13" ht="15.75" x14ac:dyDescent="0.25">
      <c r="A1181" s="16" t="s">
        <v>0</v>
      </c>
      <c r="B1181" s="17" t="s">
        <v>69</v>
      </c>
      <c r="C1181" s="18">
        <v>43277</v>
      </c>
      <c r="D1181" s="19" t="s">
        <v>16</v>
      </c>
      <c r="E1181" s="20">
        <v>0.70833333333333304</v>
      </c>
      <c r="F1181" s="20">
        <v>0.875</v>
      </c>
      <c r="G1181" s="21">
        <v>8.0000000000000036</v>
      </c>
      <c r="H1181" s="21">
        <v>4.0000000000000036</v>
      </c>
      <c r="I1181" s="21">
        <v>4.0000000000000036</v>
      </c>
      <c r="J1181" s="24" t="s">
        <v>9</v>
      </c>
      <c r="K1181" s="23" t="s">
        <v>385</v>
      </c>
      <c r="L1181" s="59">
        <v>1</v>
      </c>
      <c r="M1181" s="8" t="s">
        <v>318</v>
      </c>
    </row>
    <row r="1182" spans="1:13" ht="15.75" x14ac:dyDescent="0.25">
      <c r="A1182" s="16" t="s">
        <v>0</v>
      </c>
      <c r="B1182" s="17" t="s">
        <v>361</v>
      </c>
      <c r="C1182" s="18">
        <v>43277</v>
      </c>
      <c r="D1182" s="19" t="s">
        <v>16</v>
      </c>
      <c r="E1182" s="20">
        <v>0.64583333333333304</v>
      </c>
      <c r="F1182" s="20">
        <v>0.8125</v>
      </c>
      <c r="G1182" s="21">
        <v>8.0000000000000036</v>
      </c>
      <c r="H1182" s="21">
        <v>4.0000000000000036</v>
      </c>
      <c r="I1182" s="21">
        <v>4.0000000000000036</v>
      </c>
      <c r="J1182" s="24" t="s">
        <v>9</v>
      </c>
      <c r="K1182" s="23" t="s">
        <v>385</v>
      </c>
      <c r="L1182" s="59">
        <v>1</v>
      </c>
      <c r="M1182" s="8" t="s">
        <v>318</v>
      </c>
    </row>
    <row r="1183" spans="1:13" ht="15.75" x14ac:dyDescent="0.25">
      <c r="A1183" s="16" t="s">
        <v>0</v>
      </c>
      <c r="B1183" s="17" t="s">
        <v>367</v>
      </c>
      <c r="C1183" s="18">
        <v>43277</v>
      </c>
      <c r="D1183" s="19" t="s">
        <v>16</v>
      </c>
      <c r="E1183" s="20">
        <v>0.70833333333333304</v>
      </c>
      <c r="F1183" s="20">
        <v>0.875</v>
      </c>
      <c r="G1183" s="21">
        <v>8.0000000000000036</v>
      </c>
      <c r="H1183" s="21">
        <v>4.0000000000000036</v>
      </c>
      <c r="I1183" s="21">
        <v>4.0000000000000036</v>
      </c>
      <c r="J1183" s="24" t="s">
        <v>9</v>
      </c>
      <c r="K1183" s="23" t="s">
        <v>385</v>
      </c>
      <c r="L1183" s="59">
        <v>1</v>
      </c>
      <c r="M1183" s="8" t="s">
        <v>318</v>
      </c>
    </row>
    <row r="1184" spans="1:13" ht="15.75" x14ac:dyDescent="0.25">
      <c r="A1184" s="16" t="s">
        <v>0</v>
      </c>
      <c r="B1184" s="17" t="s">
        <v>362</v>
      </c>
      <c r="C1184" s="18">
        <v>43277</v>
      </c>
      <c r="D1184" s="19" t="s">
        <v>16</v>
      </c>
      <c r="E1184" s="20">
        <v>0.70833333333333304</v>
      </c>
      <c r="F1184" s="20">
        <v>0.875</v>
      </c>
      <c r="G1184" s="21">
        <v>8.0000000000000036</v>
      </c>
      <c r="H1184" s="21">
        <v>4.0000000000000036</v>
      </c>
      <c r="I1184" s="21">
        <v>4.0000000000000036</v>
      </c>
      <c r="J1184" s="24" t="s">
        <v>9</v>
      </c>
      <c r="K1184" s="23" t="s">
        <v>385</v>
      </c>
      <c r="L1184" s="59">
        <v>1</v>
      </c>
      <c r="M1184" s="8" t="s">
        <v>318</v>
      </c>
    </row>
    <row r="1185" spans="1:13" ht="15.75" x14ac:dyDescent="0.25">
      <c r="A1185" s="16" t="s">
        <v>0</v>
      </c>
      <c r="B1185" s="17" t="s">
        <v>10</v>
      </c>
      <c r="C1185" s="18">
        <v>43278</v>
      </c>
      <c r="D1185" s="19" t="s">
        <v>19</v>
      </c>
      <c r="E1185" s="20">
        <v>0.70833333333333304</v>
      </c>
      <c r="F1185" s="20">
        <v>0.875</v>
      </c>
      <c r="G1185" s="21">
        <v>8.0000000000000036</v>
      </c>
      <c r="H1185" s="21">
        <v>4.0000000000000036</v>
      </c>
      <c r="I1185" s="21">
        <v>4.0000000000000036</v>
      </c>
      <c r="J1185" s="24" t="s">
        <v>9</v>
      </c>
      <c r="K1185" s="23" t="s">
        <v>386</v>
      </c>
      <c r="L1185" s="59">
        <v>1</v>
      </c>
      <c r="M1185" s="8" t="s">
        <v>318</v>
      </c>
    </row>
    <row r="1186" spans="1:13" ht="15.75" x14ac:dyDescent="0.25">
      <c r="A1186" s="16" t="s">
        <v>0</v>
      </c>
      <c r="B1186" s="17" t="s">
        <v>12</v>
      </c>
      <c r="C1186" s="18">
        <v>43278</v>
      </c>
      <c r="D1186" s="19" t="s">
        <v>19</v>
      </c>
      <c r="E1186" s="20">
        <v>0.70833333333333304</v>
      </c>
      <c r="F1186" s="20">
        <v>0.85416666666666696</v>
      </c>
      <c r="G1186" s="21">
        <v>8.0000000000000036</v>
      </c>
      <c r="H1186" s="21">
        <v>3.5000000000000107</v>
      </c>
      <c r="I1186" s="21">
        <v>3.5000000000000107</v>
      </c>
      <c r="J1186" s="24" t="s">
        <v>9</v>
      </c>
      <c r="K1186" s="23" t="s">
        <v>386</v>
      </c>
      <c r="L1186" s="59">
        <v>1</v>
      </c>
      <c r="M1186" s="8" t="s">
        <v>318</v>
      </c>
    </row>
    <row r="1187" spans="1:13" ht="15.75" x14ac:dyDescent="0.25">
      <c r="A1187" s="16" t="s">
        <v>0</v>
      </c>
      <c r="B1187" s="17" t="s">
        <v>68</v>
      </c>
      <c r="C1187" s="18">
        <v>43278</v>
      </c>
      <c r="D1187" s="19" t="s">
        <v>19</v>
      </c>
      <c r="E1187" s="20">
        <v>0.70833333333333304</v>
      </c>
      <c r="F1187" s="20">
        <v>0.875</v>
      </c>
      <c r="G1187" s="21">
        <v>8.0000000000000036</v>
      </c>
      <c r="H1187" s="21">
        <v>4.0000000000000036</v>
      </c>
      <c r="I1187" s="21">
        <v>4.0000000000000036</v>
      </c>
      <c r="J1187" s="24" t="s">
        <v>9</v>
      </c>
      <c r="K1187" s="23" t="s">
        <v>386</v>
      </c>
      <c r="L1187" s="59">
        <v>1</v>
      </c>
      <c r="M1187" s="8" t="s">
        <v>318</v>
      </c>
    </row>
    <row r="1188" spans="1:13" ht="15.75" x14ac:dyDescent="0.25">
      <c r="A1188" s="16" t="s">
        <v>0</v>
      </c>
      <c r="B1188" s="17" t="s">
        <v>69</v>
      </c>
      <c r="C1188" s="18">
        <v>43278</v>
      </c>
      <c r="D1188" s="19" t="s">
        <v>19</v>
      </c>
      <c r="E1188" s="20">
        <v>0.64583333333333304</v>
      </c>
      <c r="F1188" s="20">
        <v>0.8125</v>
      </c>
      <c r="G1188" s="21">
        <v>8.0000000000000036</v>
      </c>
      <c r="H1188" s="21">
        <v>4.0000000000000036</v>
      </c>
      <c r="I1188" s="21">
        <v>4.0000000000000036</v>
      </c>
      <c r="J1188" s="24" t="s">
        <v>9</v>
      </c>
      <c r="K1188" s="23" t="s">
        <v>386</v>
      </c>
      <c r="L1188" s="59">
        <v>1</v>
      </c>
      <c r="M1188" s="8" t="s">
        <v>318</v>
      </c>
    </row>
    <row r="1189" spans="1:13" ht="15.75" x14ac:dyDescent="0.25">
      <c r="A1189" s="16" t="s">
        <v>0</v>
      </c>
      <c r="B1189" s="17" t="s">
        <v>361</v>
      </c>
      <c r="C1189" s="18">
        <v>43278</v>
      </c>
      <c r="D1189" s="19" t="s">
        <v>19</v>
      </c>
      <c r="E1189" s="20">
        <v>0.70833333333333304</v>
      </c>
      <c r="F1189" s="20">
        <v>0.875</v>
      </c>
      <c r="G1189" s="21">
        <v>8.0000000000000036</v>
      </c>
      <c r="H1189" s="21">
        <v>4.0000000000000036</v>
      </c>
      <c r="I1189" s="21">
        <v>4.0000000000000036</v>
      </c>
      <c r="J1189" s="24" t="s">
        <v>9</v>
      </c>
      <c r="K1189" s="23" t="s">
        <v>386</v>
      </c>
      <c r="L1189" s="59">
        <v>1</v>
      </c>
      <c r="M1189" s="8" t="s">
        <v>318</v>
      </c>
    </row>
    <row r="1190" spans="1:13" ht="15.75" x14ac:dyDescent="0.25">
      <c r="A1190" s="16" t="s">
        <v>0</v>
      </c>
      <c r="B1190" s="17" t="s">
        <v>362</v>
      </c>
      <c r="C1190" s="18">
        <v>43278</v>
      </c>
      <c r="D1190" s="19" t="s">
        <v>19</v>
      </c>
      <c r="E1190" s="20">
        <v>0.70833333333333304</v>
      </c>
      <c r="F1190" s="20">
        <v>0.875</v>
      </c>
      <c r="G1190" s="21">
        <v>8.0000000000000036</v>
      </c>
      <c r="H1190" s="21">
        <v>4.0000000000000036</v>
      </c>
      <c r="I1190" s="21">
        <v>4.0000000000000036</v>
      </c>
      <c r="J1190" s="24" t="s">
        <v>9</v>
      </c>
      <c r="K1190" s="23" t="s">
        <v>386</v>
      </c>
      <c r="L1190" s="59">
        <v>1</v>
      </c>
      <c r="M1190" s="8" t="s">
        <v>318</v>
      </c>
    </row>
    <row r="1191" spans="1:13" ht="15.75" x14ac:dyDescent="0.25">
      <c r="A1191" s="16" t="s">
        <v>0</v>
      </c>
      <c r="B1191" s="17" t="s">
        <v>376</v>
      </c>
      <c r="C1191" s="18">
        <v>43278</v>
      </c>
      <c r="D1191" s="19" t="s">
        <v>19</v>
      </c>
      <c r="E1191" s="20">
        <v>0.70833333333333304</v>
      </c>
      <c r="F1191" s="20">
        <v>0.875</v>
      </c>
      <c r="G1191" s="21">
        <v>8.0000000000000036</v>
      </c>
      <c r="H1191" s="21">
        <v>4.0000000000000036</v>
      </c>
      <c r="I1191" s="21">
        <v>4.0000000000000036</v>
      </c>
      <c r="J1191" s="24" t="s">
        <v>9</v>
      </c>
      <c r="K1191" s="23" t="s">
        <v>386</v>
      </c>
      <c r="L1191" s="59">
        <v>1</v>
      </c>
      <c r="M1191" s="8" t="s">
        <v>318</v>
      </c>
    </row>
    <row r="1192" spans="1:13" ht="15.75" x14ac:dyDescent="0.25">
      <c r="A1192" s="16" t="s">
        <v>0</v>
      </c>
      <c r="B1192" s="17" t="s">
        <v>10</v>
      </c>
      <c r="C1192" s="18">
        <v>43279</v>
      </c>
      <c r="D1192" s="19" t="s">
        <v>18</v>
      </c>
      <c r="E1192" s="20">
        <v>0.70833333333333304</v>
      </c>
      <c r="F1192" s="20">
        <v>0.875</v>
      </c>
      <c r="G1192" s="21">
        <v>8.0000000000000036</v>
      </c>
      <c r="H1192" s="21">
        <v>4.0000000000000036</v>
      </c>
      <c r="I1192" s="21">
        <v>4.0000000000000036</v>
      </c>
      <c r="J1192" s="24" t="s">
        <v>9</v>
      </c>
      <c r="K1192" s="23" t="s">
        <v>389</v>
      </c>
      <c r="L1192" s="59">
        <v>1</v>
      </c>
      <c r="M1192" s="8" t="s">
        <v>318</v>
      </c>
    </row>
    <row r="1193" spans="1:13" ht="15.75" x14ac:dyDescent="0.25">
      <c r="A1193" s="16" t="s">
        <v>0</v>
      </c>
      <c r="B1193" s="17" t="s">
        <v>12</v>
      </c>
      <c r="C1193" s="18">
        <v>43279</v>
      </c>
      <c r="D1193" s="19" t="s">
        <v>18</v>
      </c>
      <c r="E1193" s="20">
        <v>0.64583333333333304</v>
      </c>
      <c r="F1193" s="20">
        <v>0.8125</v>
      </c>
      <c r="G1193" s="21">
        <v>8.0000000000000036</v>
      </c>
      <c r="H1193" s="21">
        <v>4.0000000000000036</v>
      </c>
      <c r="I1193" s="21">
        <v>4.0000000000000036</v>
      </c>
      <c r="J1193" s="24" t="s">
        <v>9</v>
      </c>
      <c r="K1193" s="23" t="s">
        <v>389</v>
      </c>
      <c r="L1193" s="59">
        <v>1</v>
      </c>
      <c r="M1193" s="8" t="s">
        <v>318</v>
      </c>
    </row>
    <row r="1194" spans="1:13" ht="15.75" x14ac:dyDescent="0.25">
      <c r="A1194" s="16" t="s">
        <v>0</v>
      </c>
      <c r="B1194" s="17" t="s">
        <v>34</v>
      </c>
      <c r="C1194" s="18">
        <v>43279</v>
      </c>
      <c r="D1194" s="19" t="s">
        <v>18</v>
      </c>
      <c r="E1194" s="20">
        <v>0.70833333333333304</v>
      </c>
      <c r="F1194" s="20">
        <v>0.875</v>
      </c>
      <c r="G1194" s="21">
        <v>8.0000000000000036</v>
      </c>
      <c r="H1194" s="21">
        <v>4.0000000000000036</v>
      </c>
      <c r="I1194" s="21">
        <v>4.0000000000000036</v>
      </c>
      <c r="J1194" s="24" t="s">
        <v>9</v>
      </c>
      <c r="K1194" s="23" t="s">
        <v>389</v>
      </c>
      <c r="L1194" s="59">
        <v>1</v>
      </c>
      <c r="M1194" s="8" t="s">
        <v>318</v>
      </c>
    </row>
    <row r="1195" spans="1:13" ht="15.75" x14ac:dyDescent="0.25">
      <c r="A1195" s="16" t="s">
        <v>0</v>
      </c>
      <c r="B1195" s="17" t="s">
        <v>69</v>
      </c>
      <c r="C1195" s="18">
        <v>43279</v>
      </c>
      <c r="D1195" s="19" t="s">
        <v>18</v>
      </c>
      <c r="E1195" s="20">
        <v>0.70833333333333304</v>
      </c>
      <c r="F1195" s="20">
        <v>0.875</v>
      </c>
      <c r="G1195" s="21">
        <v>8.0000000000000036</v>
      </c>
      <c r="H1195" s="21">
        <v>4.0000000000000036</v>
      </c>
      <c r="I1195" s="21">
        <v>4.0000000000000036</v>
      </c>
      <c r="J1195" s="24" t="s">
        <v>9</v>
      </c>
      <c r="K1195" s="23" t="s">
        <v>389</v>
      </c>
      <c r="L1195" s="59">
        <v>1</v>
      </c>
      <c r="M1195" s="8" t="s">
        <v>318</v>
      </c>
    </row>
    <row r="1196" spans="1:13" ht="15.75" x14ac:dyDescent="0.25">
      <c r="A1196" s="16" t="s">
        <v>0</v>
      </c>
      <c r="B1196" s="17" t="s">
        <v>361</v>
      </c>
      <c r="C1196" s="18">
        <v>43279</v>
      </c>
      <c r="D1196" s="19" t="s">
        <v>18</v>
      </c>
      <c r="E1196" s="20">
        <v>0.70833333333333304</v>
      </c>
      <c r="F1196" s="20">
        <v>0.875</v>
      </c>
      <c r="G1196" s="21">
        <v>8.0000000000000036</v>
      </c>
      <c r="H1196" s="21">
        <v>4.0000000000000036</v>
      </c>
      <c r="I1196" s="21">
        <v>4.0000000000000036</v>
      </c>
      <c r="J1196" s="24" t="s">
        <v>9</v>
      </c>
      <c r="K1196" s="23" t="s">
        <v>389</v>
      </c>
      <c r="L1196" s="59">
        <v>1</v>
      </c>
      <c r="M1196" s="8" t="s">
        <v>318</v>
      </c>
    </row>
    <row r="1197" spans="1:13" ht="15.75" x14ac:dyDescent="0.25">
      <c r="A1197" s="16" t="s">
        <v>0</v>
      </c>
      <c r="B1197" s="17" t="s">
        <v>367</v>
      </c>
      <c r="C1197" s="18">
        <v>43279</v>
      </c>
      <c r="D1197" s="19" t="s">
        <v>18</v>
      </c>
      <c r="E1197" s="20">
        <v>0.70833333333333304</v>
      </c>
      <c r="F1197" s="20">
        <v>0.875</v>
      </c>
      <c r="G1197" s="21">
        <v>8.0000000000000036</v>
      </c>
      <c r="H1197" s="21">
        <v>4.0000000000000036</v>
      </c>
      <c r="I1197" s="21">
        <v>4.0000000000000036</v>
      </c>
      <c r="J1197" s="24" t="s">
        <v>9</v>
      </c>
      <c r="K1197" s="23" t="s">
        <v>389</v>
      </c>
      <c r="L1197" s="59">
        <v>1</v>
      </c>
      <c r="M1197" s="8" t="s">
        <v>318</v>
      </c>
    </row>
    <row r="1198" spans="1:13" ht="15.75" x14ac:dyDescent="0.25">
      <c r="A1198" s="16" t="s">
        <v>0</v>
      </c>
      <c r="B1198" s="17" t="s">
        <v>376</v>
      </c>
      <c r="C1198" s="18">
        <v>43279</v>
      </c>
      <c r="D1198" s="19" t="s">
        <v>18</v>
      </c>
      <c r="E1198" s="20">
        <v>0.70833333333333304</v>
      </c>
      <c r="F1198" s="20">
        <v>0.875</v>
      </c>
      <c r="G1198" s="21">
        <v>8.0000000000000036</v>
      </c>
      <c r="H1198" s="21">
        <v>4.0000000000000036</v>
      </c>
      <c r="I1198" s="21">
        <v>4.0000000000000036</v>
      </c>
      <c r="J1198" s="24" t="s">
        <v>9</v>
      </c>
      <c r="K1198" s="23" t="s">
        <v>389</v>
      </c>
      <c r="L1198" s="59">
        <v>1</v>
      </c>
      <c r="M1198" s="8" t="s">
        <v>318</v>
      </c>
    </row>
    <row r="1199" spans="1:13" ht="15.75" x14ac:dyDescent="0.25">
      <c r="A1199" s="16" t="s">
        <v>0</v>
      </c>
      <c r="B1199" s="17" t="s">
        <v>10</v>
      </c>
      <c r="C1199" s="18">
        <v>43280</v>
      </c>
      <c r="D1199" s="19" t="s">
        <v>17</v>
      </c>
      <c r="E1199" s="20">
        <v>0.70833333333333304</v>
      </c>
      <c r="F1199" s="20">
        <v>0.875</v>
      </c>
      <c r="G1199" s="21">
        <v>8.0000000000000036</v>
      </c>
      <c r="H1199" s="21">
        <v>4.0000000000000036</v>
      </c>
      <c r="I1199" s="21">
        <v>4.0000000000000036</v>
      </c>
      <c r="J1199" s="24" t="s">
        <v>9</v>
      </c>
      <c r="K1199" s="23" t="s">
        <v>387</v>
      </c>
      <c r="L1199" s="59">
        <v>1</v>
      </c>
      <c r="M1199" s="8" t="s">
        <v>318</v>
      </c>
    </row>
    <row r="1200" spans="1:13" ht="15.75" x14ac:dyDescent="0.25">
      <c r="A1200" s="16" t="s">
        <v>0</v>
      </c>
      <c r="B1200" s="17" t="s">
        <v>12</v>
      </c>
      <c r="C1200" s="18">
        <v>43280</v>
      </c>
      <c r="D1200" s="19" t="s">
        <v>17</v>
      </c>
      <c r="E1200" s="20">
        <v>0.64583333333333304</v>
      </c>
      <c r="F1200" s="20">
        <v>0.8125</v>
      </c>
      <c r="G1200" s="21">
        <v>8.0000000000000036</v>
      </c>
      <c r="H1200" s="21">
        <v>4.0000000000000036</v>
      </c>
      <c r="I1200" s="21">
        <v>4.0000000000000036</v>
      </c>
      <c r="J1200" s="24" t="s">
        <v>9</v>
      </c>
      <c r="K1200" s="23" t="s">
        <v>387</v>
      </c>
      <c r="L1200" s="59">
        <v>1</v>
      </c>
      <c r="M1200" s="8" t="s">
        <v>318</v>
      </c>
    </row>
    <row r="1201" spans="1:13" ht="15.75" x14ac:dyDescent="0.25">
      <c r="A1201" s="16" t="s">
        <v>0</v>
      </c>
      <c r="B1201" s="17" t="s">
        <v>34</v>
      </c>
      <c r="C1201" s="18">
        <v>43280</v>
      </c>
      <c r="D1201" s="19" t="s">
        <v>17</v>
      </c>
      <c r="E1201" s="20">
        <v>0.70833333333333304</v>
      </c>
      <c r="F1201" s="20">
        <v>0.875</v>
      </c>
      <c r="G1201" s="21">
        <v>8.0000000000000036</v>
      </c>
      <c r="H1201" s="21">
        <v>4.0000000000000036</v>
      </c>
      <c r="I1201" s="21">
        <v>4.0000000000000036</v>
      </c>
      <c r="J1201" s="24" t="s">
        <v>9</v>
      </c>
      <c r="K1201" s="23" t="s">
        <v>387</v>
      </c>
      <c r="L1201" s="59">
        <v>1</v>
      </c>
      <c r="M1201" s="8" t="s">
        <v>318</v>
      </c>
    </row>
    <row r="1202" spans="1:13" ht="15.75" x14ac:dyDescent="0.25">
      <c r="A1202" s="16" t="s">
        <v>0</v>
      </c>
      <c r="B1202" s="17" t="s">
        <v>68</v>
      </c>
      <c r="C1202" s="18">
        <v>43280</v>
      </c>
      <c r="D1202" s="19" t="s">
        <v>17</v>
      </c>
      <c r="E1202" s="20">
        <v>0.70833333333333304</v>
      </c>
      <c r="F1202" s="20">
        <v>0.875</v>
      </c>
      <c r="G1202" s="21">
        <v>8.0000000000000036</v>
      </c>
      <c r="H1202" s="21">
        <v>4.0000000000000036</v>
      </c>
      <c r="I1202" s="21">
        <v>4.0000000000000036</v>
      </c>
      <c r="J1202" s="24" t="s">
        <v>9</v>
      </c>
      <c r="K1202" s="23" t="s">
        <v>387</v>
      </c>
      <c r="L1202" s="59">
        <v>1</v>
      </c>
      <c r="M1202" s="8" t="s">
        <v>318</v>
      </c>
    </row>
    <row r="1203" spans="1:13" ht="15.75" x14ac:dyDescent="0.25">
      <c r="A1203" s="16" t="s">
        <v>0</v>
      </c>
      <c r="B1203" s="17" t="s">
        <v>361</v>
      </c>
      <c r="C1203" s="18">
        <v>43280</v>
      </c>
      <c r="D1203" s="19" t="s">
        <v>17</v>
      </c>
      <c r="E1203" s="20">
        <v>0.70833333333333304</v>
      </c>
      <c r="F1203" s="20">
        <v>0.875</v>
      </c>
      <c r="G1203" s="21">
        <v>8.0000000000000036</v>
      </c>
      <c r="H1203" s="21">
        <v>4.0000000000000036</v>
      </c>
      <c r="I1203" s="21">
        <v>4.0000000000000036</v>
      </c>
      <c r="J1203" s="24" t="s">
        <v>9</v>
      </c>
      <c r="K1203" s="23" t="s">
        <v>387</v>
      </c>
      <c r="L1203" s="59">
        <v>1</v>
      </c>
      <c r="M1203" s="8" t="s">
        <v>318</v>
      </c>
    </row>
    <row r="1204" spans="1:13" ht="15.75" x14ac:dyDescent="0.25">
      <c r="A1204" s="16" t="s">
        <v>0</v>
      </c>
      <c r="B1204" s="17" t="s">
        <v>367</v>
      </c>
      <c r="C1204" s="18">
        <v>43280</v>
      </c>
      <c r="D1204" s="19" t="s">
        <v>17</v>
      </c>
      <c r="E1204" s="20">
        <v>0.70833333333333304</v>
      </c>
      <c r="F1204" s="20">
        <v>0.875</v>
      </c>
      <c r="G1204" s="21">
        <v>8.0000000000000036</v>
      </c>
      <c r="H1204" s="21">
        <v>4.0000000000000036</v>
      </c>
      <c r="I1204" s="21">
        <v>4.0000000000000036</v>
      </c>
      <c r="J1204" s="24" t="s">
        <v>9</v>
      </c>
      <c r="K1204" s="23" t="s">
        <v>387</v>
      </c>
      <c r="L1204" s="59">
        <v>1</v>
      </c>
      <c r="M1204" s="8" t="s">
        <v>318</v>
      </c>
    </row>
    <row r="1205" spans="1:13" ht="15.75" x14ac:dyDescent="0.25">
      <c r="A1205" s="16" t="s">
        <v>0</v>
      </c>
      <c r="B1205" s="17" t="s">
        <v>362</v>
      </c>
      <c r="C1205" s="18">
        <v>43280</v>
      </c>
      <c r="D1205" s="19" t="s">
        <v>17</v>
      </c>
      <c r="E1205" s="20">
        <v>0.70833333333333304</v>
      </c>
      <c r="F1205" s="20">
        <v>0.875</v>
      </c>
      <c r="G1205" s="21">
        <v>8.0000000000000036</v>
      </c>
      <c r="H1205" s="21">
        <v>4.0000000000000036</v>
      </c>
      <c r="I1205" s="21">
        <v>4.0000000000000036</v>
      </c>
      <c r="J1205" s="24" t="s">
        <v>9</v>
      </c>
      <c r="K1205" s="23" t="s">
        <v>387</v>
      </c>
      <c r="L1205" s="59">
        <v>1</v>
      </c>
      <c r="M1205" s="8" t="s">
        <v>318</v>
      </c>
    </row>
    <row r="1206" spans="1:13" ht="15.75" x14ac:dyDescent="0.25">
      <c r="A1206" s="16" t="s">
        <v>0</v>
      </c>
      <c r="B1206" s="17" t="s">
        <v>376</v>
      </c>
      <c r="C1206" s="18">
        <v>43280</v>
      </c>
      <c r="D1206" s="19" t="s">
        <v>17</v>
      </c>
      <c r="E1206" s="20">
        <v>0.70833333333333304</v>
      </c>
      <c r="F1206" s="20">
        <v>0.875</v>
      </c>
      <c r="G1206" s="21">
        <v>8.0000000000000036</v>
      </c>
      <c r="H1206" s="21">
        <v>4.0000000000000036</v>
      </c>
      <c r="I1206" s="21">
        <v>4.0000000000000036</v>
      </c>
      <c r="J1206" s="24" t="s">
        <v>9</v>
      </c>
      <c r="K1206" s="23" t="s">
        <v>387</v>
      </c>
      <c r="L1206" s="59">
        <v>1</v>
      </c>
      <c r="M1206" s="8" t="s">
        <v>318</v>
      </c>
    </row>
    <row r="1207" spans="1:13" ht="15.75" x14ac:dyDescent="0.25">
      <c r="A1207" s="16" t="s">
        <v>0</v>
      </c>
      <c r="B1207" s="17" t="s">
        <v>12</v>
      </c>
      <c r="C1207" s="18">
        <v>43281</v>
      </c>
      <c r="D1207" s="19" t="s">
        <v>24</v>
      </c>
      <c r="E1207" s="20">
        <v>0.70833333333333304</v>
      </c>
      <c r="F1207" s="20">
        <v>0.83333333333333304</v>
      </c>
      <c r="G1207" s="21">
        <v>8.0000000000000036</v>
      </c>
      <c r="H1207" s="21">
        <v>2.9999999999999964</v>
      </c>
      <c r="I1207" s="21">
        <v>11</v>
      </c>
      <c r="J1207" s="24" t="s">
        <v>46</v>
      </c>
      <c r="K1207" s="23" t="s">
        <v>388</v>
      </c>
      <c r="L1207" s="59">
        <v>1</v>
      </c>
      <c r="M1207" s="8" t="s">
        <v>318</v>
      </c>
    </row>
    <row r="1208" spans="1:13" ht="15.75" x14ac:dyDescent="0.25">
      <c r="A1208" s="16" t="s">
        <v>0</v>
      </c>
      <c r="B1208" s="17" t="s">
        <v>34</v>
      </c>
      <c r="C1208" s="18">
        <v>43281</v>
      </c>
      <c r="D1208" s="19" t="s">
        <v>24</v>
      </c>
      <c r="E1208" s="20">
        <v>0.70833333333333304</v>
      </c>
      <c r="F1208" s="20">
        <v>0.83333333333333304</v>
      </c>
      <c r="G1208" s="21">
        <v>8.0000000000000036</v>
      </c>
      <c r="H1208" s="21">
        <v>2.9999999999999964</v>
      </c>
      <c r="I1208" s="21">
        <v>11</v>
      </c>
      <c r="J1208" s="24" t="s">
        <v>46</v>
      </c>
      <c r="K1208" s="23" t="s">
        <v>388</v>
      </c>
      <c r="L1208" s="59">
        <v>1</v>
      </c>
      <c r="M1208" s="8" t="s">
        <v>318</v>
      </c>
    </row>
    <row r="1209" spans="1:13" ht="15.75" x14ac:dyDescent="0.25">
      <c r="A1209" s="16" t="s">
        <v>0</v>
      </c>
      <c r="B1209" s="17" t="s">
        <v>68</v>
      </c>
      <c r="C1209" s="18">
        <v>43281</v>
      </c>
      <c r="D1209" s="19" t="s">
        <v>24</v>
      </c>
      <c r="E1209" s="20">
        <v>0.64583333333333304</v>
      </c>
      <c r="F1209" s="20">
        <v>0.8125</v>
      </c>
      <c r="G1209" s="21">
        <v>8.0000000000000036</v>
      </c>
      <c r="H1209" s="21">
        <v>4.0000000000000036</v>
      </c>
      <c r="I1209" s="21">
        <v>12.000000000000007</v>
      </c>
      <c r="J1209" s="24" t="s">
        <v>46</v>
      </c>
      <c r="K1209" s="23" t="s">
        <v>388</v>
      </c>
      <c r="L1209" s="59">
        <v>1</v>
      </c>
      <c r="M1209" s="8" t="s">
        <v>318</v>
      </c>
    </row>
    <row r="1210" spans="1:13" ht="15.75" x14ac:dyDescent="0.25">
      <c r="A1210" s="16" t="s">
        <v>0</v>
      </c>
      <c r="B1210" s="17" t="s">
        <v>69</v>
      </c>
      <c r="C1210" s="18">
        <v>43281</v>
      </c>
      <c r="D1210" s="19" t="s">
        <v>24</v>
      </c>
      <c r="E1210" s="20">
        <v>0.70833333333333304</v>
      </c>
      <c r="F1210" s="20">
        <v>0.83333333333333304</v>
      </c>
      <c r="G1210" s="21">
        <v>8.0000000000000036</v>
      </c>
      <c r="H1210" s="21">
        <v>2.9999999999999964</v>
      </c>
      <c r="I1210" s="21">
        <v>11</v>
      </c>
      <c r="J1210" s="24" t="s">
        <v>46</v>
      </c>
      <c r="K1210" s="23" t="s">
        <v>388</v>
      </c>
      <c r="L1210" s="59">
        <v>1</v>
      </c>
      <c r="M1210" s="8" t="s">
        <v>318</v>
      </c>
    </row>
    <row r="1211" spans="1:13" ht="15.75" x14ac:dyDescent="0.25">
      <c r="A1211" s="16" t="s">
        <v>0</v>
      </c>
      <c r="B1211" s="17" t="s">
        <v>367</v>
      </c>
      <c r="C1211" s="18">
        <v>43281</v>
      </c>
      <c r="D1211" s="19" t="s">
        <v>24</v>
      </c>
      <c r="E1211" s="20">
        <v>0.70833333333333304</v>
      </c>
      <c r="F1211" s="20">
        <v>0.83333333333333304</v>
      </c>
      <c r="G1211" s="21">
        <v>8.0000000000000036</v>
      </c>
      <c r="H1211" s="21">
        <v>2.9999999999999964</v>
      </c>
      <c r="I1211" s="21">
        <v>11</v>
      </c>
      <c r="J1211" s="24" t="s">
        <v>46</v>
      </c>
      <c r="K1211" s="23" t="s">
        <v>388</v>
      </c>
      <c r="L1211" s="59">
        <v>1</v>
      </c>
      <c r="M1211" s="8" t="s">
        <v>318</v>
      </c>
    </row>
    <row r="1212" spans="1:13" ht="15.75" x14ac:dyDescent="0.25">
      <c r="A1212" s="16" t="s">
        <v>0</v>
      </c>
      <c r="B1212" s="17" t="s">
        <v>362</v>
      </c>
      <c r="C1212" s="18">
        <v>43281</v>
      </c>
      <c r="D1212" s="19" t="s">
        <v>24</v>
      </c>
      <c r="E1212" s="20">
        <v>0.70833333333333304</v>
      </c>
      <c r="F1212" s="20">
        <v>0.83333333333333304</v>
      </c>
      <c r="G1212" s="21">
        <v>8.0000000000000036</v>
      </c>
      <c r="H1212" s="21">
        <v>2.9999999999999964</v>
      </c>
      <c r="I1212" s="21">
        <v>11</v>
      </c>
      <c r="J1212" s="24" t="s">
        <v>46</v>
      </c>
      <c r="K1212" s="23" t="s">
        <v>388</v>
      </c>
      <c r="L1212" s="59">
        <v>1</v>
      </c>
      <c r="M1212" s="8" t="s">
        <v>318</v>
      </c>
    </row>
    <row r="1213" spans="1:13" ht="15.75" x14ac:dyDescent="0.25">
      <c r="A1213" s="16" t="s">
        <v>0</v>
      </c>
      <c r="B1213" s="17" t="s">
        <v>376</v>
      </c>
      <c r="C1213" s="18">
        <v>43281</v>
      </c>
      <c r="D1213" s="19" t="s">
        <v>24</v>
      </c>
      <c r="E1213" s="20">
        <v>0.70833333333333304</v>
      </c>
      <c r="F1213" s="20">
        <v>0.83333333333333304</v>
      </c>
      <c r="G1213" s="21">
        <v>8.0000000000000036</v>
      </c>
      <c r="H1213" s="21">
        <v>2.9999999999999964</v>
      </c>
      <c r="I1213" s="21">
        <v>11</v>
      </c>
      <c r="J1213" s="24" t="s">
        <v>46</v>
      </c>
      <c r="K1213" s="23" t="s">
        <v>388</v>
      </c>
      <c r="L1213" s="59">
        <v>1</v>
      </c>
      <c r="M1213" s="8" t="s">
        <v>318</v>
      </c>
    </row>
    <row r="1214" spans="1:13" ht="15.75" x14ac:dyDescent="0.25">
      <c r="A1214" s="16" t="s">
        <v>0</v>
      </c>
      <c r="B1214" s="17" t="s">
        <v>10</v>
      </c>
      <c r="C1214" s="25">
        <v>43467</v>
      </c>
      <c r="D1214" s="19" t="s">
        <v>19</v>
      </c>
      <c r="E1214" s="20">
        <v>0.72916666666666674</v>
      </c>
      <c r="F1214" s="20">
        <v>0.89583333333333337</v>
      </c>
      <c r="G1214" s="21">
        <v>8.0000000000000036</v>
      </c>
      <c r="H1214" s="21">
        <v>3.9999999999999982</v>
      </c>
      <c r="I1214" s="21">
        <v>3.9999999999999982</v>
      </c>
      <c r="J1214" s="24" t="s">
        <v>9</v>
      </c>
      <c r="K1214" s="23" t="s">
        <v>390</v>
      </c>
      <c r="L1214" s="59">
        <v>1</v>
      </c>
      <c r="M1214" s="8" t="s">
        <v>391</v>
      </c>
    </row>
    <row r="1215" spans="1:13" ht="15.75" x14ac:dyDescent="0.25">
      <c r="A1215" s="16" t="s">
        <v>0</v>
      </c>
      <c r="B1215" s="17" t="s">
        <v>12</v>
      </c>
      <c r="C1215" s="18">
        <v>43467</v>
      </c>
      <c r="D1215" s="19" t="s">
        <v>19</v>
      </c>
      <c r="E1215" s="20">
        <v>0.72916666666666674</v>
      </c>
      <c r="F1215" s="20">
        <v>0.89583333333333337</v>
      </c>
      <c r="G1215" s="21">
        <v>8.0000000000000036</v>
      </c>
      <c r="H1215" s="21">
        <v>3.9999999999999982</v>
      </c>
      <c r="I1215" s="21">
        <v>3.9999999999999982</v>
      </c>
      <c r="J1215" s="24" t="s">
        <v>9</v>
      </c>
      <c r="K1215" s="23" t="s">
        <v>390</v>
      </c>
      <c r="L1215" s="59">
        <v>1</v>
      </c>
      <c r="M1215" s="8" t="s">
        <v>391</v>
      </c>
    </row>
    <row r="1216" spans="1:13" ht="15.75" x14ac:dyDescent="0.25">
      <c r="A1216" s="16" t="s">
        <v>0</v>
      </c>
      <c r="B1216" s="17" t="s">
        <v>68</v>
      </c>
      <c r="C1216" s="18">
        <v>43467</v>
      </c>
      <c r="D1216" s="19" t="s">
        <v>19</v>
      </c>
      <c r="E1216" s="20">
        <v>0.72916666666666674</v>
      </c>
      <c r="F1216" s="20">
        <v>0.89583333333333337</v>
      </c>
      <c r="G1216" s="21">
        <v>8.0000000000000036</v>
      </c>
      <c r="H1216" s="21">
        <v>3.9999999999999982</v>
      </c>
      <c r="I1216" s="21">
        <v>3.9999999999999982</v>
      </c>
      <c r="J1216" s="24" t="s">
        <v>9</v>
      </c>
      <c r="K1216" s="23" t="s">
        <v>390</v>
      </c>
      <c r="L1216" s="59">
        <v>1</v>
      </c>
      <c r="M1216" s="8" t="s">
        <v>391</v>
      </c>
    </row>
    <row r="1217" spans="1:13" ht="15.75" x14ac:dyDescent="0.25">
      <c r="A1217" s="16" t="s">
        <v>0</v>
      </c>
      <c r="B1217" s="17" t="s">
        <v>69</v>
      </c>
      <c r="C1217" s="18">
        <v>43467</v>
      </c>
      <c r="D1217" s="19" t="s">
        <v>19</v>
      </c>
      <c r="E1217" s="20">
        <v>0.72916666666666674</v>
      </c>
      <c r="F1217" s="20">
        <v>0.89583333333333337</v>
      </c>
      <c r="G1217" s="21">
        <v>8.0000000000000036</v>
      </c>
      <c r="H1217" s="21">
        <v>3.9999999999999982</v>
      </c>
      <c r="I1217" s="21">
        <v>3.9999999999999982</v>
      </c>
      <c r="J1217" s="24" t="s">
        <v>9</v>
      </c>
      <c r="K1217" s="23" t="s">
        <v>390</v>
      </c>
      <c r="L1217" s="59">
        <v>1</v>
      </c>
      <c r="M1217" s="8" t="s">
        <v>391</v>
      </c>
    </row>
    <row r="1218" spans="1:13" ht="15.75" x14ac:dyDescent="0.25">
      <c r="A1218" s="16" t="s">
        <v>0</v>
      </c>
      <c r="B1218" s="17" t="s">
        <v>361</v>
      </c>
      <c r="C1218" s="18">
        <v>43467</v>
      </c>
      <c r="D1218" s="19" t="s">
        <v>19</v>
      </c>
      <c r="E1218" s="20">
        <v>0.64583333333333326</v>
      </c>
      <c r="F1218" s="20">
        <v>0.8125</v>
      </c>
      <c r="G1218" s="21">
        <v>8.0000000000000036</v>
      </c>
      <c r="H1218" s="21">
        <v>3.9999999999999982</v>
      </c>
      <c r="I1218" s="21">
        <v>3.9999999999999982</v>
      </c>
      <c r="J1218" s="24" t="s">
        <v>9</v>
      </c>
      <c r="K1218" s="23" t="s">
        <v>390</v>
      </c>
      <c r="L1218" s="59">
        <v>1</v>
      </c>
      <c r="M1218" s="8" t="s">
        <v>391</v>
      </c>
    </row>
    <row r="1219" spans="1:13" ht="15.75" x14ac:dyDescent="0.25">
      <c r="A1219" s="16" t="s">
        <v>0</v>
      </c>
      <c r="B1219" s="17" t="s">
        <v>367</v>
      </c>
      <c r="C1219" s="18">
        <v>43467</v>
      </c>
      <c r="D1219" s="19" t="s">
        <v>19</v>
      </c>
      <c r="E1219" s="20">
        <v>0.72916666666666674</v>
      </c>
      <c r="F1219" s="20">
        <v>0.89583333333333337</v>
      </c>
      <c r="G1219" s="21">
        <v>8.0000000000000036</v>
      </c>
      <c r="H1219" s="21">
        <v>3.9999999999999982</v>
      </c>
      <c r="I1219" s="21">
        <v>3.9999999999999982</v>
      </c>
      <c r="J1219" s="24" t="s">
        <v>9</v>
      </c>
      <c r="K1219" s="23" t="s">
        <v>390</v>
      </c>
      <c r="L1219" s="59">
        <v>1</v>
      </c>
      <c r="M1219" s="8" t="s">
        <v>391</v>
      </c>
    </row>
    <row r="1220" spans="1:13" ht="15.75" x14ac:dyDescent="0.25">
      <c r="A1220" s="16" t="s">
        <v>0</v>
      </c>
      <c r="B1220" s="17" t="s">
        <v>392</v>
      </c>
      <c r="C1220" s="18">
        <v>43467</v>
      </c>
      <c r="D1220" s="19" t="s">
        <v>19</v>
      </c>
      <c r="E1220" s="20">
        <v>0.72916666666666674</v>
      </c>
      <c r="F1220" s="20">
        <v>0.89583333333333337</v>
      </c>
      <c r="G1220" s="21">
        <v>8.0000000000000036</v>
      </c>
      <c r="H1220" s="21">
        <v>3.9999999999999982</v>
      </c>
      <c r="I1220" s="21">
        <v>3.9999999999999982</v>
      </c>
      <c r="J1220" s="24" t="s">
        <v>9</v>
      </c>
      <c r="K1220" s="23" t="s">
        <v>390</v>
      </c>
      <c r="L1220" s="59">
        <v>1</v>
      </c>
      <c r="M1220" s="8" t="s">
        <v>391</v>
      </c>
    </row>
    <row r="1221" spans="1:13" ht="15.75" x14ac:dyDescent="0.25">
      <c r="A1221" s="16" t="s">
        <v>0</v>
      </c>
      <c r="B1221" s="17" t="s">
        <v>393</v>
      </c>
      <c r="C1221" s="18">
        <v>43467</v>
      </c>
      <c r="D1221" s="19" t="s">
        <v>19</v>
      </c>
      <c r="E1221" s="20">
        <v>0.72916666666666674</v>
      </c>
      <c r="F1221" s="20">
        <v>0.89583333333333337</v>
      </c>
      <c r="G1221" s="21">
        <v>8.0000000000000036</v>
      </c>
      <c r="H1221" s="21">
        <v>3.9999999999999982</v>
      </c>
      <c r="I1221" s="21">
        <v>3.9999999999999982</v>
      </c>
      <c r="J1221" s="24" t="s">
        <v>9</v>
      </c>
      <c r="K1221" s="23" t="s">
        <v>390</v>
      </c>
      <c r="L1221" s="59">
        <v>1</v>
      </c>
      <c r="M1221" s="8" t="s">
        <v>391</v>
      </c>
    </row>
    <row r="1222" spans="1:13" ht="15.75" x14ac:dyDescent="0.25">
      <c r="A1222" s="16" t="s">
        <v>0</v>
      </c>
      <c r="B1222" s="17" t="s">
        <v>10</v>
      </c>
      <c r="C1222" s="25">
        <v>43468</v>
      </c>
      <c r="D1222" s="19" t="s">
        <v>18</v>
      </c>
      <c r="E1222" s="20">
        <v>0.72916666666666674</v>
      </c>
      <c r="F1222" s="20">
        <v>0.89583333333333337</v>
      </c>
      <c r="G1222" s="21">
        <v>8.0000000000000036</v>
      </c>
      <c r="H1222" s="21">
        <v>3.9999999999999982</v>
      </c>
      <c r="I1222" s="21">
        <v>3.9999999999999982</v>
      </c>
      <c r="J1222" s="24" t="s">
        <v>9</v>
      </c>
      <c r="K1222" s="23" t="s">
        <v>394</v>
      </c>
      <c r="L1222" s="59">
        <v>1</v>
      </c>
      <c r="M1222" s="8" t="s">
        <v>391</v>
      </c>
    </row>
    <row r="1223" spans="1:13" ht="15.75" x14ac:dyDescent="0.25">
      <c r="A1223" s="16" t="s">
        <v>0</v>
      </c>
      <c r="B1223" s="17" t="s">
        <v>12</v>
      </c>
      <c r="C1223" s="18">
        <v>43468</v>
      </c>
      <c r="D1223" s="19" t="s">
        <v>18</v>
      </c>
      <c r="E1223" s="20">
        <v>0.72916666666666674</v>
      </c>
      <c r="F1223" s="20">
        <v>0.89583333333333337</v>
      </c>
      <c r="G1223" s="21">
        <v>8.0000000000000036</v>
      </c>
      <c r="H1223" s="21">
        <v>3.9999999999999982</v>
      </c>
      <c r="I1223" s="21">
        <v>3.9999999999999982</v>
      </c>
      <c r="J1223" s="24" t="s">
        <v>9</v>
      </c>
      <c r="K1223" s="23" t="s">
        <v>394</v>
      </c>
      <c r="L1223" s="59">
        <v>1</v>
      </c>
      <c r="M1223" s="8" t="s">
        <v>391</v>
      </c>
    </row>
    <row r="1224" spans="1:13" ht="15.75" x14ac:dyDescent="0.25">
      <c r="A1224" s="16" t="s">
        <v>0</v>
      </c>
      <c r="B1224" s="17" t="s">
        <v>68</v>
      </c>
      <c r="C1224" s="18">
        <v>43468</v>
      </c>
      <c r="D1224" s="19" t="s">
        <v>18</v>
      </c>
      <c r="E1224" s="20">
        <v>0.72916666666666674</v>
      </c>
      <c r="F1224" s="20">
        <v>0.89583333333333337</v>
      </c>
      <c r="G1224" s="21">
        <v>8.0000000000000036</v>
      </c>
      <c r="H1224" s="21">
        <v>3.9999999999999982</v>
      </c>
      <c r="I1224" s="21">
        <v>3.9999999999999982</v>
      </c>
      <c r="J1224" s="24" t="s">
        <v>9</v>
      </c>
      <c r="K1224" s="23" t="s">
        <v>394</v>
      </c>
      <c r="L1224" s="59">
        <v>1</v>
      </c>
      <c r="M1224" s="8" t="s">
        <v>391</v>
      </c>
    </row>
    <row r="1225" spans="1:13" ht="15.75" x14ac:dyDescent="0.25">
      <c r="A1225" s="16" t="s">
        <v>0</v>
      </c>
      <c r="B1225" s="17" t="s">
        <v>69</v>
      </c>
      <c r="C1225" s="18">
        <v>43468</v>
      </c>
      <c r="D1225" s="19" t="s">
        <v>18</v>
      </c>
      <c r="E1225" s="20">
        <v>0.72916666666666674</v>
      </c>
      <c r="F1225" s="20">
        <v>0.89583333333333337</v>
      </c>
      <c r="G1225" s="21">
        <v>8.0000000000000036</v>
      </c>
      <c r="H1225" s="21">
        <v>3.9999999999999982</v>
      </c>
      <c r="I1225" s="21">
        <v>3.9999999999999982</v>
      </c>
      <c r="J1225" s="24" t="s">
        <v>9</v>
      </c>
      <c r="K1225" s="23" t="s">
        <v>394</v>
      </c>
      <c r="L1225" s="59">
        <v>1</v>
      </c>
      <c r="M1225" s="8" t="s">
        <v>391</v>
      </c>
    </row>
    <row r="1226" spans="1:13" ht="15.75" x14ac:dyDescent="0.25">
      <c r="A1226" s="16" t="s">
        <v>0</v>
      </c>
      <c r="B1226" s="17" t="s">
        <v>361</v>
      </c>
      <c r="C1226" s="18">
        <v>43468</v>
      </c>
      <c r="D1226" s="19" t="s">
        <v>18</v>
      </c>
      <c r="E1226" s="20">
        <v>0.72916666666666674</v>
      </c>
      <c r="F1226" s="20">
        <v>0.89583333333333337</v>
      </c>
      <c r="G1226" s="21">
        <v>8.0000000000000036</v>
      </c>
      <c r="H1226" s="21">
        <v>3.9999999999999982</v>
      </c>
      <c r="I1226" s="21">
        <v>3.9999999999999982</v>
      </c>
      <c r="J1226" s="24" t="s">
        <v>9</v>
      </c>
      <c r="K1226" s="23" t="s">
        <v>394</v>
      </c>
      <c r="L1226" s="59">
        <v>1</v>
      </c>
      <c r="M1226" s="8" t="s">
        <v>391</v>
      </c>
    </row>
    <row r="1227" spans="1:13" ht="15.75" x14ac:dyDescent="0.25">
      <c r="A1227" s="16" t="s">
        <v>0</v>
      </c>
      <c r="B1227" s="17" t="s">
        <v>367</v>
      </c>
      <c r="C1227" s="18">
        <v>43468</v>
      </c>
      <c r="D1227" s="19" t="s">
        <v>18</v>
      </c>
      <c r="E1227" s="20">
        <v>0.72916666666666674</v>
      </c>
      <c r="F1227" s="20">
        <v>0.89583333333333337</v>
      </c>
      <c r="G1227" s="21">
        <v>8.0000000000000036</v>
      </c>
      <c r="H1227" s="21">
        <v>3.9999999999999982</v>
      </c>
      <c r="I1227" s="21">
        <v>3.9999999999999982</v>
      </c>
      <c r="J1227" s="24" t="s">
        <v>9</v>
      </c>
      <c r="K1227" s="23" t="s">
        <v>394</v>
      </c>
      <c r="L1227" s="59">
        <v>1</v>
      </c>
      <c r="M1227" s="8" t="s">
        <v>391</v>
      </c>
    </row>
    <row r="1228" spans="1:13" ht="15.75" x14ac:dyDescent="0.25">
      <c r="A1228" s="16" t="s">
        <v>0</v>
      </c>
      <c r="B1228" s="17" t="s">
        <v>392</v>
      </c>
      <c r="C1228" s="18">
        <v>43468</v>
      </c>
      <c r="D1228" s="19" t="s">
        <v>18</v>
      </c>
      <c r="E1228" s="20">
        <v>0.64583333333333326</v>
      </c>
      <c r="F1228" s="20">
        <v>0.8125</v>
      </c>
      <c r="G1228" s="21">
        <v>8.0000000000000036</v>
      </c>
      <c r="H1228" s="21">
        <v>3.9999999999999982</v>
      </c>
      <c r="I1228" s="21">
        <v>3.9999999999999982</v>
      </c>
      <c r="J1228" s="24" t="s">
        <v>9</v>
      </c>
      <c r="K1228" s="23" t="s">
        <v>394</v>
      </c>
      <c r="L1228" s="59">
        <v>1</v>
      </c>
      <c r="M1228" s="8" t="s">
        <v>391</v>
      </c>
    </row>
    <row r="1229" spans="1:13" ht="15.75" x14ac:dyDescent="0.25">
      <c r="A1229" s="16" t="s">
        <v>0</v>
      </c>
      <c r="B1229" s="17" t="s">
        <v>393</v>
      </c>
      <c r="C1229" s="18">
        <v>43468</v>
      </c>
      <c r="D1229" s="19" t="s">
        <v>18</v>
      </c>
      <c r="E1229" s="20">
        <v>0.72916666666666674</v>
      </c>
      <c r="F1229" s="20">
        <v>0.89583333333333337</v>
      </c>
      <c r="G1229" s="21">
        <v>8.0000000000000036</v>
      </c>
      <c r="H1229" s="21">
        <v>3.9999999999999982</v>
      </c>
      <c r="I1229" s="21">
        <v>3.9999999999999982</v>
      </c>
      <c r="J1229" s="24" t="s">
        <v>9</v>
      </c>
      <c r="K1229" s="23" t="s">
        <v>394</v>
      </c>
      <c r="L1229" s="59">
        <v>1</v>
      </c>
      <c r="M1229" s="8" t="s">
        <v>391</v>
      </c>
    </row>
    <row r="1230" spans="1:13" ht="15.75" x14ac:dyDescent="0.25">
      <c r="A1230" s="16" t="s">
        <v>0</v>
      </c>
      <c r="B1230" s="17" t="s">
        <v>10</v>
      </c>
      <c r="C1230" s="25">
        <v>43469</v>
      </c>
      <c r="D1230" s="19" t="s">
        <v>17</v>
      </c>
      <c r="E1230" s="20">
        <v>0.72916666666666674</v>
      </c>
      <c r="F1230" s="20">
        <v>0.89583333333333337</v>
      </c>
      <c r="G1230" s="21">
        <v>8.0000000000000036</v>
      </c>
      <c r="H1230" s="21">
        <v>3.9999999999999982</v>
      </c>
      <c r="I1230" s="21">
        <v>3.9999999999999982</v>
      </c>
      <c r="J1230" s="24" t="s">
        <v>9</v>
      </c>
      <c r="K1230" s="23" t="s">
        <v>395</v>
      </c>
      <c r="L1230" s="59">
        <v>1</v>
      </c>
      <c r="M1230" s="8" t="s">
        <v>391</v>
      </c>
    </row>
    <row r="1231" spans="1:13" ht="15.75" x14ac:dyDescent="0.25">
      <c r="A1231" s="16" t="s">
        <v>0</v>
      </c>
      <c r="B1231" s="17" t="s">
        <v>12</v>
      </c>
      <c r="C1231" s="18">
        <v>43469</v>
      </c>
      <c r="D1231" s="19" t="s">
        <v>17</v>
      </c>
      <c r="E1231" s="20">
        <v>0.72916666666666674</v>
      </c>
      <c r="F1231" s="20">
        <v>0.89583333333333337</v>
      </c>
      <c r="G1231" s="21">
        <v>8.0000000000000036</v>
      </c>
      <c r="H1231" s="21">
        <v>3.9999999999999982</v>
      </c>
      <c r="I1231" s="21">
        <v>3.9999999999999982</v>
      </c>
      <c r="J1231" s="24" t="s">
        <v>9</v>
      </c>
      <c r="K1231" s="23" t="s">
        <v>395</v>
      </c>
      <c r="L1231" s="59">
        <v>1</v>
      </c>
      <c r="M1231" s="8" t="s">
        <v>391</v>
      </c>
    </row>
    <row r="1232" spans="1:13" ht="15.75" x14ac:dyDescent="0.25">
      <c r="A1232" s="16" t="s">
        <v>0</v>
      </c>
      <c r="B1232" s="17" t="s">
        <v>68</v>
      </c>
      <c r="C1232" s="18">
        <v>43469</v>
      </c>
      <c r="D1232" s="19" t="s">
        <v>17</v>
      </c>
      <c r="E1232" s="20">
        <v>0.72916666666666674</v>
      </c>
      <c r="F1232" s="20">
        <v>0.89583333333333337</v>
      </c>
      <c r="G1232" s="21">
        <v>8.0000000000000036</v>
      </c>
      <c r="H1232" s="21">
        <v>3.9999999999999982</v>
      </c>
      <c r="I1232" s="21">
        <v>3.9999999999999982</v>
      </c>
      <c r="J1232" s="24" t="s">
        <v>9</v>
      </c>
      <c r="K1232" s="23" t="s">
        <v>395</v>
      </c>
      <c r="L1232" s="59">
        <v>1</v>
      </c>
      <c r="M1232" s="8" t="s">
        <v>391</v>
      </c>
    </row>
    <row r="1233" spans="1:13" ht="15.75" x14ac:dyDescent="0.25">
      <c r="A1233" s="16" t="s">
        <v>0</v>
      </c>
      <c r="B1233" s="17" t="s">
        <v>69</v>
      </c>
      <c r="C1233" s="18">
        <v>43469</v>
      </c>
      <c r="D1233" s="19" t="s">
        <v>17</v>
      </c>
      <c r="E1233" s="20">
        <v>0.72916666666666674</v>
      </c>
      <c r="F1233" s="20">
        <v>0.89583333333333337</v>
      </c>
      <c r="G1233" s="21">
        <v>8.0000000000000036</v>
      </c>
      <c r="H1233" s="21">
        <v>3.9999999999999982</v>
      </c>
      <c r="I1233" s="21">
        <v>3.9999999999999982</v>
      </c>
      <c r="J1233" s="24" t="s">
        <v>9</v>
      </c>
      <c r="K1233" s="23" t="s">
        <v>395</v>
      </c>
      <c r="L1233" s="59">
        <v>1</v>
      </c>
      <c r="M1233" s="8" t="s">
        <v>391</v>
      </c>
    </row>
    <row r="1234" spans="1:13" ht="15.75" x14ac:dyDescent="0.25">
      <c r="A1234" s="16" t="s">
        <v>0</v>
      </c>
      <c r="B1234" s="17" t="s">
        <v>361</v>
      </c>
      <c r="C1234" s="18">
        <v>43469</v>
      </c>
      <c r="D1234" s="19" t="s">
        <v>17</v>
      </c>
      <c r="E1234" s="20">
        <v>0.72916666666666674</v>
      </c>
      <c r="F1234" s="20">
        <v>0.89583333333333337</v>
      </c>
      <c r="G1234" s="21">
        <v>8.0000000000000036</v>
      </c>
      <c r="H1234" s="21">
        <v>3.9999999999999982</v>
      </c>
      <c r="I1234" s="21">
        <v>3.9999999999999982</v>
      </c>
      <c r="J1234" s="24" t="s">
        <v>9</v>
      </c>
      <c r="K1234" s="23" t="s">
        <v>395</v>
      </c>
      <c r="L1234" s="59">
        <v>1</v>
      </c>
      <c r="M1234" s="8" t="s">
        <v>391</v>
      </c>
    </row>
    <row r="1235" spans="1:13" ht="15.75" x14ac:dyDescent="0.25">
      <c r="A1235" s="16" t="s">
        <v>0</v>
      </c>
      <c r="B1235" s="17" t="s">
        <v>367</v>
      </c>
      <c r="C1235" s="18">
        <v>43469</v>
      </c>
      <c r="D1235" s="19" t="s">
        <v>17</v>
      </c>
      <c r="E1235" s="20">
        <v>0.72916666666666674</v>
      </c>
      <c r="F1235" s="20">
        <v>0.89583333333333337</v>
      </c>
      <c r="G1235" s="21">
        <v>8.0000000000000036</v>
      </c>
      <c r="H1235" s="21">
        <v>3.9999999999999982</v>
      </c>
      <c r="I1235" s="21">
        <v>3.9999999999999982</v>
      </c>
      <c r="J1235" s="24" t="s">
        <v>9</v>
      </c>
      <c r="K1235" s="23" t="s">
        <v>395</v>
      </c>
      <c r="L1235" s="59">
        <v>1</v>
      </c>
      <c r="M1235" s="8" t="s">
        <v>391</v>
      </c>
    </row>
    <row r="1236" spans="1:13" ht="15.75" x14ac:dyDescent="0.25">
      <c r="A1236" s="16" t="s">
        <v>0</v>
      </c>
      <c r="B1236" s="17" t="s">
        <v>393</v>
      </c>
      <c r="C1236" s="18">
        <v>43469</v>
      </c>
      <c r="D1236" s="19" t="s">
        <v>17</v>
      </c>
      <c r="E1236" s="20">
        <v>0.64583333333333326</v>
      </c>
      <c r="F1236" s="20">
        <v>0.8125</v>
      </c>
      <c r="G1236" s="21">
        <v>8.0000000000000036</v>
      </c>
      <c r="H1236" s="21">
        <v>3.9999999999999982</v>
      </c>
      <c r="I1236" s="21">
        <v>3.9999999999999982</v>
      </c>
      <c r="J1236" s="24" t="s">
        <v>9</v>
      </c>
      <c r="K1236" s="23" t="s">
        <v>395</v>
      </c>
      <c r="L1236" s="59">
        <v>1</v>
      </c>
      <c r="M1236" s="8" t="s">
        <v>391</v>
      </c>
    </row>
    <row r="1237" spans="1:13" ht="15.75" x14ac:dyDescent="0.25">
      <c r="A1237" s="16" t="s">
        <v>0</v>
      </c>
      <c r="B1237" s="17" t="s">
        <v>10</v>
      </c>
      <c r="C1237" s="25">
        <v>43472</v>
      </c>
      <c r="D1237" s="19" t="s">
        <v>21</v>
      </c>
      <c r="E1237" s="20">
        <v>0.72916666666666674</v>
      </c>
      <c r="F1237" s="20">
        <v>0.875</v>
      </c>
      <c r="G1237" s="21">
        <v>8.0000000000000036</v>
      </c>
      <c r="H1237" s="21">
        <v>3.4999999999999947</v>
      </c>
      <c r="I1237" s="21">
        <v>3.4999999999999947</v>
      </c>
      <c r="J1237" s="24" t="s">
        <v>9</v>
      </c>
      <c r="K1237" s="23" t="s">
        <v>396</v>
      </c>
      <c r="L1237" s="59">
        <v>1</v>
      </c>
      <c r="M1237" s="8" t="s">
        <v>391</v>
      </c>
    </row>
    <row r="1238" spans="1:13" ht="15.75" x14ac:dyDescent="0.25">
      <c r="A1238" s="16" t="s">
        <v>0</v>
      </c>
      <c r="B1238" s="17" t="s">
        <v>12</v>
      </c>
      <c r="C1238" s="18">
        <v>43472</v>
      </c>
      <c r="D1238" s="19" t="s">
        <v>21</v>
      </c>
      <c r="E1238" s="20">
        <v>0.72916666666666674</v>
      </c>
      <c r="F1238" s="20">
        <v>0.875</v>
      </c>
      <c r="G1238" s="21">
        <v>8.0000000000000036</v>
      </c>
      <c r="H1238" s="21">
        <v>3.4999999999999947</v>
      </c>
      <c r="I1238" s="21">
        <v>3.4999999999999947</v>
      </c>
      <c r="J1238" s="24" t="s">
        <v>9</v>
      </c>
      <c r="K1238" s="23" t="s">
        <v>396</v>
      </c>
      <c r="L1238" s="59">
        <v>1</v>
      </c>
      <c r="M1238" s="8" t="s">
        <v>391</v>
      </c>
    </row>
    <row r="1239" spans="1:13" ht="15.75" x14ac:dyDescent="0.25">
      <c r="A1239" s="16" t="s">
        <v>0</v>
      </c>
      <c r="B1239" s="17" t="s">
        <v>68</v>
      </c>
      <c r="C1239" s="18">
        <v>43472</v>
      </c>
      <c r="D1239" s="19" t="s">
        <v>21</v>
      </c>
      <c r="E1239" s="20">
        <v>0.64583333333333326</v>
      </c>
      <c r="F1239" s="20">
        <v>0.875</v>
      </c>
      <c r="G1239" s="21">
        <v>8.0000000000000036</v>
      </c>
      <c r="H1239" s="21">
        <v>5.4999999999999982</v>
      </c>
      <c r="I1239" s="21">
        <v>5.4999999999999982</v>
      </c>
      <c r="J1239" s="24" t="s">
        <v>9</v>
      </c>
      <c r="K1239" s="23" t="s">
        <v>396</v>
      </c>
      <c r="L1239" s="59">
        <v>1</v>
      </c>
      <c r="M1239" s="8" t="s">
        <v>391</v>
      </c>
    </row>
    <row r="1240" spans="1:13" ht="15.75" x14ac:dyDescent="0.25">
      <c r="A1240" s="16" t="s">
        <v>0</v>
      </c>
      <c r="B1240" s="17" t="s">
        <v>69</v>
      </c>
      <c r="C1240" s="18">
        <v>43472</v>
      </c>
      <c r="D1240" s="19" t="s">
        <v>21</v>
      </c>
      <c r="E1240" s="20">
        <v>0.72916666666666674</v>
      </c>
      <c r="F1240" s="20">
        <v>0.875</v>
      </c>
      <c r="G1240" s="21">
        <v>8.0000000000000036</v>
      </c>
      <c r="H1240" s="21">
        <v>3.4999999999999947</v>
      </c>
      <c r="I1240" s="21">
        <v>3.4999999999999947</v>
      </c>
      <c r="J1240" s="24" t="s">
        <v>9</v>
      </c>
      <c r="K1240" s="23" t="s">
        <v>396</v>
      </c>
      <c r="L1240" s="59">
        <v>1</v>
      </c>
      <c r="M1240" s="8" t="s">
        <v>391</v>
      </c>
    </row>
    <row r="1241" spans="1:13" ht="15.75" x14ac:dyDescent="0.25">
      <c r="A1241" s="16" t="s">
        <v>0</v>
      </c>
      <c r="B1241" s="17" t="s">
        <v>361</v>
      </c>
      <c r="C1241" s="18">
        <v>43472</v>
      </c>
      <c r="D1241" s="19" t="s">
        <v>21</v>
      </c>
      <c r="E1241" s="20">
        <v>0.72916666666666674</v>
      </c>
      <c r="F1241" s="20">
        <v>0.875</v>
      </c>
      <c r="G1241" s="21">
        <v>8.0000000000000036</v>
      </c>
      <c r="H1241" s="21">
        <v>3.4999999999999947</v>
      </c>
      <c r="I1241" s="21">
        <v>3.4999999999999947</v>
      </c>
      <c r="J1241" s="24" t="s">
        <v>9</v>
      </c>
      <c r="K1241" s="23" t="s">
        <v>396</v>
      </c>
      <c r="L1241" s="59">
        <v>1</v>
      </c>
      <c r="M1241" s="8" t="s">
        <v>391</v>
      </c>
    </row>
    <row r="1242" spans="1:13" ht="15.75" x14ac:dyDescent="0.25">
      <c r="A1242" s="16" t="s">
        <v>0</v>
      </c>
      <c r="B1242" s="17" t="s">
        <v>392</v>
      </c>
      <c r="C1242" s="18">
        <v>43472</v>
      </c>
      <c r="D1242" s="19" t="s">
        <v>21</v>
      </c>
      <c r="E1242" s="20">
        <v>0.72916666666666674</v>
      </c>
      <c r="F1242" s="20">
        <v>0.875</v>
      </c>
      <c r="G1242" s="21">
        <v>8.0000000000000036</v>
      </c>
      <c r="H1242" s="21">
        <v>3.4999999999999947</v>
      </c>
      <c r="I1242" s="21">
        <v>3.4999999999999947</v>
      </c>
      <c r="J1242" s="24" t="s">
        <v>9</v>
      </c>
      <c r="K1242" s="23" t="s">
        <v>396</v>
      </c>
      <c r="L1242" s="59">
        <v>1</v>
      </c>
      <c r="M1242" s="8" t="s">
        <v>391</v>
      </c>
    </row>
    <row r="1243" spans="1:13" ht="15.75" x14ac:dyDescent="0.25">
      <c r="A1243" s="16" t="s">
        <v>0</v>
      </c>
      <c r="B1243" s="17" t="s">
        <v>397</v>
      </c>
      <c r="C1243" s="18">
        <v>43472</v>
      </c>
      <c r="D1243" s="19" t="s">
        <v>21</v>
      </c>
      <c r="E1243" s="20">
        <v>0.72916666666666674</v>
      </c>
      <c r="F1243" s="20">
        <v>0.875</v>
      </c>
      <c r="G1243" s="21">
        <v>8.0000000000000036</v>
      </c>
      <c r="H1243" s="21">
        <v>3.4999999999999947</v>
      </c>
      <c r="I1243" s="21">
        <v>3.4999999999999947</v>
      </c>
      <c r="J1243" s="24" t="s">
        <v>9</v>
      </c>
      <c r="K1243" s="23" t="s">
        <v>396</v>
      </c>
      <c r="L1243" s="59">
        <v>1</v>
      </c>
      <c r="M1243" s="8" t="s">
        <v>391</v>
      </c>
    </row>
    <row r="1244" spans="1:13" ht="15.75" x14ac:dyDescent="0.25">
      <c r="A1244" s="16" t="s">
        <v>0</v>
      </c>
      <c r="B1244" s="17" t="s">
        <v>393</v>
      </c>
      <c r="C1244" s="18">
        <v>43472</v>
      </c>
      <c r="D1244" s="19" t="s">
        <v>21</v>
      </c>
      <c r="E1244" s="20">
        <v>0.72916666666666674</v>
      </c>
      <c r="F1244" s="20">
        <v>0.875</v>
      </c>
      <c r="G1244" s="21">
        <v>8.0000000000000036</v>
      </c>
      <c r="H1244" s="21">
        <v>3.4999999999999947</v>
      </c>
      <c r="I1244" s="21">
        <v>3.4999999999999947</v>
      </c>
      <c r="J1244" s="24" t="s">
        <v>9</v>
      </c>
      <c r="K1244" s="23" t="s">
        <v>396</v>
      </c>
      <c r="L1244" s="59">
        <v>1</v>
      </c>
      <c r="M1244" s="8" t="s">
        <v>391</v>
      </c>
    </row>
    <row r="1245" spans="1:13" ht="15.75" x14ac:dyDescent="0.25">
      <c r="A1245" s="16" t="s">
        <v>0</v>
      </c>
      <c r="B1245" s="17" t="s">
        <v>10</v>
      </c>
      <c r="C1245" s="25">
        <v>43473</v>
      </c>
      <c r="D1245" s="19" t="s">
        <v>16</v>
      </c>
      <c r="E1245" s="20">
        <v>0.72916666666666674</v>
      </c>
      <c r="F1245" s="20">
        <v>0.83333333333333337</v>
      </c>
      <c r="G1245" s="21">
        <v>8.0000000000000036</v>
      </c>
      <c r="H1245" s="21">
        <v>2.4999999999999964</v>
      </c>
      <c r="I1245" s="21">
        <v>2.4999999999999964</v>
      </c>
      <c r="J1245" s="24" t="s">
        <v>9</v>
      </c>
      <c r="K1245" s="23" t="s">
        <v>398</v>
      </c>
      <c r="L1245" s="59">
        <v>1</v>
      </c>
      <c r="M1245" s="8" t="s">
        <v>391</v>
      </c>
    </row>
    <row r="1246" spans="1:13" ht="15.75" x14ac:dyDescent="0.25">
      <c r="A1246" s="16" t="s">
        <v>0</v>
      </c>
      <c r="B1246" s="17" t="s">
        <v>12</v>
      </c>
      <c r="C1246" s="18">
        <v>43473</v>
      </c>
      <c r="D1246" s="19" t="s">
        <v>16</v>
      </c>
      <c r="E1246" s="20">
        <v>0.64583333333333326</v>
      </c>
      <c r="F1246" s="20">
        <v>0.79166666666666663</v>
      </c>
      <c r="G1246" s="21">
        <v>8.0000000000000036</v>
      </c>
      <c r="H1246" s="21">
        <v>3.4999999999999947</v>
      </c>
      <c r="I1246" s="21">
        <v>3.4999999999999947</v>
      </c>
      <c r="J1246" s="24" t="s">
        <v>9</v>
      </c>
      <c r="K1246" s="23" t="s">
        <v>398</v>
      </c>
      <c r="L1246" s="59">
        <v>1</v>
      </c>
      <c r="M1246" s="8" t="s">
        <v>391</v>
      </c>
    </row>
    <row r="1247" spans="1:13" ht="15.75" x14ac:dyDescent="0.25">
      <c r="A1247" s="16" t="s">
        <v>0</v>
      </c>
      <c r="B1247" s="17" t="s">
        <v>68</v>
      </c>
      <c r="C1247" s="18">
        <v>43473</v>
      </c>
      <c r="D1247" s="19" t="s">
        <v>16</v>
      </c>
      <c r="E1247" s="20">
        <v>0.72916666666666674</v>
      </c>
      <c r="F1247" s="20">
        <v>0.83333333333333337</v>
      </c>
      <c r="G1247" s="21">
        <v>8.0000000000000036</v>
      </c>
      <c r="H1247" s="21">
        <v>2.4999999999999964</v>
      </c>
      <c r="I1247" s="21">
        <v>2.4999999999999964</v>
      </c>
      <c r="J1247" s="24" t="s">
        <v>9</v>
      </c>
      <c r="K1247" s="23" t="s">
        <v>398</v>
      </c>
      <c r="L1247" s="59">
        <v>1</v>
      </c>
      <c r="M1247" s="8" t="s">
        <v>391</v>
      </c>
    </row>
    <row r="1248" spans="1:13" ht="15.75" x14ac:dyDescent="0.25">
      <c r="A1248" s="16" t="s">
        <v>0</v>
      </c>
      <c r="B1248" s="17" t="s">
        <v>69</v>
      </c>
      <c r="C1248" s="18">
        <v>43473</v>
      </c>
      <c r="D1248" s="19" t="s">
        <v>16</v>
      </c>
      <c r="E1248" s="20">
        <v>0.72916666666666674</v>
      </c>
      <c r="F1248" s="20">
        <v>0.83333333333333337</v>
      </c>
      <c r="G1248" s="21">
        <v>8.0000000000000036</v>
      </c>
      <c r="H1248" s="21">
        <v>2.4999999999999964</v>
      </c>
      <c r="I1248" s="21">
        <v>2.4999999999999964</v>
      </c>
      <c r="J1248" s="24" t="s">
        <v>9</v>
      </c>
      <c r="K1248" s="23" t="s">
        <v>398</v>
      </c>
      <c r="L1248" s="59">
        <v>1</v>
      </c>
      <c r="M1248" s="8" t="s">
        <v>391</v>
      </c>
    </row>
    <row r="1249" spans="1:13" ht="15.75" x14ac:dyDescent="0.25">
      <c r="A1249" s="16" t="s">
        <v>0</v>
      </c>
      <c r="B1249" s="17" t="s">
        <v>361</v>
      </c>
      <c r="C1249" s="18">
        <v>43473</v>
      </c>
      <c r="D1249" s="19" t="s">
        <v>16</v>
      </c>
      <c r="E1249" s="20">
        <v>0.72916666666666674</v>
      </c>
      <c r="F1249" s="20">
        <v>0.83333333333333337</v>
      </c>
      <c r="G1249" s="21">
        <v>8.0000000000000036</v>
      </c>
      <c r="H1249" s="21">
        <v>2.4999999999999964</v>
      </c>
      <c r="I1249" s="21">
        <v>2.4999999999999964</v>
      </c>
      <c r="J1249" s="24" t="s">
        <v>9</v>
      </c>
      <c r="K1249" s="23" t="s">
        <v>398</v>
      </c>
      <c r="L1249" s="59">
        <v>1</v>
      </c>
      <c r="M1249" s="8" t="s">
        <v>391</v>
      </c>
    </row>
    <row r="1250" spans="1:13" ht="15.75" x14ac:dyDescent="0.25">
      <c r="A1250" s="16" t="s">
        <v>0</v>
      </c>
      <c r="B1250" s="17" t="s">
        <v>392</v>
      </c>
      <c r="C1250" s="18">
        <v>43473</v>
      </c>
      <c r="D1250" s="19" t="s">
        <v>16</v>
      </c>
      <c r="E1250" s="20">
        <v>0.72916666666666674</v>
      </c>
      <c r="F1250" s="20">
        <v>0.83333333333333337</v>
      </c>
      <c r="G1250" s="21">
        <v>8.0000000000000036</v>
      </c>
      <c r="H1250" s="21">
        <v>2.4999999999999964</v>
      </c>
      <c r="I1250" s="21">
        <v>2.4999999999999964</v>
      </c>
      <c r="J1250" s="24" t="s">
        <v>9</v>
      </c>
      <c r="K1250" s="23" t="s">
        <v>398</v>
      </c>
      <c r="L1250" s="59">
        <v>1</v>
      </c>
      <c r="M1250" s="8" t="s">
        <v>391</v>
      </c>
    </row>
    <row r="1251" spans="1:13" ht="15.75" x14ac:dyDescent="0.25">
      <c r="A1251" s="16" t="s">
        <v>0</v>
      </c>
      <c r="B1251" s="17" t="s">
        <v>397</v>
      </c>
      <c r="C1251" s="18">
        <v>43473</v>
      </c>
      <c r="D1251" s="19" t="s">
        <v>16</v>
      </c>
      <c r="E1251" s="20">
        <v>0.72916666666666674</v>
      </c>
      <c r="F1251" s="20">
        <v>0.83333333333333337</v>
      </c>
      <c r="G1251" s="21">
        <v>8.0000000000000036</v>
      </c>
      <c r="H1251" s="21">
        <v>2.4999999999999964</v>
      </c>
      <c r="I1251" s="21">
        <v>2.4999999999999964</v>
      </c>
      <c r="J1251" s="24" t="s">
        <v>9</v>
      </c>
      <c r="K1251" s="23" t="s">
        <v>398</v>
      </c>
      <c r="L1251" s="59">
        <v>1</v>
      </c>
      <c r="M1251" s="8" t="s">
        <v>391</v>
      </c>
    </row>
    <row r="1252" spans="1:13" ht="15.75" x14ac:dyDescent="0.25">
      <c r="A1252" s="16" t="s">
        <v>0</v>
      </c>
      <c r="B1252" s="17" t="s">
        <v>393</v>
      </c>
      <c r="C1252" s="18">
        <v>43473</v>
      </c>
      <c r="D1252" s="19" t="s">
        <v>16</v>
      </c>
      <c r="E1252" s="20">
        <v>0.72916666666666674</v>
      </c>
      <c r="F1252" s="20">
        <v>0.83333333333333337</v>
      </c>
      <c r="G1252" s="21">
        <v>8.0000000000000036</v>
      </c>
      <c r="H1252" s="21">
        <v>2.4999999999999964</v>
      </c>
      <c r="I1252" s="21">
        <v>2.4999999999999964</v>
      </c>
      <c r="J1252" s="24" t="s">
        <v>9</v>
      </c>
      <c r="K1252" s="23" t="s">
        <v>398</v>
      </c>
      <c r="L1252" s="59">
        <v>1</v>
      </c>
      <c r="M1252" s="8" t="s">
        <v>391</v>
      </c>
    </row>
    <row r="1253" spans="1:13" ht="15.75" x14ac:dyDescent="0.25">
      <c r="A1253" s="16" t="s">
        <v>0</v>
      </c>
      <c r="B1253" s="17" t="s">
        <v>10</v>
      </c>
      <c r="C1253" s="25">
        <v>43511</v>
      </c>
      <c r="D1253" s="19" t="s">
        <v>17</v>
      </c>
      <c r="E1253" s="20">
        <v>0.70833333333333326</v>
      </c>
      <c r="F1253" s="20">
        <v>0.875</v>
      </c>
      <c r="G1253" s="21">
        <v>8.0000000000000036</v>
      </c>
      <c r="H1253" s="21">
        <v>3.9999999999999982</v>
      </c>
      <c r="I1253" s="21">
        <v>3.9999999999999982</v>
      </c>
      <c r="J1253" s="24" t="s">
        <v>9</v>
      </c>
      <c r="K1253" s="23" t="s">
        <v>410</v>
      </c>
      <c r="L1253" s="59">
        <v>1</v>
      </c>
      <c r="M1253" s="8" t="s">
        <v>399</v>
      </c>
    </row>
    <row r="1254" spans="1:13" ht="15.75" x14ac:dyDescent="0.25">
      <c r="A1254" s="16" t="s">
        <v>0</v>
      </c>
      <c r="B1254" s="17" t="s">
        <v>12</v>
      </c>
      <c r="C1254" s="18">
        <v>43511</v>
      </c>
      <c r="D1254" s="19" t="s">
        <v>17</v>
      </c>
      <c r="E1254" s="20">
        <v>0.70833333333333326</v>
      </c>
      <c r="F1254" s="20">
        <v>0.875</v>
      </c>
      <c r="G1254" s="21">
        <v>8.0000000000000036</v>
      </c>
      <c r="H1254" s="21">
        <v>3.9999999999999982</v>
      </c>
      <c r="I1254" s="21">
        <v>3.9999999999999982</v>
      </c>
      <c r="J1254" s="24" t="s">
        <v>9</v>
      </c>
      <c r="K1254" s="23" t="s">
        <v>410</v>
      </c>
      <c r="L1254" s="59">
        <v>1</v>
      </c>
      <c r="M1254" s="8" t="s">
        <v>399</v>
      </c>
    </row>
    <row r="1255" spans="1:13" ht="15.75" x14ac:dyDescent="0.25">
      <c r="A1255" s="16" t="s">
        <v>0</v>
      </c>
      <c r="B1255" s="17" t="s">
        <v>68</v>
      </c>
      <c r="C1255" s="18">
        <v>43511</v>
      </c>
      <c r="D1255" s="19" t="s">
        <v>17</v>
      </c>
      <c r="E1255" s="20">
        <v>0.70833333333333326</v>
      </c>
      <c r="F1255" s="20">
        <v>0.875</v>
      </c>
      <c r="G1255" s="21">
        <v>8.0000000000000036</v>
      </c>
      <c r="H1255" s="21">
        <v>3.9999999999999982</v>
      </c>
      <c r="I1255" s="21">
        <v>3.9999999999999982</v>
      </c>
      <c r="J1255" s="24" t="s">
        <v>9</v>
      </c>
      <c r="K1255" s="23" t="s">
        <v>410</v>
      </c>
      <c r="L1255" s="59">
        <v>1</v>
      </c>
      <c r="M1255" s="8" t="s">
        <v>399</v>
      </c>
    </row>
    <row r="1256" spans="1:13" ht="15.75" x14ac:dyDescent="0.25">
      <c r="A1256" s="16" t="s">
        <v>0</v>
      </c>
      <c r="B1256" s="17" t="s">
        <v>69</v>
      </c>
      <c r="C1256" s="18">
        <v>43511</v>
      </c>
      <c r="D1256" s="19" t="s">
        <v>17</v>
      </c>
      <c r="E1256" s="20">
        <v>0.70833333333333326</v>
      </c>
      <c r="F1256" s="20">
        <v>0.875</v>
      </c>
      <c r="G1256" s="21">
        <v>8.0000000000000036</v>
      </c>
      <c r="H1256" s="21">
        <v>3.9999999999999982</v>
      </c>
      <c r="I1256" s="21">
        <v>3.9999999999999982</v>
      </c>
      <c r="J1256" s="24" t="s">
        <v>9</v>
      </c>
      <c r="K1256" s="23" t="s">
        <v>410</v>
      </c>
      <c r="L1256" s="59">
        <v>1</v>
      </c>
      <c r="M1256" s="8" t="s">
        <v>399</v>
      </c>
    </row>
    <row r="1257" spans="1:13" ht="15.75" x14ac:dyDescent="0.25">
      <c r="A1257" s="16" t="s">
        <v>0</v>
      </c>
      <c r="B1257" s="17" t="s">
        <v>361</v>
      </c>
      <c r="C1257" s="18">
        <v>43511</v>
      </c>
      <c r="D1257" s="19" t="s">
        <v>17</v>
      </c>
      <c r="E1257" s="20">
        <v>0.64583333333333326</v>
      </c>
      <c r="F1257" s="20">
        <v>0.875</v>
      </c>
      <c r="G1257" s="21">
        <v>8.0000000000000036</v>
      </c>
      <c r="H1257" s="21">
        <v>5.4999999999999982</v>
      </c>
      <c r="I1257" s="21">
        <v>5.4999999999999982</v>
      </c>
      <c r="J1257" s="24" t="s">
        <v>9</v>
      </c>
      <c r="K1257" s="23" t="s">
        <v>410</v>
      </c>
      <c r="L1257" s="59">
        <v>1</v>
      </c>
      <c r="M1257" s="8" t="s">
        <v>399</v>
      </c>
    </row>
    <row r="1258" spans="1:13" ht="15.75" x14ac:dyDescent="0.25">
      <c r="A1258" s="16" t="s">
        <v>0</v>
      </c>
      <c r="B1258" s="17" t="s">
        <v>367</v>
      </c>
      <c r="C1258" s="18">
        <v>43511</v>
      </c>
      <c r="D1258" s="19" t="s">
        <v>17</v>
      </c>
      <c r="E1258" s="20">
        <v>0.70833333333333326</v>
      </c>
      <c r="F1258" s="20">
        <v>0.875</v>
      </c>
      <c r="G1258" s="21">
        <v>8.0000000000000036</v>
      </c>
      <c r="H1258" s="21">
        <v>3.9999999999999982</v>
      </c>
      <c r="I1258" s="21">
        <v>3.9999999999999982</v>
      </c>
      <c r="J1258" s="24" t="s">
        <v>9</v>
      </c>
      <c r="K1258" s="23" t="s">
        <v>410</v>
      </c>
      <c r="L1258" s="59">
        <v>1</v>
      </c>
      <c r="M1258" s="8" t="s">
        <v>399</v>
      </c>
    </row>
    <row r="1259" spans="1:13" ht="15.75" x14ac:dyDescent="0.25">
      <c r="A1259" s="16" t="s">
        <v>0</v>
      </c>
      <c r="B1259" s="17" t="s">
        <v>411</v>
      </c>
      <c r="C1259" s="18">
        <v>43511</v>
      </c>
      <c r="D1259" s="19" t="s">
        <v>17</v>
      </c>
      <c r="E1259" s="20">
        <v>0.70833333333333326</v>
      </c>
      <c r="F1259" s="20">
        <v>0.875</v>
      </c>
      <c r="G1259" s="21">
        <v>8.0000000000000036</v>
      </c>
      <c r="H1259" s="21">
        <v>3.9999999999999982</v>
      </c>
      <c r="I1259" s="21">
        <v>3.9999999999999982</v>
      </c>
      <c r="J1259" s="24" t="s">
        <v>9</v>
      </c>
      <c r="K1259" s="23" t="s">
        <v>410</v>
      </c>
      <c r="L1259" s="59">
        <v>1</v>
      </c>
      <c r="M1259" s="8" t="s">
        <v>399</v>
      </c>
    </row>
    <row r="1260" spans="1:13" ht="15.75" x14ac:dyDescent="0.25">
      <c r="A1260" s="16" t="s">
        <v>0</v>
      </c>
      <c r="B1260" s="17" t="s">
        <v>10</v>
      </c>
      <c r="C1260" s="25">
        <v>43525</v>
      </c>
      <c r="D1260" s="19" t="s">
        <v>17</v>
      </c>
      <c r="E1260" s="20">
        <v>0.72916666666666674</v>
      </c>
      <c r="F1260" s="20">
        <v>0.89583333333333337</v>
      </c>
      <c r="G1260" s="21">
        <v>8.0000000000000036</v>
      </c>
      <c r="H1260" s="21">
        <v>3.9999999999999982</v>
      </c>
      <c r="I1260" s="21">
        <v>3.9999999999999982</v>
      </c>
      <c r="J1260" s="24" t="s">
        <v>9</v>
      </c>
      <c r="K1260" s="23" t="s">
        <v>412</v>
      </c>
      <c r="L1260" s="59">
        <v>1</v>
      </c>
      <c r="M1260" s="8" t="s">
        <v>400</v>
      </c>
    </row>
    <row r="1261" spans="1:13" ht="15.75" x14ac:dyDescent="0.25">
      <c r="A1261" s="16" t="s">
        <v>0</v>
      </c>
      <c r="B1261" s="17" t="s">
        <v>12</v>
      </c>
      <c r="C1261" s="18">
        <v>43525</v>
      </c>
      <c r="D1261" s="19" t="s">
        <v>17</v>
      </c>
      <c r="E1261" s="20">
        <v>0.72916666666666674</v>
      </c>
      <c r="F1261" s="20">
        <v>0.89583333333333337</v>
      </c>
      <c r="G1261" s="21">
        <v>8.0000000000000036</v>
      </c>
      <c r="H1261" s="21">
        <v>3.9999999999999982</v>
      </c>
      <c r="I1261" s="21">
        <v>3.9999999999999982</v>
      </c>
      <c r="J1261" s="24" t="s">
        <v>9</v>
      </c>
      <c r="K1261" s="23" t="s">
        <v>412</v>
      </c>
      <c r="L1261" s="59">
        <v>1</v>
      </c>
      <c r="M1261" s="8" t="s">
        <v>400</v>
      </c>
    </row>
    <row r="1262" spans="1:13" ht="15.75" x14ac:dyDescent="0.25">
      <c r="A1262" s="16" t="s">
        <v>0</v>
      </c>
      <c r="B1262" s="17" t="s">
        <v>68</v>
      </c>
      <c r="C1262" s="18">
        <v>43525</v>
      </c>
      <c r="D1262" s="19" t="s">
        <v>17</v>
      </c>
      <c r="E1262" s="20">
        <v>0.64583333333333326</v>
      </c>
      <c r="F1262" s="20">
        <v>0.8125</v>
      </c>
      <c r="G1262" s="21">
        <v>8.0000000000000036</v>
      </c>
      <c r="H1262" s="21">
        <v>3.9999999999999982</v>
      </c>
      <c r="I1262" s="21">
        <v>3.9999999999999982</v>
      </c>
      <c r="J1262" s="24" t="s">
        <v>9</v>
      </c>
      <c r="K1262" s="23" t="s">
        <v>412</v>
      </c>
      <c r="L1262" s="59">
        <v>1</v>
      </c>
      <c r="M1262" s="8" t="s">
        <v>400</v>
      </c>
    </row>
    <row r="1263" spans="1:13" ht="15.75" x14ac:dyDescent="0.25">
      <c r="A1263" s="16" t="s">
        <v>0</v>
      </c>
      <c r="B1263" s="17" t="s">
        <v>69</v>
      </c>
      <c r="C1263" s="18">
        <v>43525</v>
      </c>
      <c r="D1263" s="19" t="s">
        <v>17</v>
      </c>
      <c r="E1263" s="20">
        <v>0.72916666666666674</v>
      </c>
      <c r="F1263" s="20">
        <v>0.89583333333333337</v>
      </c>
      <c r="G1263" s="21">
        <v>8.0000000000000036</v>
      </c>
      <c r="H1263" s="21">
        <v>3.9999999999999982</v>
      </c>
      <c r="I1263" s="21">
        <v>3.9999999999999982</v>
      </c>
      <c r="J1263" s="24" t="s">
        <v>9</v>
      </c>
      <c r="K1263" s="23" t="s">
        <v>412</v>
      </c>
      <c r="L1263" s="59">
        <v>1</v>
      </c>
      <c r="M1263" s="8" t="s">
        <v>400</v>
      </c>
    </row>
    <row r="1264" spans="1:13" ht="15.75" x14ac:dyDescent="0.25">
      <c r="A1264" s="16" t="s">
        <v>0</v>
      </c>
      <c r="B1264" s="17" t="s">
        <v>361</v>
      </c>
      <c r="C1264" s="18">
        <v>43525</v>
      </c>
      <c r="D1264" s="19" t="s">
        <v>17</v>
      </c>
      <c r="E1264" s="20">
        <v>0.72916666666666674</v>
      </c>
      <c r="F1264" s="20">
        <v>0.89583333333333337</v>
      </c>
      <c r="G1264" s="21">
        <v>8.0000000000000036</v>
      </c>
      <c r="H1264" s="21">
        <v>3.9999999999999982</v>
      </c>
      <c r="I1264" s="21">
        <v>3.9999999999999982</v>
      </c>
      <c r="J1264" s="24" t="s">
        <v>9</v>
      </c>
      <c r="K1264" s="23" t="s">
        <v>412</v>
      </c>
      <c r="L1264" s="59">
        <v>1</v>
      </c>
      <c r="M1264" s="8" t="s">
        <v>400</v>
      </c>
    </row>
    <row r="1265" spans="1:13" ht="15.75" x14ac:dyDescent="0.25">
      <c r="A1265" s="16" t="s">
        <v>0</v>
      </c>
      <c r="B1265" s="17" t="s">
        <v>367</v>
      </c>
      <c r="C1265" s="18">
        <v>43525</v>
      </c>
      <c r="D1265" s="19" t="s">
        <v>17</v>
      </c>
      <c r="E1265" s="20">
        <v>0.72916666666666674</v>
      </c>
      <c r="F1265" s="20">
        <v>0.89583333333333337</v>
      </c>
      <c r="G1265" s="21">
        <v>8.0000000000000036</v>
      </c>
      <c r="H1265" s="21">
        <v>3.9999999999999982</v>
      </c>
      <c r="I1265" s="21">
        <v>3.9999999999999982</v>
      </c>
      <c r="J1265" s="24" t="s">
        <v>9</v>
      </c>
      <c r="K1265" s="23" t="s">
        <v>412</v>
      </c>
      <c r="L1265" s="59">
        <v>1</v>
      </c>
      <c r="M1265" s="8" t="s">
        <v>400</v>
      </c>
    </row>
    <row r="1266" spans="1:13" ht="15.75" x14ac:dyDescent="0.25">
      <c r="A1266" s="16" t="s">
        <v>0</v>
      </c>
      <c r="B1266" s="17" t="s">
        <v>393</v>
      </c>
      <c r="C1266" s="18">
        <v>43525</v>
      </c>
      <c r="D1266" s="19" t="s">
        <v>17</v>
      </c>
      <c r="E1266" s="20">
        <v>0.72916666666666674</v>
      </c>
      <c r="F1266" s="20">
        <v>0.89583333333333337</v>
      </c>
      <c r="G1266" s="21">
        <v>8.0000000000000036</v>
      </c>
      <c r="H1266" s="21">
        <v>3.9999999999999982</v>
      </c>
      <c r="I1266" s="21">
        <v>3.9999999999999982</v>
      </c>
      <c r="J1266" s="24" t="s">
        <v>9</v>
      </c>
      <c r="K1266" s="23" t="s">
        <v>412</v>
      </c>
      <c r="L1266" s="59">
        <v>1</v>
      </c>
      <c r="M1266" s="8" t="s">
        <v>400</v>
      </c>
    </row>
    <row r="1267" spans="1:13" ht="15.75" x14ac:dyDescent="0.25">
      <c r="A1267" s="16" t="s">
        <v>0</v>
      </c>
      <c r="B1267" s="17" t="s">
        <v>411</v>
      </c>
      <c r="C1267" s="18">
        <v>43525</v>
      </c>
      <c r="D1267" s="19" t="s">
        <v>17</v>
      </c>
      <c r="E1267" s="20">
        <v>0.72916666666666674</v>
      </c>
      <c r="F1267" s="20">
        <v>0.89583333333333337</v>
      </c>
      <c r="G1267" s="21">
        <v>8.0000000000000036</v>
      </c>
      <c r="H1267" s="21">
        <v>3.9999999999999982</v>
      </c>
      <c r="I1267" s="21">
        <v>3.9999999999999982</v>
      </c>
      <c r="J1267" s="24" t="s">
        <v>9</v>
      </c>
      <c r="K1267" s="23" t="s">
        <v>412</v>
      </c>
      <c r="L1267" s="59">
        <v>1</v>
      </c>
      <c r="M1267" s="8" t="s">
        <v>400</v>
      </c>
    </row>
    <row r="1268" spans="1:13" ht="15.75" x14ac:dyDescent="0.25">
      <c r="A1268" s="16" t="s">
        <v>0</v>
      </c>
      <c r="B1268" s="17" t="s">
        <v>10</v>
      </c>
      <c r="C1268" s="25">
        <v>43536</v>
      </c>
      <c r="D1268" s="19" t="s">
        <v>16</v>
      </c>
      <c r="E1268" s="20">
        <v>0.72916666666666674</v>
      </c>
      <c r="F1268" s="20">
        <v>0.89583333333333337</v>
      </c>
      <c r="G1268" s="21">
        <v>8.0000000000000036</v>
      </c>
      <c r="H1268" s="21">
        <v>3.9999999999999982</v>
      </c>
      <c r="I1268" s="21">
        <v>3.9999999999999982</v>
      </c>
      <c r="J1268" s="24" t="s">
        <v>9</v>
      </c>
      <c r="K1268" s="23" t="s">
        <v>413</v>
      </c>
      <c r="L1268" s="59">
        <v>1</v>
      </c>
      <c r="M1268" s="8" t="s">
        <v>400</v>
      </c>
    </row>
    <row r="1269" spans="1:13" ht="15.75" x14ac:dyDescent="0.25">
      <c r="A1269" s="16" t="s">
        <v>0</v>
      </c>
      <c r="B1269" s="17" t="s">
        <v>12</v>
      </c>
      <c r="C1269" s="18">
        <v>43536</v>
      </c>
      <c r="D1269" s="19" t="s">
        <v>16</v>
      </c>
      <c r="E1269" s="20">
        <v>0.72916666666666674</v>
      </c>
      <c r="F1269" s="20">
        <v>0.89583333333333337</v>
      </c>
      <c r="G1269" s="21">
        <v>8.0000000000000036</v>
      </c>
      <c r="H1269" s="21">
        <v>3.9999999999999982</v>
      </c>
      <c r="I1269" s="21">
        <v>3.9999999999999982</v>
      </c>
      <c r="J1269" s="24" t="s">
        <v>9</v>
      </c>
      <c r="K1269" s="23" t="s">
        <v>414</v>
      </c>
      <c r="L1269" s="59">
        <v>1</v>
      </c>
      <c r="M1269" s="8" t="s">
        <v>400</v>
      </c>
    </row>
    <row r="1270" spans="1:13" ht="15.75" x14ac:dyDescent="0.25">
      <c r="A1270" s="16" t="s">
        <v>0</v>
      </c>
      <c r="B1270" s="17" t="s">
        <v>69</v>
      </c>
      <c r="C1270" s="18">
        <v>43536</v>
      </c>
      <c r="D1270" s="19" t="s">
        <v>16</v>
      </c>
      <c r="E1270" s="20">
        <v>0.72916666666666674</v>
      </c>
      <c r="F1270" s="20">
        <v>0.89583333333333337</v>
      </c>
      <c r="G1270" s="21">
        <v>8.0000000000000036</v>
      </c>
      <c r="H1270" s="21">
        <v>3.9999999999999982</v>
      </c>
      <c r="I1270" s="21">
        <v>3.9999999999999982</v>
      </c>
      <c r="J1270" s="24" t="s">
        <v>9</v>
      </c>
      <c r="K1270" s="23" t="s">
        <v>414</v>
      </c>
      <c r="L1270" s="59">
        <v>1</v>
      </c>
      <c r="M1270" s="8" t="s">
        <v>400</v>
      </c>
    </row>
    <row r="1271" spans="1:13" ht="15.75" x14ac:dyDescent="0.25">
      <c r="A1271" s="16" t="s">
        <v>0</v>
      </c>
      <c r="B1271" s="17" t="s">
        <v>10</v>
      </c>
      <c r="C1271" s="25">
        <v>43537</v>
      </c>
      <c r="D1271" s="19" t="s">
        <v>19</v>
      </c>
      <c r="E1271" s="20">
        <v>0.6875</v>
      </c>
      <c r="F1271" s="20">
        <v>0.89583333333333337</v>
      </c>
      <c r="G1271" s="21">
        <v>8.0000000000000036</v>
      </c>
      <c r="H1271" s="21">
        <v>4.9999999999999964</v>
      </c>
      <c r="I1271" s="21">
        <v>4.9999999999999964</v>
      </c>
      <c r="J1271" s="24" t="s">
        <v>9</v>
      </c>
      <c r="K1271" s="23" t="s">
        <v>413</v>
      </c>
      <c r="L1271" s="59">
        <v>1</v>
      </c>
      <c r="M1271" s="8" t="s">
        <v>400</v>
      </c>
    </row>
    <row r="1272" spans="1:13" ht="15.75" x14ac:dyDescent="0.25">
      <c r="A1272" s="16" t="s">
        <v>0</v>
      </c>
      <c r="B1272" s="17" t="s">
        <v>12</v>
      </c>
      <c r="C1272" s="18">
        <v>43537</v>
      </c>
      <c r="D1272" s="19" t="s">
        <v>19</v>
      </c>
      <c r="E1272" s="20">
        <v>0.64583333333333326</v>
      </c>
      <c r="F1272" s="20">
        <v>0.85416666666666663</v>
      </c>
      <c r="G1272" s="21">
        <v>8.0000000000000036</v>
      </c>
      <c r="H1272" s="21">
        <v>4.9999999999999947</v>
      </c>
      <c r="I1272" s="21">
        <v>4.9999999999999947</v>
      </c>
      <c r="J1272" s="24" t="s">
        <v>9</v>
      </c>
      <c r="K1272" s="23" t="s">
        <v>414</v>
      </c>
      <c r="L1272" s="59">
        <v>1</v>
      </c>
      <c r="M1272" s="8" t="s">
        <v>400</v>
      </c>
    </row>
    <row r="1273" spans="1:13" ht="15.75" x14ac:dyDescent="0.25">
      <c r="A1273" s="16" t="s">
        <v>0</v>
      </c>
      <c r="B1273" s="17" t="s">
        <v>69</v>
      </c>
      <c r="C1273" s="18">
        <v>43537</v>
      </c>
      <c r="D1273" s="19" t="s">
        <v>19</v>
      </c>
      <c r="E1273" s="20">
        <v>0.64583333333333326</v>
      </c>
      <c r="F1273" s="20">
        <v>0.89583333333333337</v>
      </c>
      <c r="G1273" s="21">
        <v>8.0000000000000036</v>
      </c>
      <c r="H1273" s="21">
        <v>5.9999999999999964</v>
      </c>
      <c r="I1273" s="21">
        <v>5.9999999999999964</v>
      </c>
      <c r="J1273" s="24" t="s">
        <v>9</v>
      </c>
      <c r="K1273" s="23" t="s">
        <v>414</v>
      </c>
      <c r="L1273" s="59">
        <v>1</v>
      </c>
      <c r="M1273" s="8" t="s">
        <v>400</v>
      </c>
    </row>
    <row r="1274" spans="1:13" ht="15.75" x14ac:dyDescent="0.25">
      <c r="A1274" s="16" t="s">
        <v>0</v>
      </c>
      <c r="B1274" s="17" t="s">
        <v>12</v>
      </c>
      <c r="C1274" s="18">
        <v>43538</v>
      </c>
      <c r="D1274" s="19" t="s">
        <v>18</v>
      </c>
      <c r="E1274" s="20">
        <v>0.6875</v>
      </c>
      <c r="F1274" s="20">
        <v>0.85416666666666663</v>
      </c>
      <c r="G1274" s="21">
        <v>8.0000000000000036</v>
      </c>
      <c r="H1274" s="21">
        <v>3.9999999999999964</v>
      </c>
      <c r="I1274" s="21">
        <v>3.9999999999999964</v>
      </c>
      <c r="J1274" s="24" t="s">
        <v>9</v>
      </c>
      <c r="K1274" s="23" t="s">
        <v>413</v>
      </c>
      <c r="L1274" s="59">
        <v>1</v>
      </c>
      <c r="M1274" s="8" t="s">
        <v>400</v>
      </c>
    </row>
    <row r="1275" spans="1:13" ht="15.75" x14ac:dyDescent="0.25">
      <c r="A1275" s="16" t="s">
        <v>0</v>
      </c>
      <c r="B1275" s="17" t="s">
        <v>69</v>
      </c>
      <c r="C1275" s="18">
        <v>43538</v>
      </c>
      <c r="D1275" s="19" t="s">
        <v>18</v>
      </c>
      <c r="E1275" s="20">
        <v>0.64583333333333326</v>
      </c>
      <c r="F1275" s="20">
        <v>0.89583333333333337</v>
      </c>
      <c r="G1275" s="21">
        <v>8.0000000000000036</v>
      </c>
      <c r="H1275" s="21">
        <v>5.9999999999999964</v>
      </c>
      <c r="I1275" s="21">
        <v>5.9999999999999964</v>
      </c>
      <c r="J1275" s="24" t="s">
        <v>9</v>
      </c>
      <c r="K1275" s="23" t="s">
        <v>414</v>
      </c>
      <c r="L1275" s="59">
        <v>1</v>
      </c>
      <c r="M1275" s="8" t="s">
        <v>400</v>
      </c>
    </row>
    <row r="1276" spans="1:13" ht="15.75" x14ac:dyDescent="0.25">
      <c r="A1276" s="16" t="s">
        <v>0</v>
      </c>
      <c r="B1276" s="17" t="s">
        <v>361</v>
      </c>
      <c r="C1276" s="18">
        <v>43538</v>
      </c>
      <c r="D1276" s="19" t="s">
        <v>18</v>
      </c>
      <c r="E1276" s="20">
        <v>0.6875</v>
      </c>
      <c r="F1276" s="20">
        <v>0.89583333333333337</v>
      </c>
      <c r="G1276" s="21">
        <v>8.0000000000000036</v>
      </c>
      <c r="H1276" s="21">
        <v>4.9999999999999964</v>
      </c>
      <c r="I1276" s="21">
        <v>4.9999999999999964</v>
      </c>
      <c r="J1276" s="24" t="s">
        <v>9</v>
      </c>
      <c r="K1276" s="23" t="s">
        <v>414</v>
      </c>
      <c r="L1276" s="59">
        <v>1</v>
      </c>
      <c r="M1276" s="8" t="s">
        <v>400</v>
      </c>
    </row>
    <row r="1277" spans="1:13" ht="15.75" x14ac:dyDescent="0.25">
      <c r="A1277" s="16" t="s">
        <v>0</v>
      </c>
      <c r="B1277" s="17" t="s">
        <v>12</v>
      </c>
      <c r="C1277" s="18">
        <v>43539</v>
      </c>
      <c r="D1277" s="19" t="s">
        <v>17</v>
      </c>
      <c r="E1277" s="20">
        <v>0.6875</v>
      </c>
      <c r="F1277" s="20">
        <v>0.89583333333333337</v>
      </c>
      <c r="G1277" s="21">
        <v>8.0000000000000036</v>
      </c>
      <c r="H1277" s="21">
        <v>4.9999999999999964</v>
      </c>
      <c r="I1277" s="21">
        <v>4.9999999999999964</v>
      </c>
      <c r="J1277" s="24" t="s">
        <v>9</v>
      </c>
      <c r="K1277" s="23" t="s">
        <v>413</v>
      </c>
      <c r="L1277" s="59">
        <v>1</v>
      </c>
      <c r="M1277" s="8" t="s">
        <v>400</v>
      </c>
    </row>
    <row r="1278" spans="1:13" ht="15.75" x14ac:dyDescent="0.25">
      <c r="A1278" s="16" t="s">
        <v>0</v>
      </c>
      <c r="B1278" s="17" t="s">
        <v>69</v>
      </c>
      <c r="C1278" s="18">
        <v>43539</v>
      </c>
      <c r="D1278" s="19" t="s">
        <v>17</v>
      </c>
      <c r="E1278" s="20">
        <v>0.64583333333333326</v>
      </c>
      <c r="F1278" s="20">
        <v>0.89583333333333337</v>
      </c>
      <c r="G1278" s="21">
        <v>8.0000000000000036</v>
      </c>
      <c r="H1278" s="21">
        <v>5.9999999999999964</v>
      </c>
      <c r="I1278" s="21">
        <v>5.9999999999999964</v>
      </c>
      <c r="J1278" s="24" t="s">
        <v>9</v>
      </c>
      <c r="K1278" s="23" t="s">
        <v>414</v>
      </c>
      <c r="L1278" s="59">
        <v>1</v>
      </c>
      <c r="M1278" s="8" t="s">
        <v>400</v>
      </c>
    </row>
    <row r="1279" spans="1:13" ht="15.75" x14ac:dyDescent="0.25">
      <c r="A1279" s="16" t="s">
        <v>0</v>
      </c>
      <c r="B1279" s="17" t="s">
        <v>361</v>
      </c>
      <c r="C1279" s="18">
        <v>43539</v>
      </c>
      <c r="D1279" s="19" t="s">
        <v>17</v>
      </c>
      <c r="E1279" s="20">
        <v>0.6875</v>
      </c>
      <c r="F1279" s="20">
        <v>0.89583333333333337</v>
      </c>
      <c r="G1279" s="21">
        <v>8.0000000000000036</v>
      </c>
      <c r="H1279" s="21">
        <v>4.9999999999999964</v>
      </c>
      <c r="I1279" s="21">
        <v>4.9999999999999964</v>
      </c>
      <c r="J1279" s="24" t="s">
        <v>9</v>
      </c>
      <c r="K1279" s="23" t="s">
        <v>414</v>
      </c>
      <c r="L1279" s="59">
        <v>1</v>
      </c>
      <c r="M1279" s="8" t="s">
        <v>400</v>
      </c>
    </row>
    <row r="1280" spans="1:13" ht="15.75" x14ac:dyDescent="0.25">
      <c r="A1280" s="16" t="s">
        <v>0</v>
      </c>
      <c r="B1280" s="17" t="s">
        <v>10</v>
      </c>
      <c r="C1280" s="25">
        <v>43540</v>
      </c>
      <c r="D1280" s="19" t="s">
        <v>24</v>
      </c>
      <c r="E1280" s="20">
        <v>0.8125</v>
      </c>
      <c r="F1280" s="20">
        <v>0.89583333333333337</v>
      </c>
      <c r="G1280" s="21">
        <v>8.0000000000000036</v>
      </c>
      <c r="H1280" s="21">
        <v>1.9999999999999964</v>
      </c>
      <c r="I1280" s="21">
        <v>10</v>
      </c>
      <c r="J1280" s="24" t="s">
        <v>46</v>
      </c>
      <c r="K1280" s="23" t="s">
        <v>413</v>
      </c>
      <c r="L1280" s="59">
        <v>1</v>
      </c>
      <c r="M1280" s="8" t="s">
        <v>400</v>
      </c>
    </row>
    <row r="1281" spans="1:13" ht="15.75" x14ac:dyDescent="0.25">
      <c r="A1281" s="16" t="s">
        <v>0</v>
      </c>
      <c r="B1281" s="17" t="s">
        <v>12</v>
      </c>
      <c r="C1281" s="18">
        <v>43540</v>
      </c>
      <c r="D1281" s="19" t="s">
        <v>24</v>
      </c>
      <c r="E1281" s="20">
        <v>0.6875</v>
      </c>
      <c r="F1281" s="20">
        <v>0.89583333333333337</v>
      </c>
      <c r="G1281" s="21">
        <v>8.0000000000000036</v>
      </c>
      <c r="H1281" s="21">
        <v>4.9999999999999964</v>
      </c>
      <c r="I1281" s="21">
        <v>13</v>
      </c>
      <c r="J1281" s="24" t="s">
        <v>46</v>
      </c>
      <c r="K1281" s="23" t="s">
        <v>414</v>
      </c>
      <c r="L1281" s="59">
        <v>1</v>
      </c>
      <c r="M1281" s="8" t="s">
        <v>400</v>
      </c>
    </row>
    <row r="1282" spans="1:13" ht="15.75" x14ac:dyDescent="0.25">
      <c r="A1282" s="16" t="s">
        <v>0</v>
      </c>
      <c r="B1282" s="17" t="s">
        <v>69</v>
      </c>
      <c r="C1282" s="18">
        <v>43540</v>
      </c>
      <c r="D1282" s="19" t="s">
        <v>24</v>
      </c>
      <c r="E1282" s="20">
        <v>0.64583333333333326</v>
      </c>
      <c r="F1282" s="20">
        <v>0.89583333333333337</v>
      </c>
      <c r="G1282" s="21">
        <v>8.0000000000000036</v>
      </c>
      <c r="H1282" s="21">
        <v>5.9999999999999964</v>
      </c>
      <c r="I1282" s="21">
        <v>14</v>
      </c>
      <c r="J1282" s="24" t="s">
        <v>46</v>
      </c>
      <c r="K1282" s="23" t="s">
        <v>414</v>
      </c>
      <c r="L1282" s="59">
        <v>1</v>
      </c>
      <c r="M1282" s="8" t="s">
        <v>400</v>
      </c>
    </row>
    <row r="1283" spans="1:13" ht="15.75" x14ac:dyDescent="0.25">
      <c r="A1283" s="16" t="s">
        <v>0</v>
      </c>
      <c r="B1283" s="17" t="s">
        <v>12</v>
      </c>
      <c r="C1283" s="18">
        <v>43542</v>
      </c>
      <c r="D1283" s="19" t="s">
        <v>21</v>
      </c>
      <c r="E1283" s="20">
        <v>0.64583333333333326</v>
      </c>
      <c r="F1283" s="20">
        <v>0.89583333333333337</v>
      </c>
      <c r="G1283" s="21">
        <v>8.0000000000000036</v>
      </c>
      <c r="H1283" s="21">
        <v>5.9999999999999964</v>
      </c>
      <c r="I1283" s="21">
        <v>5.9999999999999964</v>
      </c>
      <c r="J1283" s="24" t="s">
        <v>9</v>
      </c>
      <c r="K1283" s="23" t="s">
        <v>413</v>
      </c>
      <c r="L1283" s="59">
        <v>1</v>
      </c>
      <c r="M1283" s="8" t="s">
        <v>400</v>
      </c>
    </row>
    <row r="1284" spans="1:13" ht="15.75" x14ac:dyDescent="0.25">
      <c r="A1284" s="16" t="s">
        <v>0</v>
      </c>
      <c r="B1284" s="17" t="s">
        <v>69</v>
      </c>
      <c r="C1284" s="18">
        <v>43542</v>
      </c>
      <c r="D1284" s="19" t="s">
        <v>21</v>
      </c>
      <c r="E1284" s="20">
        <v>0.64583333333333326</v>
      </c>
      <c r="F1284" s="20">
        <v>0.89583333333333337</v>
      </c>
      <c r="G1284" s="21">
        <v>8.0000000000000036</v>
      </c>
      <c r="H1284" s="21">
        <v>5.9999999999999964</v>
      </c>
      <c r="I1284" s="21">
        <v>5.9999999999999964</v>
      </c>
      <c r="J1284" s="24" t="s">
        <v>9</v>
      </c>
      <c r="K1284" s="23" t="s">
        <v>414</v>
      </c>
      <c r="L1284" s="59">
        <v>1</v>
      </c>
      <c r="M1284" s="8" t="s">
        <v>400</v>
      </c>
    </row>
    <row r="1285" spans="1:13" ht="15.75" x14ac:dyDescent="0.25">
      <c r="A1285" s="16" t="s">
        <v>0</v>
      </c>
      <c r="B1285" s="17" t="s">
        <v>361</v>
      </c>
      <c r="C1285" s="18">
        <v>43542</v>
      </c>
      <c r="D1285" s="19" t="s">
        <v>21</v>
      </c>
      <c r="E1285" s="20">
        <v>0.64583333333333326</v>
      </c>
      <c r="F1285" s="20">
        <v>0.89583333333333337</v>
      </c>
      <c r="G1285" s="21">
        <v>8.0000000000000036</v>
      </c>
      <c r="H1285" s="21">
        <v>5.9999999999999964</v>
      </c>
      <c r="I1285" s="21">
        <v>5.9999999999999964</v>
      </c>
      <c r="J1285" s="24" t="s">
        <v>9</v>
      </c>
      <c r="K1285" s="23" t="s">
        <v>414</v>
      </c>
      <c r="L1285" s="59">
        <v>1</v>
      </c>
      <c r="M1285" s="8" t="s">
        <v>400</v>
      </c>
    </row>
    <row r="1286" spans="1:13" ht="15.75" x14ac:dyDescent="0.25">
      <c r="A1286" s="16" t="s">
        <v>0</v>
      </c>
      <c r="B1286" s="17" t="s">
        <v>12</v>
      </c>
      <c r="C1286" s="18">
        <v>43543</v>
      </c>
      <c r="D1286" s="19" t="s">
        <v>16</v>
      </c>
      <c r="E1286" s="20">
        <v>0.66666666666666674</v>
      </c>
      <c r="F1286" s="20">
        <v>0.89583333333333337</v>
      </c>
      <c r="G1286" s="21">
        <v>8.0000000000000036</v>
      </c>
      <c r="H1286" s="21">
        <v>5.4999999999999982</v>
      </c>
      <c r="I1286" s="21">
        <v>5.4999999999999982</v>
      </c>
      <c r="J1286" s="24" t="s">
        <v>9</v>
      </c>
      <c r="K1286" s="23" t="s">
        <v>413</v>
      </c>
      <c r="L1286" s="59">
        <v>1</v>
      </c>
      <c r="M1286" s="8" t="s">
        <v>400</v>
      </c>
    </row>
    <row r="1287" spans="1:13" ht="15.75" x14ac:dyDescent="0.25">
      <c r="A1287" s="16" t="s">
        <v>0</v>
      </c>
      <c r="B1287" s="17" t="s">
        <v>361</v>
      </c>
      <c r="C1287" s="18">
        <v>43543</v>
      </c>
      <c r="D1287" s="19" t="s">
        <v>16</v>
      </c>
      <c r="E1287" s="20">
        <v>0.64583333333333326</v>
      </c>
      <c r="F1287" s="20">
        <v>0.89583333333333337</v>
      </c>
      <c r="G1287" s="21">
        <v>8.0000000000000036</v>
      </c>
      <c r="H1287" s="21">
        <v>5.9999999999999964</v>
      </c>
      <c r="I1287" s="21">
        <v>5.9999999999999964</v>
      </c>
      <c r="J1287" s="24" t="s">
        <v>9</v>
      </c>
      <c r="K1287" s="23" t="s">
        <v>414</v>
      </c>
      <c r="L1287" s="59">
        <v>1</v>
      </c>
      <c r="M1287" s="8" t="s">
        <v>400</v>
      </c>
    </row>
    <row r="1288" spans="1:13" ht="15.75" x14ac:dyDescent="0.25">
      <c r="A1288" s="16" t="s">
        <v>0</v>
      </c>
      <c r="B1288" s="17" t="s">
        <v>12</v>
      </c>
      <c r="C1288" s="18">
        <v>43544</v>
      </c>
      <c r="D1288" s="19" t="s">
        <v>19</v>
      </c>
      <c r="E1288" s="20">
        <v>0.64583333333333326</v>
      </c>
      <c r="F1288" s="20">
        <v>0.89583333333333337</v>
      </c>
      <c r="G1288" s="21">
        <v>8.0000000000000036</v>
      </c>
      <c r="H1288" s="21">
        <v>5.9999999999999964</v>
      </c>
      <c r="I1288" s="21">
        <v>5.9999999999999964</v>
      </c>
      <c r="J1288" s="24" t="s">
        <v>9</v>
      </c>
      <c r="K1288" s="23" t="s">
        <v>413</v>
      </c>
      <c r="L1288" s="59">
        <v>1</v>
      </c>
      <c r="M1288" s="8" t="s">
        <v>400</v>
      </c>
    </row>
    <row r="1289" spans="1:13" ht="15.75" x14ac:dyDescent="0.25">
      <c r="A1289" s="16" t="s">
        <v>0</v>
      </c>
      <c r="B1289" s="17" t="s">
        <v>69</v>
      </c>
      <c r="C1289" s="18">
        <v>43544</v>
      </c>
      <c r="D1289" s="19" t="s">
        <v>19</v>
      </c>
      <c r="E1289" s="20">
        <v>0.64583333333333326</v>
      </c>
      <c r="F1289" s="20">
        <v>0.89583333333333337</v>
      </c>
      <c r="G1289" s="21">
        <v>8.0000000000000036</v>
      </c>
      <c r="H1289" s="21">
        <v>5.9999999999999964</v>
      </c>
      <c r="I1289" s="21">
        <v>5.9999999999999964</v>
      </c>
      <c r="J1289" s="24" t="s">
        <v>9</v>
      </c>
      <c r="K1289" s="23" t="s">
        <v>414</v>
      </c>
      <c r="L1289" s="59">
        <v>1</v>
      </c>
      <c r="M1289" s="8" t="s">
        <v>400</v>
      </c>
    </row>
    <row r="1290" spans="1:13" ht="15.75" x14ac:dyDescent="0.25">
      <c r="A1290" s="16" t="s">
        <v>0</v>
      </c>
      <c r="B1290" s="17" t="s">
        <v>361</v>
      </c>
      <c r="C1290" s="18">
        <v>43544</v>
      </c>
      <c r="D1290" s="19" t="s">
        <v>19</v>
      </c>
      <c r="E1290" s="20">
        <v>0.72916666666666674</v>
      </c>
      <c r="F1290" s="20">
        <v>0.89583333333333337</v>
      </c>
      <c r="G1290" s="21">
        <v>8.0000000000000036</v>
      </c>
      <c r="H1290" s="21">
        <v>3.9999999999999982</v>
      </c>
      <c r="I1290" s="21">
        <v>3.9999999999999982</v>
      </c>
      <c r="J1290" s="24" t="s">
        <v>9</v>
      </c>
      <c r="K1290" s="23" t="s">
        <v>414</v>
      </c>
      <c r="L1290" s="59">
        <v>1</v>
      </c>
      <c r="M1290" s="8" t="s">
        <v>400</v>
      </c>
    </row>
    <row r="1291" spans="1:13" ht="15.75" x14ac:dyDescent="0.25">
      <c r="A1291" s="16" t="s">
        <v>0</v>
      </c>
      <c r="B1291" s="17" t="s">
        <v>69</v>
      </c>
      <c r="C1291" s="18">
        <v>43545</v>
      </c>
      <c r="D1291" s="19" t="s">
        <v>18</v>
      </c>
      <c r="E1291" s="20">
        <v>0.64583333333333326</v>
      </c>
      <c r="F1291" s="20">
        <v>0.89583333333333337</v>
      </c>
      <c r="G1291" s="21">
        <v>8.0000000000000036</v>
      </c>
      <c r="H1291" s="21">
        <v>5.9999999999999964</v>
      </c>
      <c r="I1291" s="21">
        <v>5.9999999999999964</v>
      </c>
      <c r="J1291" s="24" t="s">
        <v>9</v>
      </c>
      <c r="K1291" s="23" t="s">
        <v>414</v>
      </c>
      <c r="L1291" s="59">
        <v>1</v>
      </c>
      <c r="M1291" s="8" t="s">
        <v>400</v>
      </c>
    </row>
    <row r="1292" spans="1:13" ht="15.75" x14ac:dyDescent="0.25">
      <c r="A1292" s="16" t="s">
        <v>0</v>
      </c>
      <c r="B1292" s="17" t="s">
        <v>361</v>
      </c>
      <c r="C1292" s="18">
        <v>43545</v>
      </c>
      <c r="D1292" s="19" t="s">
        <v>18</v>
      </c>
      <c r="E1292" s="20">
        <v>0.6875</v>
      </c>
      <c r="F1292" s="20">
        <v>0.89583333333333337</v>
      </c>
      <c r="G1292" s="21">
        <v>8.0000000000000036</v>
      </c>
      <c r="H1292" s="21">
        <v>4.9999999999999964</v>
      </c>
      <c r="I1292" s="21">
        <v>4.9999999999999964</v>
      </c>
      <c r="J1292" s="24" t="s">
        <v>9</v>
      </c>
      <c r="K1292" s="23" t="s">
        <v>414</v>
      </c>
      <c r="L1292" s="59">
        <v>1</v>
      </c>
      <c r="M1292" s="8" t="s">
        <v>400</v>
      </c>
    </row>
    <row r="1293" spans="1:13" ht="15.75" x14ac:dyDescent="0.25">
      <c r="A1293" s="16" t="s">
        <v>0</v>
      </c>
      <c r="B1293" s="17" t="s">
        <v>12</v>
      </c>
      <c r="C1293" s="18">
        <v>43546</v>
      </c>
      <c r="D1293" s="19" t="s">
        <v>17</v>
      </c>
      <c r="E1293" s="20">
        <v>0.64583333333333326</v>
      </c>
      <c r="F1293" s="20">
        <v>0.72916666666666663</v>
      </c>
      <c r="G1293" s="21">
        <v>8.0000000000000036</v>
      </c>
      <c r="H1293" s="21">
        <v>1.9999999999999964</v>
      </c>
      <c r="I1293" s="21">
        <v>1.9999999999999964</v>
      </c>
      <c r="J1293" s="24" t="s">
        <v>9</v>
      </c>
      <c r="K1293" s="23" t="s">
        <v>413</v>
      </c>
      <c r="L1293" s="59">
        <v>1</v>
      </c>
      <c r="M1293" s="8" t="s">
        <v>400</v>
      </c>
    </row>
    <row r="1294" spans="1:13" ht="15.75" x14ac:dyDescent="0.25">
      <c r="A1294" s="16" t="s">
        <v>0</v>
      </c>
      <c r="B1294" s="17" t="s">
        <v>69</v>
      </c>
      <c r="C1294" s="18">
        <v>43546</v>
      </c>
      <c r="D1294" s="19" t="s">
        <v>17</v>
      </c>
      <c r="E1294" s="20">
        <v>0.64583333333333326</v>
      </c>
      <c r="F1294" s="20">
        <v>0.72916666666666663</v>
      </c>
      <c r="G1294" s="21">
        <v>8.0000000000000036</v>
      </c>
      <c r="H1294" s="21">
        <v>1.9999999999999964</v>
      </c>
      <c r="I1294" s="21">
        <v>1.9999999999999964</v>
      </c>
      <c r="J1294" s="24" t="s">
        <v>9</v>
      </c>
      <c r="K1294" s="23" t="s">
        <v>414</v>
      </c>
      <c r="L1294" s="59">
        <v>1</v>
      </c>
      <c r="M1294" s="8" t="s">
        <v>400</v>
      </c>
    </row>
    <row r="1295" spans="1:13" ht="15.75" x14ac:dyDescent="0.25">
      <c r="A1295" s="16" t="s">
        <v>0</v>
      </c>
      <c r="B1295" s="17" t="s">
        <v>68</v>
      </c>
      <c r="C1295" s="18">
        <v>43554</v>
      </c>
      <c r="D1295" s="19" t="s">
        <v>24</v>
      </c>
      <c r="E1295" s="20">
        <v>0.72916666666666674</v>
      </c>
      <c r="F1295" s="20">
        <v>0.89583333333333337</v>
      </c>
      <c r="G1295" s="21">
        <v>8.0000000000000036</v>
      </c>
      <c r="H1295" s="21">
        <v>3.9999999999999982</v>
      </c>
      <c r="I1295" s="21">
        <v>12.000000000000002</v>
      </c>
      <c r="J1295" s="24" t="s">
        <v>46</v>
      </c>
      <c r="K1295" s="23" t="s">
        <v>415</v>
      </c>
      <c r="L1295" s="59">
        <v>1</v>
      </c>
      <c r="M1295" s="8" t="s">
        <v>400</v>
      </c>
    </row>
    <row r="1296" spans="1:13" ht="15.75" x14ac:dyDescent="0.25">
      <c r="A1296" s="16" t="s">
        <v>0</v>
      </c>
      <c r="B1296" s="17" t="s">
        <v>69</v>
      </c>
      <c r="C1296" s="18">
        <v>43554</v>
      </c>
      <c r="D1296" s="19" t="s">
        <v>24</v>
      </c>
      <c r="E1296" s="20">
        <v>0.72916666666666674</v>
      </c>
      <c r="F1296" s="20">
        <v>0.89583333333333337</v>
      </c>
      <c r="G1296" s="21">
        <v>8.0000000000000036</v>
      </c>
      <c r="H1296" s="21">
        <v>3.9999999999999982</v>
      </c>
      <c r="I1296" s="21">
        <v>12.000000000000002</v>
      </c>
      <c r="J1296" s="24" t="s">
        <v>46</v>
      </c>
      <c r="K1296" s="23" t="s">
        <v>415</v>
      </c>
      <c r="L1296" s="59">
        <v>1</v>
      </c>
      <c r="M1296" s="8" t="s">
        <v>400</v>
      </c>
    </row>
    <row r="1297" spans="1:13" ht="15.75" x14ac:dyDescent="0.25">
      <c r="A1297" s="16" t="s">
        <v>0</v>
      </c>
      <c r="B1297" s="17" t="s">
        <v>367</v>
      </c>
      <c r="C1297" s="18">
        <v>43554</v>
      </c>
      <c r="D1297" s="19" t="s">
        <v>24</v>
      </c>
      <c r="E1297" s="20">
        <v>0.72916666666666674</v>
      </c>
      <c r="F1297" s="20">
        <v>0.89583333333333337</v>
      </c>
      <c r="G1297" s="21">
        <v>8.0000000000000036</v>
      </c>
      <c r="H1297" s="21">
        <v>3.9999999999999982</v>
      </c>
      <c r="I1297" s="21">
        <v>12.000000000000002</v>
      </c>
      <c r="J1297" s="24" t="s">
        <v>46</v>
      </c>
      <c r="K1297" s="23" t="s">
        <v>415</v>
      </c>
      <c r="L1297" s="59">
        <v>1</v>
      </c>
      <c r="M1297" s="8" t="s">
        <v>400</v>
      </c>
    </row>
    <row r="1298" spans="1:13" ht="15.75" x14ac:dyDescent="0.25">
      <c r="A1298" s="16" t="s">
        <v>0</v>
      </c>
      <c r="B1298" s="17" t="s">
        <v>393</v>
      </c>
      <c r="C1298" s="18">
        <v>43554</v>
      </c>
      <c r="D1298" s="19" t="s">
        <v>24</v>
      </c>
      <c r="E1298" s="20">
        <v>0.72916666666666674</v>
      </c>
      <c r="F1298" s="20">
        <v>0.89583333333333337</v>
      </c>
      <c r="G1298" s="21">
        <v>8.0000000000000036</v>
      </c>
      <c r="H1298" s="21">
        <v>3.9999999999999982</v>
      </c>
      <c r="I1298" s="21">
        <v>12.000000000000002</v>
      </c>
      <c r="J1298" s="24" t="s">
        <v>46</v>
      </c>
      <c r="K1298" s="23" t="s">
        <v>415</v>
      </c>
      <c r="L1298" s="59">
        <v>1</v>
      </c>
      <c r="M1298" s="8" t="s">
        <v>400</v>
      </c>
    </row>
    <row r="1299" spans="1:13" ht="15.75" x14ac:dyDescent="0.25">
      <c r="A1299" s="16" t="s">
        <v>0</v>
      </c>
      <c r="B1299" s="17" t="s">
        <v>416</v>
      </c>
      <c r="C1299" s="18">
        <v>43554</v>
      </c>
      <c r="D1299" s="19" t="s">
        <v>24</v>
      </c>
      <c r="E1299" s="20">
        <v>0.72916666666666674</v>
      </c>
      <c r="F1299" s="20">
        <v>0.89583333333333337</v>
      </c>
      <c r="G1299" s="21">
        <v>8.0000000000000036</v>
      </c>
      <c r="H1299" s="21">
        <v>3.9999999999999982</v>
      </c>
      <c r="I1299" s="21">
        <v>12.000000000000002</v>
      </c>
      <c r="J1299" s="24" t="s">
        <v>46</v>
      </c>
      <c r="K1299" s="23" t="s">
        <v>415</v>
      </c>
      <c r="L1299" s="59">
        <v>1</v>
      </c>
      <c r="M1299" s="8" t="s">
        <v>400</v>
      </c>
    </row>
    <row r="1300" spans="1:13" ht="15.75" x14ac:dyDescent="0.25">
      <c r="A1300" s="16" t="s">
        <v>0</v>
      </c>
      <c r="B1300" s="17" t="s">
        <v>417</v>
      </c>
      <c r="C1300" s="18">
        <v>43554</v>
      </c>
      <c r="D1300" s="19" t="s">
        <v>24</v>
      </c>
      <c r="E1300" s="20">
        <v>0.72916666666666674</v>
      </c>
      <c r="F1300" s="20">
        <v>0.875</v>
      </c>
      <c r="G1300" s="21">
        <v>8.0000000000000036</v>
      </c>
      <c r="H1300" s="21">
        <v>3.4999999999999947</v>
      </c>
      <c r="I1300" s="21">
        <v>11.499999999999998</v>
      </c>
      <c r="J1300" s="24" t="s">
        <v>46</v>
      </c>
      <c r="K1300" s="23" t="s">
        <v>415</v>
      </c>
      <c r="L1300" s="59">
        <v>1</v>
      </c>
      <c r="M1300" s="8" t="s">
        <v>400</v>
      </c>
    </row>
    <row r="1301" spans="1:13" ht="15.75" x14ac:dyDescent="0.25">
      <c r="A1301" s="16" t="s">
        <v>0</v>
      </c>
      <c r="B1301" s="17" t="s">
        <v>12</v>
      </c>
      <c r="C1301" s="18">
        <v>43556</v>
      </c>
      <c r="D1301" s="19" t="s">
        <v>21</v>
      </c>
      <c r="E1301" s="20">
        <v>0.72916666666666674</v>
      </c>
      <c r="F1301" s="20">
        <v>0.89583333333333337</v>
      </c>
      <c r="G1301" s="21">
        <v>8.0000000000000036</v>
      </c>
      <c r="H1301" s="21">
        <v>3.9999999999999982</v>
      </c>
      <c r="I1301" s="21">
        <v>3.9999999999999982</v>
      </c>
      <c r="J1301" s="24" t="s">
        <v>9</v>
      </c>
      <c r="K1301" s="23" t="s">
        <v>418</v>
      </c>
      <c r="L1301" s="59">
        <v>1</v>
      </c>
      <c r="M1301" s="8" t="s">
        <v>401</v>
      </c>
    </row>
    <row r="1302" spans="1:13" ht="15.75" x14ac:dyDescent="0.25">
      <c r="A1302" s="16" t="s">
        <v>0</v>
      </c>
      <c r="B1302" s="17" t="s">
        <v>68</v>
      </c>
      <c r="C1302" s="18">
        <v>43556</v>
      </c>
      <c r="D1302" s="19" t="s">
        <v>21</v>
      </c>
      <c r="E1302" s="20">
        <v>0.64583333333333326</v>
      </c>
      <c r="F1302" s="20">
        <v>0.89583333333333337</v>
      </c>
      <c r="G1302" s="21">
        <v>8.0000000000000036</v>
      </c>
      <c r="H1302" s="21">
        <v>5.9999999999999964</v>
      </c>
      <c r="I1302" s="21">
        <v>5.9999999999999964</v>
      </c>
      <c r="J1302" s="24" t="s">
        <v>9</v>
      </c>
      <c r="K1302" s="23" t="s">
        <v>418</v>
      </c>
      <c r="L1302" s="59">
        <v>1</v>
      </c>
      <c r="M1302" s="8" t="s">
        <v>401</v>
      </c>
    </row>
    <row r="1303" spans="1:13" ht="15.75" x14ac:dyDescent="0.25">
      <c r="A1303" s="16" t="s">
        <v>0</v>
      </c>
      <c r="B1303" s="17" t="s">
        <v>69</v>
      </c>
      <c r="C1303" s="18">
        <v>43556</v>
      </c>
      <c r="D1303" s="19" t="s">
        <v>21</v>
      </c>
      <c r="E1303" s="20">
        <v>0.72916666666666674</v>
      </c>
      <c r="F1303" s="20">
        <v>0.89583333333333337</v>
      </c>
      <c r="G1303" s="21">
        <v>8.0000000000000036</v>
      </c>
      <c r="H1303" s="21">
        <v>3.9999999999999982</v>
      </c>
      <c r="I1303" s="21">
        <v>3.9999999999999982</v>
      </c>
      <c r="J1303" s="24" t="s">
        <v>9</v>
      </c>
      <c r="K1303" s="23" t="s">
        <v>418</v>
      </c>
      <c r="L1303" s="59">
        <v>1</v>
      </c>
      <c r="M1303" s="8" t="s">
        <v>401</v>
      </c>
    </row>
    <row r="1304" spans="1:13" ht="15.75" x14ac:dyDescent="0.25">
      <c r="A1304" s="16" t="s">
        <v>0</v>
      </c>
      <c r="B1304" s="17" t="s">
        <v>361</v>
      </c>
      <c r="C1304" s="18">
        <v>43556</v>
      </c>
      <c r="D1304" s="19" t="s">
        <v>21</v>
      </c>
      <c r="E1304" s="20">
        <v>0.72916666666666674</v>
      </c>
      <c r="F1304" s="20">
        <v>0.89583333333333337</v>
      </c>
      <c r="G1304" s="21">
        <v>8.0000000000000036</v>
      </c>
      <c r="H1304" s="21">
        <v>3.9999999999999982</v>
      </c>
      <c r="I1304" s="21">
        <v>3.9999999999999982</v>
      </c>
      <c r="J1304" s="24" t="s">
        <v>9</v>
      </c>
      <c r="K1304" s="23" t="s">
        <v>418</v>
      </c>
      <c r="L1304" s="59">
        <v>1</v>
      </c>
      <c r="M1304" s="8" t="s">
        <v>401</v>
      </c>
    </row>
    <row r="1305" spans="1:13" ht="15.75" x14ac:dyDescent="0.25">
      <c r="A1305" s="16" t="s">
        <v>0</v>
      </c>
      <c r="B1305" s="17" t="s">
        <v>367</v>
      </c>
      <c r="C1305" s="18">
        <v>43556</v>
      </c>
      <c r="D1305" s="19" t="s">
        <v>21</v>
      </c>
      <c r="E1305" s="20">
        <v>0.72916666666666674</v>
      </c>
      <c r="F1305" s="20">
        <v>0.89583333333333337</v>
      </c>
      <c r="G1305" s="21">
        <v>8.0000000000000036</v>
      </c>
      <c r="H1305" s="21">
        <v>3.9999999999999982</v>
      </c>
      <c r="I1305" s="21">
        <v>3.9999999999999982</v>
      </c>
      <c r="J1305" s="24" t="s">
        <v>9</v>
      </c>
      <c r="K1305" s="23" t="s">
        <v>418</v>
      </c>
      <c r="L1305" s="59">
        <v>1</v>
      </c>
      <c r="M1305" s="8" t="s">
        <v>401</v>
      </c>
    </row>
    <row r="1306" spans="1:13" ht="15.75" x14ac:dyDescent="0.25">
      <c r="A1306" s="16" t="s">
        <v>0</v>
      </c>
      <c r="B1306" s="17" t="s">
        <v>393</v>
      </c>
      <c r="C1306" s="18">
        <v>43556</v>
      </c>
      <c r="D1306" s="19" t="s">
        <v>21</v>
      </c>
      <c r="E1306" s="20">
        <v>0.72916666666666674</v>
      </c>
      <c r="F1306" s="20">
        <v>0.89583333333333337</v>
      </c>
      <c r="G1306" s="21">
        <v>8.0000000000000036</v>
      </c>
      <c r="H1306" s="21">
        <v>3.9999999999999982</v>
      </c>
      <c r="I1306" s="21">
        <v>3.9999999999999982</v>
      </c>
      <c r="J1306" s="24" t="s">
        <v>9</v>
      </c>
      <c r="K1306" s="23" t="s">
        <v>418</v>
      </c>
      <c r="L1306" s="59">
        <v>1</v>
      </c>
      <c r="M1306" s="8" t="s">
        <v>401</v>
      </c>
    </row>
    <row r="1307" spans="1:13" ht="15.75" x14ac:dyDescent="0.25">
      <c r="A1307" s="16" t="s">
        <v>0</v>
      </c>
      <c r="B1307" s="17" t="s">
        <v>416</v>
      </c>
      <c r="C1307" s="18">
        <v>43556</v>
      </c>
      <c r="D1307" s="19" t="s">
        <v>21</v>
      </c>
      <c r="E1307" s="20">
        <v>0.72916666666666674</v>
      </c>
      <c r="F1307" s="20">
        <v>0.89583333333333337</v>
      </c>
      <c r="G1307" s="21">
        <v>8.0000000000000036</v>
      </c>
      <c r="H1307" s="21">
        <v>3.9999999999999982</v>
      </c>
      <c r="I1307" s="21">
        <v>3.9999999999999982</v>
      </c>
      <c r="J1307" s="24" t="s">
        <v>9</v>
      </c>
      <c r="K1307" s="23" t="s">
        <v>418</v>
      </c>
      <c r="L1307" s="59">
        <v>1</v>
      </c>
      <c r="M1307" s="8" t="s">
        <v>401</v>
      </c>
    </row>
    <row r="1308" spans="1:13" ht="15.75" x14ac:dyDescent="0.25">
      <c r="A1308" s="16" t="s">
        <v>0</v>
      </c>
      <c r="B1308" s="17" t="s">
        <v>417</v>
      </c>
      <c r="C1308" s="18">
        <v>43556</v>
      </c>
      <c r="D1308" s="19" t="s">
        <v>21</v>
      </c>
      <c r="E1308" s="20">
        <v>0.72916666666666674</v>
      </c>
      <c r="F1308" s="20">
        <v>0.89583333333333337</v>
      </c>
      <c r="G1308" s="21">
        <v>8.0000000000000036</v>
      </c>
      <c r="H1308" s="21">
        <v>3.9999999999999982</v>
      </c>
      <c r="I1308" s="21">
        <v>3.9999999999999982</v>
      </c>
      <c r="J1308" s="24" t="s">
        <v>9</v>
      </c>
      <c r="K1308" s="23" t="s">
        <v>418</v>
      </c>
      <c r="L1308" s="59">
        <v>1</v>
      </c>
      <c r="M1308" s="8" t="s">
        <v>401</v>
      </c>
    </row>
    <row r="1309" spans="1:13" ht="15.75" x14ac:dyDescent="0.25">
      <c r="A1309" s="16" t="s">
        <v>0</v>
      </c>
      <c r="B1309" s="17" t="s">
        <v>12</v>
      </c>
      <c r="C1309" s="18">
        <v>43557</v>
      </c>
      <c r="D1309" s="19" t="s">
        <v>16</v>
      </c>
      <c r="E1309" s="20">
        <v>0.72916666666666674</v>
      </c>
      <c r="F1309" s="20">
        <v>0.89583333333333337</v>
      </c>
      <c r="G1309" s="21">
        <v>8.0000000000000036</v>
      </c>
      <c r="H1309" s="21">
        <v>3.9999999999999982</v>
      </c>
      <c r="I1309" s="21">
        <v>3.9999999999999982</v>
      </c>
      <c r="J1309" s="24" t="s">
        <v>9</v>
      </c>
      <c r="K1309" s="23" t="s">
        <v>419</v>
      </c>
      <c r="L1309" s="59">
        <v>1</v>
      </c>
      <c r="M1309" s="8" t="s">
        <v>401</v>
      </c>
    </row>
    <row r="1310" spans="1:13" ht="15.75" x14ac:dyDescent="0.25">
      <c r="A1310" s="16" t="s">
        <v>0</v>
      </c>
      <c r="B1310" s="17" t="s">
        <v>68</v>
      </c>
      <c r="C1310" s="18">
        <v>43557</v>
      </c>
      <c r="D1310" s="19" t="s">
        <v>16</v>
      </c>
      <c r="E1310" s="20">
        <v>0.72916666666666674</v>
      </c>
      <c r="F1310" s="20">
        <v>0.89583333333333337</v>
      </c>
      <c r="G1310" s="21">
        <v>8.0000000000000036</v>
      </c>
      <c r="H1310" s="21">
        <v>3.9999999999999982</v>
      </c>
      <c r="I1310" s="21">
        <v>3.9999999999999982</v>
      </c>
      <c r="J1310" s="24" t="s">
        <v>9</v>
      </c>
      <c r="K1310" s="23" t="s">
        <v>419</v>
      </c>
      <c r="L1310" s="59">
        <v>1</v>
      </c>
      <c r="M1310" s="8" t="s">
        <v>401</v>
      </c>
    </row>
    <row r="1311" spans="1:13" ht="15.75" x14ac:dyDescent="0.25">
      <c r="A1311" s="16" t="s">
        <v>0</v>
      </c>
      <c r="B1311" s="17" t="s">
        <v>69</v>
      </c>
      <c r="C1311" s="18">
        <v>43557</v>
      </c>
      <c r="D1311" s="19" t="s">
        <v>16</v>
      </c>
      <c r="E1311" s="20">
        <v>0.72916666666666674</v>
      </c>
      <c r="F1311" s="20">
        <v>0.89583333333333337</v>
      </c>
      <c r="G1311" s="21">
        <v>8.0000000000000036</v>
      </c>
      <c r="H1311" s="21">
        <v>3.9999999999999982</v>
      </c>
      <c r="I1311" s="21">
        <v>3.9999999999999982</v>
      </c>
      <c r="J1311" s="24" t="s">
        <v>9</v>
      </c>
      <c r="K1311" s="23" t="s">
        <v>419</v>
      </c>
      <c r="L1311" s="59">
        <v>1</v>
      </c>
      <c r="M1311" s="8" t="s">
        <v>401</v>
      </c>
    </row>
    <row r="1312" spans="1:13" ht="15.75" x14ac:dyDescent="0.25">
      <c r="A1312" s="16" t="s">
        <v>0</v>
      </c>
      <c r="B1312" s="17" t="s">
        <v>361</v>
      </c>
      <c r="C1312" s="18">
        <v>43557</v>
      </c>
      <c r="D1312" s="19" t="s">
        <v>16</v>
      </c>
      <c r="E1312" s="20">
        <v>0.72916666666666674</v>
      </c>
      <c r="F1312" s="20">
        <v>0.89583333333333337</v>
      </c>
      <c r="G1312" s="21">
        <v>8.0000000000000036</v>
      </c>
      <c r="H1312" s="21">
        <v>3.9999999999999982</v>
      </c>
      <c r="I1312" s="21">
        <v>3.9999999999999982</v>
      </c>
      <c r="J1312" s="24" t="s">
        <v>9</v>
      </c>
      <c r="K1312" s="23" t="s">
        <v>419</v>
      </c>
      <c r="L1312" s="59">
        <v>1</v>
      </c>
      <c r="M1312" s="8" t="s">
        <v>401</v>
      </c>
    </row>
    <row r="1313" spans="1:13" ht="15.75" x14ac:dyDescent="0.25">
      <c r="A1313" s="16" t="s">
        <v>0</v>
      </c>
      <c r="B1313" s="17" t="s">
        <v>367</v>
      </c>
      <c r="C1313" s="18">
        <v>43557</v>
      </c>
      <c r="D1313" s="19" t="s">
        <v>16</v>
      </c>
      <c r="E1313" s="20">
        <v>0.72916666666666674</v>
      </c>
      <c r="F1313" s="20">
        <v>0.89583333333333337</v>
      </c>
      <c r="G1313" s="21">
        <v>8.0000000000000036</v>
      </c>
      <c r="H1313" s="21">
        <v>3.9999999999999982</v>
      </c>
      <c r="I1313" s="21">
        <v>3.9999999999999982</v>
      </c>
      <c r="J1313" s="24" t="s">
        <v>9</v>
      </c>
      <c r="K1313" s="23" t="s">
        <v>419</v>
      </c>
      <c r="L1313" s="59">
        <v>1</v>
      </c>
      <c r="M1313" s="8" t="s">
        <v>401</v>
      </c>
    </row>
    <row r="1314" spans="1:13" ht="15.75" x14ac:dyDescent="0.25">
      <c r="A1314" s="16" t="s">
        <v>0</v>
      </c>
      <c r="B1314" s="17" t="s">
        <v>393</v>
      </c>
      <c r="C1314" s="18">
        <v>43557</v>
      </c>
      <c r="D1314" s="19" t="s">
        <v>16</v>
      </c>
      <c r="E1314" s="20">
        <v>0.64583333333333326</v>
      </c>
      <c r="F1314" s="20">
        <v>0.89583333333333337</v>
      </c>
      <c r="G1314" s="21">
        <v>8.0000000000000036</v>
      </c>
      <c r="H1314" s="21">
        <v>5.9999999999999964</v>
      </c>
      <c r="I1314" s="21">
        <v>5.9999999999999964</v>
      </c>
      <c r="J1314" s="24" t="s">
        <v>9</v>
      </c>
      <c r="K1314" s="23" t="s">
        <v>419</v>
      </c>
      <c r="L1314" s="59">
        <v>1</v>
      </c>
      <c r="M1314" s="8" t="s">
        <v>401</v>
      </c>
    </row>
    <row r="1315" spans="1:13" ht="15.75" x14ac:dyDescent="0.25">
      <c r="A1315" s="16" t="s">
        <v>0</v>
      </c>
      <c r="B1315" s="17" t="s">
        <v>416</v>
      </c>
      <c r="C1315" s="18">
        <v>43557</v>
      </c>
      <c r="D1315" s="19" t="s">
        <v>16</v>
      </c>
      <c r="E1315" s="20">
        <v>0.72916666666666674</v>
      </c>
      <c r="F1315" s="20">
        <v>0.89583333333333337</v>
      </c>
      <c r="G1315" s="21">
        <v>8.0000000000000036</v>
      </c>
      <c r="H1315" s="21">
        <v>3.9999999999999982</v>
      </c>
      <c r="I1315" s="21">
        <v>3.9999999999999982</v>
      </c>
      <c r="J1315" s="24" t="s">
        <v>9</v>
      </c>
      <c r="K1315" s="23" t="s">
        <v>419</v>
      </c>
      <c r="L1315" s="59">
        <v>1</v>
      </c>
      <c r="M1315" s="8" t="s">
        <v>401</v>
      </c>
    </row>
    <row r="1316" spans="1:13" ht="15.75" x14ac:dyDescent="0.25">
      <c r="A1316" s="16" t="s">
        <v>0</v>
      </c>
      <c r="B1316" s="17" t="s">
        <v>417</v>
      </c>
      <c r="C1316" s="18">
        <v>43557</v>
      </c>
      <c r="D1316" s="19" t="s">
        <v>16</v>
      </c>
      <c r="E1316" s="20">
        <v>0.72916666666666674</v>
      </c>
      <c r="F1316" s="20">
        <v>0.89583333333333337</v>
      </c>
      <c r="G1316" s="21">
        <v>8.0000000000000036</v>
      </c>
      <c r="H1316" s="21">
        <v>3.9999999999999982</v>
      </c>
      <c r="I1316" s="21">
        <v>3.9999999999999982</v>
      </c>
      <c r="J1316" s="24" t="s">
        <v>9</v>
      </c>
      <c r="K1316" s="23" t="s">
        <v>419</v>
      </c>
      <c r="L1316" s="59">
        <v>1</v>
      </c>
      <c r="M1316" s="8" t="s">
        <v>401</v>
      </c>
    </row>
    <row r="1317" spans="1:13" ht="15.75" x14ac:dyDescent="0.25">
      <c r="A1317" s="16" t="s">
        <v>0</v>
      </c>
      <c r="B1317" s="17" t="s">
        <v>68</v>
      </c>
      <c r="C1317" s="18">
        <v>43558</v>
      </c>
      <c r="D1317" s="19" t="s">
        <v>19</v>
      </c>
      <c r="E1317" s="20">
        <v>0.72916666666666674</v>
      </c>
      <c r="F1317" s="20">
        <v>0.89583333333333337</v>
      </c>
      <c r="G1317" s="21">
        <v>8.0000000000000036</v>
      </c>
      <c r="H1317" s="21">
        <v>3.9999999999999982</v>
      </c>
      <c r="I1317" s="21">
        <v>3.9999999999999982</v>
      </c>
      <c r="J1317" s="24" t="s">
        <v>9</v>
      </c>
      <c r="K1317" s="23" t="s">
        <v>420</v>
      </c>
      <c r="L1317" s="59">
        <v>1</v>
      </c>
      <c r="M1317" s="8" t="s">
        <v>401</v>
      </c>
    </row>
    <row r="1318" spans="1:13" ht="15.75" x14ac:dyDescent="0.25">
      <c r="A1318" s="16" t="s">
        <v>0</v>
      </c>
      <c r="B1318" s="17" t="s">
        <v>69</v>
      </c>
      <c r="C1318" s="18">
        <v>43558</v>
      </c>
      <c r="D1318" s="19" t="s">
        <v>19</v>
      </c>
      <c r="E1318" s="20">
        <v>0.72916666666666674</v>
      </c>
      <c r="F1318" s="20">
        <v>0.89583333333333337</v>
      </c>
      <c r="G1318" s="21">
        <v>8.0000000000000036</v>
      </c>
      <c r="H1318" s="21">
        <v>3.9999999999999982</v>
      </c>
      <c r="I1318" s="21">
        <v>3.9999999999999982</v>
      </c>
      <c r="J1318" s="24" t="s">
        <v>9</v>
      </c>
      <c r="K1318" s="23" t="s">
        <v>420</v>
      </c>
      <c r="L1318" s="59">
        <v>1</v>
      </c>
      <c r="M1318" s="8" t="s">
        <v>401</v>
      </c>
    </row>
    <row r="1319" spans="1:13" ht="15.75" x14ac:dyDescent="0.25">
      <c r="A1319" s="16" t="s">
        <v>0</v>
      </c>
      <c r="B1319" s="17" t="s">
        <v>361</v>
      </c>
      <c r="C1319" s="18">
        <v>43558</v>
      </c>
      <c r="D1319" s="19" t="s">
        <v>19</v>
      </c>
      <c r="E1319" s="20">
        <v>0.72916666666666674</v>
      </c>
      <c r="F1319" s="20">
        <v>0.89583333333333337</v>
      </c>
      <c r="G1319" s="21">
        <v>8.0000000000000036</v>
      </c>
      <c r="H1319" s="21">
        <v>3.9999999999999982</v>
      </c>
      <c r="I1319" s="21">
        <v>3.9999999999999982</v>
      </c>
      <c r="J1319" s="24" t="s">
        <v>9</v>
      </c>
      <c r="K1319" s="23" t="s">
        <v>420</v>
      </c>
      <c r="L1319" s="59">
        <v>1</v>
      </c>
      <c r="M1319" s="8" t="s">
        <v>401</v>
      </c>
    </row>
    <row r="1320" spans="1:13" ht="15.75" x14ac:dyDescent="0.25">
      <c r="A1320" s="16" t="s">
        <v>0</v>
      </c>
      <c r="B1320" s="17" t="s">
        <v>367</v>
      </c>
      <c r="C1320" s="18">
        <v>43558</v>
      </c>
      <c r="D1320" s="19" t="s">
        <v>19</v>
      </c>
      <c r="E1320" s="20">
        <v>0.72916666666666674</v>
      </c>
      <c r="F1320" s="20">
        <v>0.89583333333333337</v>
      </c>
      <c r="G1320" s="21">
        <v>8.0000000000000036</v>
      </c>
      <c r="H1320" s="21">
        <v>3.9999999999999982</v>
      </c>
      <c r="I1320" s="21">
        <v>3.9999999999999982</v>
      </c>
      <c r="J1320" s="24" t="s">
        <v>9</v>
      </c>
      <c r="K1320" s="23" t="s">
        <v>420</v>
      </c>
      <c r="L1320" s="59">
        <v>1</v>
      </c>
      <c r="M1320" s="8" t="s">
        <v>401</v>
      </c>
    </row>
    <row r="1321" spans="1:13" ht="15.75" x14ac:dyDescent="0.25">
      <c r="A1321" s="16" t="s">
        <v>0</v>
      </c>
      <c r="B1321" s="17" t="s">
        <v>393</v>
      </c>
      <c r="C1321" s="18">
        <v>43558</v>
      </c>
      <c r="D1321" s="19" t="s">
        <v>19</v>
      </c>
      <c r="E1321" s="20">
        <v>0.64583333333333326</v>
      </c>
      <c r="F1321" s="20">
        <v>0.89583333333333337</v>
      </c>
      <c r="G1321" s="21">
        <v>8.0000000000000036</v>
      </c>
      <c r="H1321" s="21">
        <v>5.9999999999999964</v>
      </c>
      <c r="I1321" s="21">
        <v>5.9999999999999964</v>
      </c>
      <c r="J1321" s="24" t="s">
        <v>9</v>
      </c>
      <c r="K1321" s="23" t="s">
        <v>420</v>
      </c>
      <c r="L1321" s="59">
        <v>1</v>
      </c>
      <c r="M1321" s="8" t="s">
        <v>401</v>
      </c>
    </row>
    <row r="1322" spans="1:13" ht="15.75" x14ac:dyDescent="0.25">
      <c r="A1322" s="16" t="s">
        <v>0</v>
      </c>
      <c r="B1322" s="17" t="s">
        <v>416</v>
      </c>
      <c r="C1322" s="18">
        <v>43558</v>
      </c>
      <c r="D1322" s="19" t="s">
        <v>19</v>
      </c>
      <c r="E1322" s="20">
        <v>0.72916666666666674</v>
      </c>
      <c r="F1322" s="20">
        <v>0.89583333333333337</v>
      </c>
      <c r="G1322" s="21">
        <v>8.0000000000000036</v>
      </c>
      <c r="H1322" s="21">
        <v>3.9999999999999982</v>
      </c>
      <c r="I1322" s="21">
        <v>3.9999999999999982</v>
      </c>
      <c r="J1322" s="24" t="s">
        <v>9</v>
      </c>
      <c r="K1322" s="23" t="s">
        <v>420</v>
      </c>
      <c r="L1322" s="59">
        <v>1</v>
      </c>
      <c r="M1322" s="8" t="s">
        <v>401</v>
      </c>
    </row>
    <row r="1323" spans="1:13" ht="15.75" x14ac:dyDescent="0.25">
      <c r="A1323" s="16" t="s">
        <v>0</v>
      </c>
      <c r="B1323" s="17" t="s">
        <v>417</v>
      </c>
      <c r="C1323" s="18">
        <v>43558</v>
      </c>
      <c r="D1323" s="19" t="s">
        <v>19</v>
      </c>
      <c r="E1323" s="20">
        <v>0.72916666666666674</v>
      </c>
      <c r="F1323" s="20">
        <v>0.89583333333333337</v>
      </c>
      <c r="G1323" s="21">
        <v>8.0000000000000036</v>
      </c>
      <c r="H1323" s="21">
        <v>3.9999999999999982</v>
      </c>
      <c r="I1323" s="21">
        <v>3.9999999999999982</v>
      </c>
      <c r="J1323" s="24" t="s">
        <v>9</v>
      </c>
      <c r="K1323" s="23" t="s">
        <v>420</v>
      </c>
      <c r="L1323" s="59">
        <v>1</v>
      </c>
      <c r="M1323" s="8" t="s">
        <v>401</v>
      </c>
    </row>
    <row r="1324" spans="1:13" ht="15.75" x14ac:dyDescent="0.25">
      <c r="A1324" s="16" t="s">
        <v>0</v>
      </c>
      <c r="B1324" s="17" t="s">
        <v>12</v>
      </c>
      <c r="C1324" s="18">
        <v>43584</v>
      </c>
      <c r="D1324" s="19" t="s">
        <v>21</v>
      </c>
      <c r="E1324" s="20">
        <v>0.72916666666666674</v>
      </c>
      <c r="F1324" s="20">
        <v>0.89583333333333337</v>
      </c>
      <c r="G1324" s="21">
        <v>8.0000000000000036</v>
      </c>
      <c r="H1324" s="21">
        <v>3.9999999999999982</v>
      </c>
      <c r="I1324" s="21">
        <v>3.9999999999999982</v>
      </c>
      <c r="J1324" s="24" t="s">
        <v>9</v>
      </c>
      <c r="K1324" s="23" t="s">
        <v>421</v>
      </c>
      <c r="L1324" s="59">
        <v>1</v>
      </c>
      <c r="M1324" s="8" t="s">
        <v>401</v>
      </c>
    </row>
    <row r="1325" spans="1:13" ht="15.75" x14ac:dyDescent="0.25">
      <c r="A1325" s="16" t="s">
        <v>0</v>
      </c>
      <c r="B1325" s="17" t="s">
        <v>68</v>
      </c>
      <c r="C1325" s="18">
        <v>43584</v>
      </c>
      <c r="D1325" s="19" t="s">
        <v>21</v>
      </c>
      <c r="E1325" s="20">
        <v>0.64583333333333326</v>
      </c>
      <c r="F1325" s="20">
        <v>0.8125</v>
      </c>
      <c r="G1325" s="21">
        <v>8.0000000000000036</v>
      </c>
      <c r="H1325" s="21">
        <v>3.9999999999999982</v>
      </c>
      <c r="I1325" s="21">
        <v>3.9999999999999982</v>
      </c>
      <c r="J1325" s="24" t="s">
        <v>9</v>
      </c>
      <c r="K1325" s="23" t="s">
        <v>421</v>
      </c>
      <c r="L1325" s="59">
        <v>1</v>
      </c>
      <c r="M1325" s="8" t="s">
        <v>401</v>
      </c>
    </row>
    <row r="1326" spans="1:13" ht="15.75" x14ac:dyDescent="0.25">
      <c r="A1326" s="16" t="s">
        <v>0</v>
      </c>
      <c r="B1326" s="17" t="s">
        <v>69</v>
      </c>
      <c r="C1326" s="18">
        <v>43584</v>
      </c>
      <c r="D1326" s="19" t="s">
        <v>21</v>
      </c>
      <c r="E1326" s="20">
        <v>0.72916666666666674</v>
      </c>
      <c r="F1326" s="20">
        <v>0.89583333333333337</v>
      </c>
      <c r="G1326" s="21">
        <v>8.0000000000000036</v>
      </c>
      <c r="H1326" s="21">
        <v>3.9999999999999982</v>
      </c>
      <c r="I1326" s="21">
        <v>3.9999999999999982</v>
      </c>
      <c r="J1326" s="24" t="s">
        <v>9</v>
      </c>
      <c r="K1326" s="23" t="s">
        <v>421</v>
      </c>
      <c r="L1326" s="59">
        <v>1</v>
      </c>
      <c r="M1326" s="8" t="s">
        <v>401</v>
      </c>
    </row>
    <row r="1327" spans="1:13" ht="15.75" x14ac:dyDescent="0.25">
      <c r="A1327" s="16" t="s">
        <v>0</v>
      </c>
      <c r="B1327" s="17" t="s">
        <v>361</v>
      </c>
      <c r="C1327" s="18">
        <v>43584</v>
      </c>
      <c r="D1327" s="19" t="s">
        <v>21</v>
      </c>
      <c r="E1327" s="20">
        <v>0.72916666666666674</v>
      </c>
      <c r="F1327" s="20">
        <v>0.89583333333333337</v>
      </c>
      <c r="G1327" s="21">
        <v>8.0000000000000036</v>
      </c>
      <c r="H1327" s="21">
        <v>3.9999999999999982</v>
      </c>
      <c r="I1327" s="21">
        <v>3.9999999999999982</v>
      </c>
      <c r="J1327" s="24" t="s">
        <v>9</v>
      </c>
      <c r="K1327" s="23" t="s">
        <v>421</v>
      </c>
      <c r="L1327" s="59">
        <v>1</v>
      </c>
      <c r="M1327" s="8" t="s">
        <v>401</v>
      </c>
    </row>
    <row r="1328" spans="1:13" ht="15.75" x14ac:dyDescent="0.25">
      <c r="A1328" s="16" t="s">
        <v>0</v>
      </c>
      <c r="B1328" s="17" t="s">
        <v>367</v>
      </c>
      <c r="C1328" s="18">
        <v>43584</v>
      </c>
      <c r="D1328" s="19" t="s">
        <v>21</v>
      </c>
      <c r="E1328" s="20">
        <v>0.72916666666666674</v>
      </c>
      <c r="F1328" s="20">
        <v>0.89583333333333337</v>
      </c>
      <c r="G1328" s="21">
        <v>8.0000000000000036</v>
      </c>
      <c r="H1328" s="21">
        <v>3.9999999999999982</v>
      </c>
      <c r="I1328" s="21">
        <v>3.9999999999999982</v>
      </c>
      <c r="J1328" s="24" t="s">
        <v>9</v>
      </c>
      <c r="K1328" s="23" t="s">
        <v>421</v>
      </c>
      <c r="L1328" s="59">
        <v>1</v>
      </c>
      <c r="M1328" s="8" t="s">
        <v>401</v>
      </c>
    </row>
    <row r="1329" spans="1:13" ht="15.75" x14ac:dyDescent="0.25">
      <c r="A1329" s="16" t="s">
        <v>0</v>
      </c>
      <c r="B1329" s="17" t="s">
        <v>393</v>
      </c>
      <c r="C1329" s="18">
        <v>43584</v>
      </c>
      <c r="D1329" s="19" t="s">
        <v>21</v>
      </c>
      <c r="E1329" s="20">
        <v>0.72916666666666674</v>
      </c>
      <c r="F1329" s="20">
        <v>0.89583333333333337</v>
      </c>
      <c r="G1329" s="21">
        <v>8.0000000000000036</v>
      </c>
      <c r="H1329" s="21">
        <v>3.9999999999999982</v>
      </c>
      <c r="I1329" s="21">
        <v>3.9999999999999982</v>
      </c>
      <c r="J1329" s="24" t="s">
        <v>9</v>
      </c>
      <c r="K1329" s="23" t="s">
        <v>421</v>
      </c>
      <c r="L1329" s="59">
        <v>1</v>
      </c>
      <c r="M1329" s="8" t="s">
        <v>401</v>
      </c>
    </row>
    <row r="1330" spans="1:13" ht="15.75" x14ac:dyDescent="0.25">
      <c r="A1330" s="16" t="s">
        <v>0</v>
      </c>
      <c r="B1330" s="17" t="s">
        <v>416</v>
      </c>
      <c r="C1330" s="18">
        <v>43584</v>
      </c>
      <c r="D1330" s="19" t="s">
        <v>21</v>
      </c>
      <c r="E1330" s="20">
        <v>0.72916666666666674</v>
      </c>
      <c r="F1330" s="20">
        <v>0.89583333333333337</v>
      </c>
      <c r="G1330" s="21">
        <v>8.0000000000000036</v>
      </c>
      <c r="H1330" s="21">
        <v>3.9999999999999982</v>
      </c>
      <c r="I1330" s="21">
        <v>3.9999999999999982</v>
      </c>
      <c r="J1330" s="24" t="s">
        <v>9</v>
      </c>
      <c r="K1330" s="23" t="s">
        <v>421</v>
      </c>
      <c r="L1330" s="59">
        <v>1</v>
      </c>
      <c r="M1330" s="8" t="s">
        <v>401</v>
      </c>
    </row>
    <row r="1331" spans="1:13" ht="15.75" x14ac:dyDescent="0.25">
      <c r="A1331" s="16" t="s">
        <v>0</v>
      </c>
      <c r="B1331" s="17" t="s">
        <v>417</v>
      </c>
      <c r="C1331" s="18">
        <v>43584</v>
      </c>
      <c r="D1331" s="19" t="s">
        <v>21</v>
      </c>
      <c r="E1331" s="20">
        <v>0.72916666666666674</v>
      </c>
      <c r="F1331" s="20">
        <v>0.89583333333333337</v>
      </c>
      <c r="G1331" s="21">
        <v>8.0000000000000036</v>
      </c>
      <c r="H1331" s="21">
        <v>3.9999999999999982</v>
      </c>
      <c r="I1331" s="21">
        <v>3.9999999999999982</v>
      </c>
      <c r="J1331" s="24" t="s">
        <v>9</v>
      </c>
      <c r="K1331" s="23" t="s">
        <v>421</v>
      </c>
      <c r="L1331" s="59">
        <v>1</v>
      </c>
      <c r="M1331" s="8" t="s">
        <v>401</v>
      </c>
    </row>
    <row r="1332" spans="1:13" ht="15.75" x14ac:dyDescent="0.25">
      <c r="A1332" s="16" t="s">
        <v>0</v>
      </c>
      <c r="B1332" s="17" t="s">
        <v>12</v>
      </c>
      <c r="C1332" s="18">
        <v>43587</v>
      </c>
      <c r="D1332" s="19" t="s">
        <v>18</v>
      </c>
      <c r="E1332" s="20">
        <v>0.72916666666666674</v>
      </c>
      <c r="F1332" s="20">
        <v>0.89583333333333337</v>
      </c>
      <c r="G1332" s="21">
        <v>8.0000000000000036</v>
      </c>
      <c r="H1332" s="21">
        <v>3.9999999999999982</v>
      </c>
      <c r="I1332" s="21">
        <v>3.9999999999999982</v>
      </c>
      <c r="J1332" s="24" t="s">
        <v>9</v>
      </c>
      <c r="K1332" s="23" t="s">
        <v>425</v>
      </c>
      <c r="L1332" s="59">
        <v>1</v>
      </c>
      <c r="M1332" s="8" t="s">
        <v>402</v>
      </c>
    </row>
    <row r="1333" spans="1:13" ht="15.75" x14ac:dyDescent="0.25">
      <c r="A1333" s="16" t="s">
        <v>0</v>
      </c>
      <c r="B1333" s="17" t="s">
        <v>68</v>
      </c>
      <c r="C1333" s="18">
        <v>43587</v>
      </c>
      <c r="D1333" s="19" t="s">
        <v>18</v>
      </c>
      <c r="E1333" s="20">
        <v>0.72916666666666674</v>
      </c>
      <c r="F1333" s="20">
        <v>0.89583333333333337</v>
      </c>
      <c r="G1333" s="21">
        <v>8.0000000000000036</v>
      </c>
      <c r="H1333" s="21">
        <v>3.9999999999999982</v>
      </c>
      <c r="I1333" s="21">
        <v>3.9999999999999982</v>
      </c>
      <c r="J1333" s="24" t="s">
        <v>9</v>
      </c>
      <c r="K1333" s="23" t="s">
        <v>425</v>
      </c>
      <c r="L1333" s="59">
        <v>1</v>
      </c>
      <c r="M1333" s="8" t="s">
        <v>402</v>
      </c>
    </row>
    <row r="1334" spans="1:13" ht="15.75" x14ac:dyDescent="0.25">
      <c r="A1334" s="16" t="s">
        <v>0</v>
      </c>
      <c r="B1334" s="17" t="s">
        <v>69</v>
      </c>
      <c r="C1334" s="18">
        <v>43587</v>
      </c>
      <c r="D1334" s="19" t="s">
        <v>18</v>
      </c>
      <c r="E1334" s="20">
        <v>0.64583333333333326</v>
      </c>
      <c r="F1334" s="20">
        <v>0.8125</v>
      </c>
      <c r="G1334" s="21">
        <v>8.0000000000000036</v>
      </c>
      <c r="H1334" s="21">
        <v>3.9999999999999982</v>
      </c>
      <c r="I1334" s="21">
        <v>3.9999999999999982</v>
      </c>
      <c r="J1334" s="24" t="s">
        <v>9</v>
      </c>
      <c r="K1334" s="23" t="s">
        <v>425</v>
      </c>
      <c r="L1334" s="59">
        <v>1</v>
      </c>
      <c r="M1334" s="8" t="s">
        <v>402</v>
      </c>
    </row>
    <row r="1335" spans="1:13" ht="15.75" x14ac:dyDescent="0.25">
      <c r="A1335" s="16" t="s">
        <v>0</v>
      </c>
      <c r="B1335" s="17" t="s">
        <v>361</v>
      </c>
      <c r="C1335" s="18">
        <v>43587</v>
      </c>
      <c r="D1335" s="19" t="s">
        <v>18</v>
      </c>
      <c r="E1335" s="20">
        <v>0.72916666666666674</v>
      </c>
      <c r="F1335" s="20">
        <v>0.89583333333333337</v>
      </c>
      <c r="G1335" s="21">
        <v>8.0000000000000036</v>
      </c>
      <c r="H1335" s="21">
        <v>3.9999999999999982</v>
      </c>
      <c r="I1335" s="21">
        <v>3.9999999999999982</v>
      </c>
      <c r="J1335" s="24" t="s">
        <v>9</v>
      </c>
      <c r="K1335" s="23" t="s">
        <v>425</v>
      </c>
      <c r="L1335" s="59">
        <v>1</v>
      </c>
      <c r="M1335" s="8" t="s">
        <v>402</v>
      </c>
    </row>
    <row r="1336" spans="1:13" ht="15.75" x14ac:dyDescent="0.25">
      <c r="A1336" s="16" t="s">
        <v>0</v>
      </c>
      <c r="B1336" s="17" t="s">
        <v>367</v>
      </c>
      <c r="C1336" s="18">
        <v>43587</v>
      </c>
      <c r="D1336" s="19" t="s">
        <v>18</v>
      </c>
      <c r="E1336" s="20">
        <v>0.72916666666666674</v>
      </c>
      <c r="F1336" s="20">
        <v>0.89583333333333337</v>
      </c>
      <c r="G1336" s="21">
        <v>8.0000000000000036</v>
      </c>
      <c r="H1336" s="21">
        <v>3.9999999999999982</v>
      </c>
      <c r="I1336" s="21">
        <v>3.9999999999999982</v>
      </c>
      <c r="J1336" s="24" t="s">
        <v>9</v>
      </c>
      <c r="K1336" s="23" t="s">
        <v>425</v>
      </c>
      <c r="L1336" s="59">
        <v>1</v>
      </c>
      <c r="M1336" s="8" t="s">
        <v>402</v>
      </c>
    </row>
    <row r="1337" spans="1:13" ht="15.75" x14ac:dyDescent="0.25">
      <c r="A1337" s="16" t="s">
        <v>0</v>
      </c>
      <c r="B1337" s="17" t="s">
        <v>393</v>
      </c>
      <c r="C1337" s="18">
        <v>43587</v>
      </c>
      <c r="D1337" s="19" t="s">
        <v>18</v>
      </c>
      <c r="E1337" s="20">
        <v>0.72916666666666674</v>
      </c>
      <c r="F1337" s="20">
        <v>0.89583333333333337</v>
      </c>
      <c r="G1337" s="21">
        <v>8.0000000000000036</v>
      </c>
      <c r="H1337" s="21">
        <v>3.9999999999999982</v>
      </c>
      <c r="I1337" s="21">
        <v>3.9999999999999982</v>
      </c>
      <c r="J1337" s="24" t="s">
        <v>9</v>
      </c>
      <c r="K1337" s="23" t="s">
        <v>425</v>
      </c>
      <c r="L1337" s="59">
        <v>1</v>
      </c>
      <c r="M1337" s="8" t="s">
        <v>402</v>
      </c>
    </row>
    <row r="1338" spans="1:13" ht="15.75" x14ac:dyDescent="0.25">
      <c r="A1338" s="16" t="s">
        <v>0</v>
      </c>
      <c r="B1338" s="17" t="s">
        <v>416</v>
      </c>
      <c r="C1338" s="18">
        <v>43587</v>
      </c>
      <c r="D1338" s="19" t="s">
        <v>18</v>
      </c>
      <c r="E1338" s="20">
        <v>0.72916666666666674</v>
      </c>
      <c r="F1338" s="20">
        <v>0.89583333333333337</v>
      </c>
      <c r="G1338" s="21">
        <v>8.0000000000000036</v>
      </c>
      <c r="H1338" s="21">
        <v>3.9999999999999982</v>
      </c>
      <c r="I1338" s="21">
        <v>3.9999999999999982</v>
      </c>
      <c r="J1338" s="24" t="s">
        <v>9</v>
      </c>
      <c r="K1338" s="23" t="s">
        <v>425</v>
      </c>
      <c r="L1338" s="59">
        <v>1</v>
      </c>
      <c r="M1338" s="8" t="s">
        <v>402</v>
      </c>
    </row>
    <row r="1339" spans="1:13" ht="15.75" x14ac:dyDescent="0.25">
      <c r="A1339" s="16" t="s">
        <v>0</v>
      </c>
      <c r="B1339" s="17" t="s">
        <v>417</v>
      </c>
      <c r="C1339" s="18">
        <v>43587</v>
      </c>
      <c r="D1339" s="19" t="s">
        <v>18</v>
      </c>
      <c r="E1339" s="20">
        <v>0.72916666666666674</v>
      </c>
      <c r="F1339" s="20">
        <v>0.89583333333333337</v>
      </c>
      <c r="G1339" s="21">
        <v>8.0000000000000036</v>
      </c>
      <c r="H1339" s="21">
        <v>3.9999999999999982</v>
      </c>
      <c r="I1339" s="21">
        <v>3.9999999999999982</v>
      </c>
      <c r="J1339" s="24" t="s">
        <v>9</v>
      </c>
      <c r="K1339" s="23" t="s">
        <v>425</v>
      </c>
      <c r="L1339" s="59">
        <v>1</v>
      </c>
      <c r="M1339" s="8" t="s">
        <v>402</v>
      </c>
    </row>
    <row r="1340" spans="1:13" ht="15.75" x14ac:dyDescent="0.25">
      <c r="A1340" s="16" t="s">
        <v>0</v>
      </c>
      <c r="B1340" s="17" t="s">
        <v>12</v>
      </c>
      <c r="C1340" s="18">
        <v>43588</v>
      </c>
      <c r="D1340" s="19" t="s">
        <v>17</v>
      </c>
      <c r="E1340" s="20">
        <v>0.72916666666666674</v>
      </c>
      <c r="F1340" s="20">
        <v>0.91666666666666663</v>
      </c>
      <c r="G1340" s="21">
        <v>8.0000000000000036</v>
      </c>
      <c r="H1340" s="21">
        <v>4.4999999999999964</v>
      </c>
      <c r="I1340" s="21">
        <v>4.4999999999999964</v>
      </c>
      <c r="J1340" s="24" t="s">
        <v>9</v>
      </c>
      <c r="K1340" s="23" t="s">
        <v>426</v>
      </c>
      <c r="L1340" s="59">
        <v>1</v>
      </c>
      <c r="M1340" s="8" t="s">
        <v>402</v>
      </c>
    </row>
    <row r="1341" spans="1:13" ht="15.75" x14ac:dyDescent="0.25">
      <c r="A1341" s="16" t="s">
        <v>0</v>
      </c>
      <c r="B1341" s="17" t="s">
        <v>68</v>
      </c>
      <c r="C1341" s="18">
        <v>43588</v>
      </c>
      <c r="D1341" s="19" t="s">
        <v>17</v>
      </c>
      <c r="E1341" s="20">
        <v>0.72916666666666674</v>
      </c>
      <c r="F1341" s="20">
        <v>0.91666666666666663</v>
      </c>
      <c r="G1341" s="21">
        <v>8.0000000000000036</v>
      </c>
      <c r="H1341" s="21">
        <v>4.4999999999999964</v>
      </c>
      <c r="I1341" s="21">
        <v>4.4999999999999964</v>
      </c>
      <c r="J1341" s="24" t="s">
        <v>9</v>
      </c>
      <c r="K1341" s="23" t="s">
        <v>426</v>
      </c>
      <c r="L1341" s="59">
        <v>1</v>
      </c>
      <c r="M1341" s="8" t="s">
        <v>402</v>
      </c>
    </row>
    <row r="1342" spans="1:13" ht="15.75" x14ac:dyDescent="0.25">
      <c r="A1342" s="16" t="s">
        <v>0</v>
      </c>
      <c r="B1342" s="17" t="s">
        <v>69</v>
      </c>
      <c r="C1342" s="18">
        <v>43588</v>
      </c>
      <c r="D1342" s="19" t="s">
        <v>17</v>
      </c>
      <c r="E1342" s="20">
        <v>0.72916666666666674</v>
      </c>
      <c r="F1342" s="20">
        <v>0.91666666666666663</v>
      </c>
      <c r="G1342" s="21">
        <v>8.0000000000000036</v>
      </c>
      <c r="H1342" s="21">
        <v>4.4999999999999964</v>
      </c>
      <c r="I1342" s="21">
        <v>4.4999999999999964</v>
      </c>
      <c r="J1342" s="24" t="s">
        <v>9</v>
      </c>
      <c r="K1342" s="23" t="s">
        <v>426</v>
      </c>
      <c r="L1342" s="59">
        <v>1</v>
      </c>
      <c r="M1342" s="8" t="s">
        <v>402</v>
      </c>
    </row>
    <row r="1343" spans="1:13" ht="15.75" x14ac:dyDescent="0.25">
      <c r="A1343" s="16" t="s">
        <v>0</v>
      </c>
      <c r="B1343" s="17" t="s">
        <v>361</v>
      </c>
      <c r="C1343" s="18">
        <v>43588</v>
      </c>
      <c r="D1343" s="19" t="s">
        <v>17</v>
      </c>
      <c r="E1343" s="20">
        <v>0.72916666666666674</v>
      </c>
      <c r="F1343" s="20">
        <v>0.91666666666666663</v>
      </c>
      <c r="G1343" s="21">
        <v>8.0000000000000036</v>
      </c>
      <c r="H1343" s="21">
        <v>4.4999999999999964</v>
      </c>
      <c r="I1343" s="21">
        <v>4.4999999999999964</v>
      </c>
      <c r="J1343" s="24" t="s">
        <v>9</v>
      </c>
      <c r="K1343" s="23" t="s">
        <v>426</v>
      </c>
      <c r="L1343" s="59">
        <v>1</v>
      </c>
      <c r="M1343" s="8" t="s">
        <v>402</v>
      </c>
    </row>
    <row r="1344" spans="1:13" ht="15.75" x14ac:dyDescent="0.25">
      <c r="A1344" s="16" t="s">
        <v>0</v>
      </c>
      <c r="B1344" s="17" t="s">
        <v>367</v>
      </c>
      <c r="C1344" s="18">
        <v>43588</v>
      </c>
      <c r="D1344" s="19" t="s">
        <v>17</v>
      </c>
      <c r="E1344" s="20">
        <v>0.72916666666666674</v>
      </c>
      <c r="F1344" s="20">
        <v>0.91666666666666663</v>
      </c>
      <c r="G1344" s="21">
        <v>8.0000000000000036</v>
      </c>
      <c r="H1344" s="21">
        <v>4.4999999999999964</v>
      </c>
      <c r="I1344" s="21">
        <v>4.4999999999999964</v>
      </c>
      <c r="J1344" s="24" t="s">
        <v>9</v>
      </c>
      <c r="K1344" s="23" t="s">
        <v>426</v>
      </c>
      <c r="L1344" s="59">
        <v>1</v>
      </c>
      <c r="M1344" s="8" t="s">
        <v>402</v>
      </c>
    </row>
    <row r="1345" spans="1:13" ht="15.75" x14ac:dyDescent="0.25">
      <c r="A1345" s="16" t="s">
        <v>0</v>
      </c>
      <c r="B1345" s="17" t="s">
        <v>393</v>
      </c>
      <c r="C1345" s="18">
        <v>43588</v>
      </c>
      <c r="D1345" s="19" t="s">
        <v>17</v>
      </c>
      <c r="E1345" s="20">
        <v>0.64583333333333326</v>
      </c>
      <c r="F1345" s="20">
        <v>0.8125</v>
      </c>
      <c r="G1345" s="21">
        <v>8.0000000000000036</v>
      </c>
      <c r="H1345" s="21">
        <v>3.9999999999999982</v>
      </c>
      <c r="I1345" s="21">
        <v>3.9999999999999982</v>
      </c>
      <c r="J1345" s="24" t="s">
        <v>9</v>
      </c>
      <c r="K1345" s="23" t="s">
        <v>426</v>
      </c>
      <c r="L1345" s="59">
        <v>1</v>
      </c>
      <c r="M1345" s="8" t="s">
        <v>402</v>
      </c>
    </row>
    <row r="1346" spans="1:13" ht="15.75" x14ac:dyDescent="0.25">
      <c r="A1346" s="16" t="s">
        <v>0</v>
      </c>
      <c r="B1346" s="17" t="s">
        <v>416</v>
      </c>
      <c r="C1346" s="18">
        <v>43588</v>
      </c>
      <c r="D1346" s="19" t="s">
        <v>17</v>
      </c>
      <c r="E1346" s="20">
        <v>0.72916666666666674</v>
      </c>
      <c r="F1346" s="20">
        <v>0.91666666666666663</v>
      </c>
      <c r="G1346" s="21">
        <v>8.0000000000000036</v>
      </c>
      <c r="H1346" s="21">
        <v>4.4999999999999964</v>
      </c>
      <c r="I1346" s="21">
        <v>4.4999999999999964</v>
      </c>
      <c r="J1346" s="24" t="s">
        <v>9</v>
      </c>
      <c r="K1346" s="23" t="s">
        <v>426</v>
      </c>
      <c r="L1346" s="59">
        <v>1</v>
      </c>
      <c r="M1346" s="8" t="s">
        <v>402</v>
      </c>
    </row>
    <row r="1347" spans="1:13" ht="15.75" x14ac:dyDescent="0.25">
      <c r="A1347" s="16" t="s">
        <v>0</v>
      </c>
      <c r="B1347" s="17" t="s">
        <v>417</v>
      </c>
      <c r="C1347" s="18">
        <v>43588</v>
      </c>
      <c r="D1347" s="19" t="s">
        <v>17</v>
      </c>
      <c r="E1347" s="20">
        <v>0.72916666666666674</v>
      </c>
      <c r="F1347" s="20">
        <v>0.91666666666666663</v>
      </c>
      <c r="G1347" s="21">
        <v>8.0000000000000036</v>
      </c>
      <c r="H1347" s="21">
        <v>4.4999999999999964</v>
      </c>
      <c r="I1347" s="21">
        <v>4.4999999999999964</v>
      </c>
      <c r="J1347" s="24" t="s">
        <v>9</v>
      </c>
      <c r="K1347" s="23" t="s">
        <v>426</v>
      </c>
      <c r="L1347" s="59">
        <v>1</v>
      </c>
      <c r="M1347" s="8" t="s">
        <v>402</v>
      </c>
    </row>
    <row r="1348" spans="1:13" ht="15.75" x14ac:dyDescent="0.25">
      <c r="A1348" s="16" t="s">
        <v>0</v>
      </c>
      <c r="B1348" s="17" t="s">
        <v>12</v>
      </c>
      <c r="C1348" s="18">
        <v>43616</v>
      </c>
      <c r="D1348" s="19" t="s">
        <v>17</v>
      </c>
      <c r="E1348" s="20">
        <v>0.6875</v>
      </c>
      <c r="F1348" s="20">
        <v>0.85416666666666663</v>
      </c>
      <c r="G1348" s="21">
        <v>8.0000000000000036</v>
      </c>
      <c r="H1348" s="21">
        <v>3.9999999999999964</v>
      </c>
      <c r="I1348" s="21">
        <v>3.9999999999999964</v>
      </c>
      <c r="J1348" s="24" t="s">
        <v>9</v>
      </c>
      <c r="K1348" s="23" t="s">
        <v>427</v>
      </c>
      <c r="L1348" s="59">
        <v>1</v>
      </c>
      <c r="M1348" s="8" t="s">
        <v>402</v>
      </c>
    </row>
    <row r="1349" spans="1:13" ht="15.75" x14ac:dyDescent="0.25">
      <c r="A1349" s="16" t="s">
        <v>0</v>
      </c>
      <c r="B1349" s="17" t="s">
        <v>68</v>
      </c>
      <c r="C1349" s="18">
        <v>43616</v>
      </c>
      <c r="D1349" s="19" t="s">
        <v>17</v>
      </c>
      <c r="E1349" s="20">
        <v>0.72916666666666674</v>
      </c>
      <c r="F1349" s="20">
        <v>0.91666666666666663</v>
      </c>
      <c r="G1349" s="21">
        <v>8.0000000000000036</v>
      </c>
      <c r="H1349" s="21">
        <v>4.4999999999999964</v>
      </c>
      <c r="I1349" s="21">
        <v>4.4999999999999964</v>
      </c>
      <c r="J1349" s="24" t="s">
        <v>9</v>
      </c>
      <c r="K1349" s="23" t="s">
        <v>427</v>
      </c>
      <c r="L1349" s="59">
        <v>1</v>
      </c>
      <c r="M1349" s="8" t="s">
        <v>402</v>
      </c>
    </row>
    <row r="1350" spans="1:13" ht="15.75" x14ac:dyDescent="0.25">
      <c r="A1350" s="16" t="s">
        <v>0</v>
      </c>
      <c r="B1350" s="17" t="s">
        <v>69</v>
      </c>
      <c r="C1350" s="18">
        <v>43616</v>
      </c>
      <c r="D1350" s="19" t="s">
        <v>17</v>
      </c>
      <c r="E1350" s="20">
        <v>0.72916666666666674</v>
      </c>
      <c r="F1350" s="20">
        <v>0.91666666666666663</v>
      </c>
      <c r="G1350" s="21">
        <v>8.0000000000000036</v>
      </c>
      <c r="H1350" s="21">
        <v>4.4999999999999964</v>
      </c>
      <c r="I1350" s="21">
        <v>4.4999999999999964</v>
      </c>
      <c r="J1350" s="24" t="s">
        <v>9</v>
      </c>
      <c r="K1350" s="23" t="s">
        <v>427</v>
      </c>
      <c r="L1350" s="59">
        <v>1</v>
      </c>
      <c r="M1350" s="8" t="s">
        <v>402</v>
      </c>
    </row>
    <row r="1351" spans="1:13" ht="15.75" x14ac:dyDescent="0.25">
      <c r="A1351" s="16" t="s">
        <v>0</v>
      </c>
      <c r="B1351" s="17" t="s">
        <v>361</v>
      </c>
      <c r="C1351" s="18">
        <v>43616</v>
      </c>
      <c r="D1351" s="19" t="s">
        <v>17</v>
      </c>
      <c r="E1351" s="20">
        <v>0.72916666666666674</v>
      </c>
      <c r="F1351" s="20">
        <v>0.91666666666666663</v>
      </c>
      <c r="G1351" s="21">
        <v>8.0000000000000036</v>
      </c>
      <c r="H1351" s="21">
        <v>4.4999999999999964</v>
      </c>
      <c r="I1351" s="21">
        <v>4.4999999999999964</v>
      </c>
      <c r="J1351" s="24" t="s">
        <v>9</v>
      </c>
      <c r="K1351" s="23" t="s">
        <v>427</v>
      </c>
      <c r="L1351" s="59">
        <v>1</v>
      </c>
      <c r="M1351" s="8" t="s">
        <v>402</v>
      </c>
    </row>
    <row r="1352" spans="1:13" ht="15.75" x14ac:dyDescent="0.25">
      <c r="A1352" s="16" t="s">
        <v>0</v>
      </c>
      <c r="B1352" s="17" t="s">
        <v>367</v>
      </c>
      <c r="C1352" s="18">
        <v>43616</v>
      </c>
      <c r="D1352" s="19" t="s">
        <v>17</v>
      </c>
      <c r="E1352" s="20">
        <v>0.72916666666666674</v>
      </c>
      <c r="F1352" s="20">
        <v>0.91666666666666663</v>
      </c>
      <c r="G1352" s="21">
        <v>8.0000000000000036</v>
      </c>
      <c r="H1352" s="21">
        <v>4.4999999999999964</v>
      </c>
      <c r="I1352" s="21">
        <v>4.4999999999999964</v>
      </c>
      <c r="J1352" s="24" t="s">
        <v>9</v>
      </c>
      <c r="K1352" s="23" t="s">
        <v>427</v>
      </c>
      <c r="L1352" s="59">
        <v>1</v>
      </c>
      <c r="M1352" s="8" t="s">
        <v>402</v>
      </c>
    </row>
    <row r="1353" spans="1:13" ht="15.75" x14ac:dyDescent="0.25">
      <c r="A1353" s="16" t="s">
        <v>0</v>
      </c>
      <c r="B1353" s="17" t="s">
        <v>393</v>
      </c>
      <c r="C1353" s="18">
        <v>43616</v>
      </c>
      <c r="D1353" s="19" t="s">
        <v>17</v>
      </c>
      <c r="E1353" s="20">
        <v>0.72916666666666674</v>
      </c>
      <c r="F1353" s="20">
        <v>0.91666666666666663</v>
      </c>
      <c r="G1353" s="21">
        <v>8.0000000000000036</v>
      </c>
      <c r="H1353" s="21">
        <v>4.4999999999999964</v>
      </c>
      <c r="I1353" s="21">
        <v>4.4999999999999964</v>
      </c>
      <c r="J1353" s="24" t="s">
        <v>9</v>
      </c>
      <c r="K1353" s="23" t="s">
        <v>427</v>
      </c>
      <c r="L1353" s="59">
        <v>1</v>
      </c>
      <c r="M1353" s="8" t="s">
        <v>402</v>
      </c>
    </row>
    <row r="1354" spans="1:13" ht="15.75" x14ac:dyDescent="0.25">
      <c r="A1354" s="16" t="s">
        <v>0</v>
      </c>
      <c r="B1354" s="17" t="s">
        <v>416</v>
      </c>
      <c r="C1354" s="18">
        <v>43616</v>
      </c>
      <c r="D1354" s="19" t="s">
        <v>17</v>
      </c>
      <c r="E1354" s="20">
        <v>0.72916666666666674</v>
      </c>
      <c r="F1354" s="20">
        <v>0.91666666666666663</v>
      </c>
      <c r="G1354" s="21">
        <v>8.0000000000000036</v>
      </c>
      <c r="H1354" s="21">
        <v>4.4999999999999964</v>
      </c>
      <c r="I1354" s="21">
        <v>4.4999999999999964</v>
      </c>
      <c r="J1354" s="24" t="s">
        <v>9</v>
      </c>
      <c r="K1354" s="23" t="s">
        <v>427</v>
      </c>
      <c r="L1354" s="59">
        <v>1</v>
      </c>
      <c r="M1354" s="8" t="s">
        <v>402</v>
      </c>
    </row>
    <row r="1355" spans="1:13" ht="15.75" x14ac:dyDescent="0.25">
      <c r="A1355" s="16" t="s">
        <v>0</v>
      </c>
      <c r="B1355" s="17" t="s">
        <v>417</v>
      </c>
      <c r="C1355" s="18">
        <v>43616</v>
      </c>
      <c r="D1355" s="19" t="s">
        <v>17</v>
      </c>
      <c r="E1355" s="20">
        <v>0.72916666666666674</v>
      </c>
      <c r="F1355" s="20">
        <v>0.89583333333333337</v>
      </c>
      <c r="G1355" s="21">
        <v>8.0000000000000036</v>
      </c>
      <c r="H1355" s="21">
        <v>3.9999999999999982</v>
      </c>
      <c r="I1355" s="21">
        <v>3.9999999999999982</v>
      </c>
      <c r="J1355" s="24" t="s">
        <v>9</v>
      </c>
      <c r="K1355" s="23" t="s">
        <v>427</v>
      </c>
      <c r="L1355" s="59">
        <v>1</v>
      </c>
      <c r="M1355" s="8" t="s">
        <v>402</v>
      </c>
    </row>
    <row r="1356" spans="1:13" ht="15.75" x14ac:dyDescent="0.25">
      <c r="A1356" s="16" t="s">
        <v>0</v>
      </c>
      <c r="B1356" s="17" t="s">
        <v>12</v>
      </c>
      <c r="C1356" s="18">
        <v>43619</v>
      </c>
      <c r="D1356" s="19" t="s">
        <v>21</v>
      </c>
      <c r="E1356" s="20">
        <v>0.72916666666666674</v>
      </c>
      <c r="F1356" s="20">
        <v>0.89583333333333337</v>
      </c>
      <c r="G1356" s="21">
        <v>8.0000000000000036</v>
      </c>
      <c r="H1356" s="21">
        <v>3.9999999999999982</v>
      </c>
      <c r="I1356" s="21">
        <v>3.9999999999999982</v>
      </c>
      <c r="J1356" s="24" t="s">
        <v>9</v>
      </c>
      <c r="K1356" s="23" t="s">
        <v>428</v>
      </c>
      <c r="L1356" s="59">
        <v>1</v>
      </c>
      <c r="M1356" s="17" t="str">
        <f>IF($C1356="","",TEXT(DATE(YEAR($C1356),MONTH($C1356),DAY($C1356)),"MMM")&amp;"_"&amp;YEAR($C1356))</f>
        <v>Jun_2019</v>
      </c>
    </row>
    <row r="1357" spans="1:13" ht="15.75" x14ac:dyDescent="0.25">
      <c r="A1357" s="16" t="s">
        <v>0</v>
      </c>
      <c r="B1357" s="17" t="s">
        <v>68</v>
      </c>
      <c r="C1357" s="18">
        <v>43619</v>
      </c>
      <c r="D1357" s="19" t="s">
        <v>21</v>
      </c>
      <c r="E1357" s="20">
        <v>0.72916666666666674</v>
      </c>
      <c r="F1357" s="20">
        <v>0.89583333333333337</v>
      </c>
      <c r="G1357" s="21">
        <v>8.0000000000000036</v>
      </c>
      <c r="H1357" s="21">
        <v>3.9999999999999982</v>
      </c>
      <c r="I1357" s="21">
        <v>3.9999999999999982</v>
      </c>
      <c r="J1357" s="24" t="s">
        <v>9</v>
      </c>
      <c r="K1357" s="23" t="s">
        <v>428</v>
      </c>
      <c r="L1357" s="59">
        <v>1</v>
      </c>
      <c r="M1357" s="17" t="str">
        <f t="shared" ref="M1357:M1372" si="24">IF($C1357="","",TEXT(DATE(YEAR($C1357),MONTH($C1357),DAY($C1357)),"MMM")&amp;"_"&amp;YEAR($C1357))</f>
        <v>Jun_2019</v>
      </c>
    </row>
    <row r="1358" spans="1:13" ht="15.75" x14ac:dyDescent="0.25">
      <c r="A1358" s="16" t="s">
        <v>0</v>
      </c>
      <c r="B1358" s="17" t="s">
        <v>69</v>
      </c>
      <c r="C1358" s="18">
        <v>43619</v>
      </c>
      <c r="D1358" s="19" t="s">
        <v>21</v>
      </c>
      <c r="E1358" s="20">
        <v>0.72916666666666674</v>
      </c>
      <c r="F1358" s="20">
        <v>0.89583333333333337</v>
      </c>
      <c r="G1358" s="21">
        <v>8.0000000000000036</v>
      </c>
      <c r="H1358" s="21">
        <v>3.9999999999999982</v>
      </c>
      <c r="I1358" s="21">
        <v>3.9999999999999982</v>
      </c>
      <c r="J1358" s="24" t="s">
        <v>9</v>
      </c>
      <c r="K1358" s="23" t="s">
        <v>428</v>
      </c>
      <c r="L1358" s="59">
        <v>1</v>
      </c>
      <c r="M1358" s="17" t="str">
        <f t="shared" si="24"/>
        <v>Jun_2019</v>
      </c>
    </row>
    <row r="1359" spans="1:13" ht="15.75" x14ac:dyDescent="0.25">
      <c r="A1359" s="16" t="s">
        <v>0</v>
      </c>
      <c r="B1359" s="17" t="s">
        <v>361</v>
      </c>
      <c r="C1359" s="18">
        <v>43619</v>
      </c>
      <c r="D1359" s="19" t="s">
        <v>21</v>
      </c>
      <c r="E1359" s="20">
        <v>0.72916666666666674</v>
      </c>
      <c r="F1359" s="20">
        <v>0.89583333333333337</v>
      </c>
      <c r="G1359" s="21">
        <v>8.0000000000000036</v>
      </c>
      <c r="H1359" s="21">
        <v>3.9999999999999982</v>
      </c>
      <c r="I1359" s="21">
        <v>3.9999999999999982</v>
      </c>
      <c r="J1359" s="24" t="s">
        <v>9</v>
      </c>
      <c r="K1359" s="23" t="s">
        <v>428</v>
      </c>
      <c r="L1359" s="59">
        <v>1</v>
      </c>
      <c r="M1359" s="17" t="str">
        <f t="shared" si="24"/>
        <v>Jun_2019</v>
      </c>
    </row>
    <row r="1360" spans="1:13" ht="15.75" x14ac:dyDescent="0.25">
      <c r="A1360" s="16" t="s">
        <v>0</v>
      </c>
      <c r="B1360" s="17" t="s">
        <v>367</v>
      </c>
      <c r="C1360" s="18">
        <v>43619</v>
      </c>
      <c r="D1360" s="19" t="s">
        <v>21</v>
      </c>
      <c r="E1360" s="20">
        <v>0.72916666666666674</v>
      </c>
      <c r="F1360" s="20">
        <v>0.89583333333333337</v>
      </c>
      <c r="G1360" s="21">
        <v>8.0000000000000036</v>
      </c>
      <c r="H1360" s="21">
        <v>3.9999999999999982</v>
      </c>
      <c r="I1360" s="21">
        <v>3.9999999999999982</v>
      </c>
      <c r="J1360" s="24" t="s">
        <v>9</v>
      </c>
      <c r="K1360" s="23" t="s">
        <v>428</v>
      </c>
      <c r="L1360" s="59">
        <v>1</v>
      </c>
      <c r="M1360" s="17" t="str">
        <f t="shared" si="24"/>
        <v>Jun_2019</v>
      </c>
    </row>
    <row r="1361" spans="1:13" ht="15.75" x14ac:dyDescent="0.25">
      <c r="A1361" s="16" t="s">
        <v>0</v>
      </c>
      <c r="B1361" s="17" t="s">
        <v>393</v>
      </c>
      <c r="C1361" s="18">
        <v>43619</v>
      </c>
      <c r="D1361" s="19" t="s">
        <v>21</v>
      </c>
      <c r="E1361" s="20">
        <v>0.6875</v>
      </c>
      <c r="F1361" s="20">
        <v>0.85416666666666663</v>
      </c>
      <c r="G1361" s="21">
        <v>8.0000000000000036</v>
      </c>
      <c r="H1361" s="21">
        <v>3.9999999999999964</v>
      </c>
      <c r="I1361" s="21">
        <v>3.9999999999999964</v>
      </c>
      <c r="J1361" s="24" t="s">
        <v>9</v>
      </c>
      <c r="K1361" s="23" t="s">
        <v>428</v>
      </c>
      <c r="L1361" s="59">
        <v>1</v>
      </c>
      <c r="M1361" s="17" t="str">
        <f t="shared" si="24"/>
        <v>Jun_2019</v>
      </c>
    </row>
    <row r="1362" spans="1:13" ht="15.75" x14ac:dyDescent="0.25">
      <c r="A1362" s="16" t="s">
        <v>0</v>
      </c>
      <c r="B1362" s="17" t="s">
        <v>416</v>
      </c>
      <c r="C1362" s="18">
        <v>43619</v>
      </c>
      <c r="D1362" s="19" t="s">
        <v>21</v>
      </c>
      <c r="E1362" s="20">
        <v>0.72916666666666674</v>
      </c>
      <c r="F1362" s="20">
        <v>0.89583333333333337</v>
      </c>
      <c r="G1362" s="21">
        <v>8.0000000000000036</v>
      </c>
      <c r="H1362" s="21">
        <v>3.9999999999999982</v>
      </c>
      <c r="I1362" s="21">
        <v>3.9999999999999982</v>
      </c>
      <c r="J1362" s="24" t="s">
        <v>9</v>
      </c>
      <c r="K1362" s="23" t="s">
        <v>428</v>
      </c>
      <c r="L1362" s="59">
        <v>1</v>
      </c>
      <c r="M1362" s="17" t="str">
        <f t="shared" si="24"/>
        <v>Jun_2019</v>
      </c>
    </row>
    <row r="1363" spans="1:13" ht="15.75" x14ac:dyDescent="0.25">
      <c r="A1363" s="16" t="s">
        <v>0</v>
      </c>
      <c r="B1363" s="17" t="s">
        <v>417</v>
      </c>
      <c r="C1363" s="18">
        <v>43619</v>
      </c>
      <c r="D1363" s="19" t="s">
        <v>21</v>
      </c>
      <c r="E1363" s="20">
        <v>0.72916666666666674</v>
      </c>
      <c r="F1363" s="20">
        <v>0.89583333333333337</v>
      </c>
      <c r="G1363" s="21">
        <v>8.0000000000000036</v>
      </c>
      <c r="H1363" s="21">
        <v>3.9999999999999982</v>
      </c>
      <c r="I1363" s="21">
        <v>3.9999999999999982</v>
      </c>
      <c r="J1363" s="24" t="s">
        <v>9</v>
      </c>
      <c r="K1363" s="23" t="s">
        <v>428</v>
      </c>
      <c r="L1363" s="59">
        <v>1</v>
      </c>
      <c r="M1363" s="17" t="str">
        <f t="shared" si="24"/>
        <v>Jun_2019</v>
      </c>
    </row>
    <row r="1364" spans="1:13" ht="15.75" x14ac:dyDescent="0.25">
      <c r="A1364" s="16" t="s">
        <v>0</v>
      </c>
      <c r="B1364" s="17" t="s">
        <v>12</v>
      </c>
      <c r="C1364" s="18">
        <v>43644</v>
      </c>
      <c r="D1364" s="19" t="s">
        <v>17</v>
      </c>
      <c r="E1364" s="20">
        <v>0.72916666666666674</v>
      </c>
      <c r="F1364" s="20">
        <v>0.91666666666666663</v>
      </c>
      <c r="G1364" s="21">
        <v>8.0000000000000036</v>
      </c>
      <c r="H1364" s="21">
        <v>4.4999999999999964</v>
      </c>
      <c r="I1364" s="21">
        <v>4.4999999999999964</v>
      </c>
      <c r="J1364" s="24" t="s">
        <v>9</v>
      </c>
      <c r="K1364" s="23" t="s">
        <v>429</v>
      </c>
      <c r="L1364" s="59">
        <v>1</v>
      </c>
      <c r="M1364" s="17" t="str">
        <f t="shared" si="24"/>
        <v>Jun_2019</v>
      </c>
    </row>
    <row r="1365" spans="1:13" ht="15.75" x14ac:dyDescent="0.25">
      <c r="A1365" s="16" t="s">
        <v>0</v>
      </c>
      <c r="B1365" s="17" t="s">
        <v>68</v>
      </c>
      <c r="C1365" s="18">
        <v>43644</v>
      </c>
      <c r="D1365" s="19" t="s">
        <v>17</v>
      </c>
      <c r="E1365" s="20">
        <v>0.72916666666666674</v>
      </c>
      <c r="F1365" s="20">
        <v>0.85416666666666663</v>
      </c>
      <c r="G1365" s="21">
        <v>8.0000000000000036</v>
      </c>
      <c r="H1365" s="21">
        <v>2.9999999999999947</v>
      </c>
      <c r="I1365" s="21">
        <v>2.9999999999999947</v>
      </c>
      <c r="J1365" s="24" t="s">
        <v>9</v>
      </c>
      <c r="K1365" s="23" t="s">
        <v>429</v>
      </c>
      <c r="L1365" s="59">
        <v>1</v>
      </c>
      <c r="M1365" s="17" t="str">
        <f t="shared" si="24"/>
        <v>Jun_2019</v>
      </c>
    </row>
    <row r="1366" spans="1:13" ht="15.75" x14ac:dyDescent="0.25">
      <c r="A1366" s="16" t="s">
        <v>0</v>
      </c>
      <c r="B1366" s="17" t="s">
        <v>69</v>
      </c>
      <c r="C1366" s="18">
        <v>43644</v>
      </c>
      <c r="D1366" s="19" t="s">
        <v>17</v>
      </c>
      <c r="E1366" s="20">
        <v>0.72916666666666674</v>
      </c>
      <c r="F1366" s="20">
        <v>0.85416666666666663</v>
      </c>
      <c r="G1366" s="21">
        <v>8.0000000000000036</v>
      </c>
      <c r="H1366" s="21">
        <v>2.9999999999999947</v>
      </c>
      <c r="I1366" s="21">
        <v>2.9999999999999947</v>
      </c>
      <c r="J1366" s="24" t="s">
        <v>9</v>
      </c>
      <c r="K1366" s="23" t="s">
        <v>429</v>
      </c>
      <c r="L1366" s="59">
        <v>1</v>
      </c>
      <c r="M1366" s="17" t="str">
        <f t="shared" si="24"/>
        <v>Jun_2019</v>
      </c>
    </row>
    <row r="1367" spans="1:13" ht="15.75" x14ac:dyDescent="0.25">
      <c r="A1367" s="16" t="s">
        <v>0</v>
      </c>
      <c r="B1367" s="17" t="s">
        <v>361</v>
      </c>
      <c r="C1367" s="18">
        <v>43644</v>
      </c>
      <c r="D1367" s="19" t="s">
        <v>17</v>
      </c>
      <c r="E1367" s="20">
        <v>0.72916666666666674</v>
      </c>
      <c r="F1367" s="20">
        <v>0.91666666666666663</v>
      </c>
      <c r="G1367" s="21">
        <v>8.0000000000000036</v>
      </c>
      <c r="H1367" s="21">
        <v>4.4999999999999964</v>
      </c>
      <c r="I1367" s="21">
        <v>4.4999999999999964</v>
      </c>
      <c r="J1367" s="24" t="s">
        <v>9</v>
      </c>
      <c r="K1367" s="23" t="s">
        <v>429</v>
      </c>
      <c r="L1367" s="59">
        <v>1</v>
      </c>
      <c r="M1367" s="17" t="str">
        <f t="shared" si="24"/>
        <v>Jun_2019</v>
      </c>
    </row>
    <row r="1368" spans="1:13" ht="15.75" x14ac:dyDescent="0.25">
      <c r="A1368" s="16" t="s">
        <v>0</v>
      </c>
      <c r="B1368" s="17" t="s">
        <v>367</v>
      </c>
      <c r="C1368" s="18">
        <v>43644</v>
      </c>
      <c r="D1368" s="19" t="s">
        <v>17</v>
      </c>
      <c r="E1368" s="20">
        <v>0.72916666666666674</v>
      </c>
      <c r="F1368" s="20">
        <v>0.91666666666666663</v>
      </c>
      <c r="G1368" s="21">
        <v>8.0000000000000036</v>
      </c>
      <c r="H1368" s="21">
        <v>4.4999999999999964</v>
      </c>
      <c r="I1368" s="21">
        <v>4.4999999999999964</v>
      </c>
      <c r="J1368" s="24" t="s">
        <v>9</v>
      </c>
      <c r="K1368" s="23" t="s">
        <v>429</v>
      </c>
      <c r="L1368" s="59">
        <v>1</v>
      </c>
      <c r="M1368" s="17" t="str">
        <f t="shared" si="24"/>
        <v>Jun_2019</v>
      </c>
    </row>
    <row r="1369" spans="1:13" ht="15.75" x14ac:dyDescent="0.25">
      <c r="A1369" s="16" t="s">
        <v>0</v>
      </c>
      <c r="B1369" s="17" t="s">
        <v>393</v>
      </c>
      <c r="C1369" s="18">
        <v>43644</v>
      </c>
      <c r="D1369" s="19" t="s">
        <v>17</v>
      </c>
      <c r="E1369" s="20">
        <v>0.6875</v>
      </c>
      <c r="F1369" s="20">
        <v>0.85416666666666663</v>
      </c>
      <c r="G1369" s="21">
        <v>8.0000000000000036</v>
      </c>
      <c r="H1369" s="21">
        <v>3.9999999999999964</v>
      </c>
      <c r="I1369" s="21">
        <v>3.9999999999999964</v>
      </c>
      <c r="J1369" s="24" t="s">
        <v>9</v>
      </c>
      <c r="K1369" s="23" t="s">
        <v>429</v>
      </c>
      <c r="L1369" s="59">
        <v>1</v>
      </c>
      <c r="M1369" s="17" t="str">
        <f t="shared" si="24"/>
        <v>Jun_2019</v>
      </c>
    </row>
    <row r="1370" spans="1:13" ht="15.75" x14ac:dyDescent="0.25">
      <c r="A1370" s="16" t="s">
        <v>0</v>
      </c>
      <c r="B1370" s="17" t="s">
        <v>416</v>
      </c>
      <c r="C1370" s="18">
        <v>43644</v>
      </c>
      <c r="D1370" s="19" t="s">
        <v>17</v>
      </c>
      <c r="E1370" s="20">
        <v>0.72916666666666674</v>
      </c>
      <c r="F1370" s="20">
        <v>0.91666666666666663</v>
      </c>
      <c r="G1370" s="21">
        <v>8.0000000000000036</v>
      </c>
      <c r="H1370" s="21">
        <v>4.4999999999999964</v>
      </c>
      <c r="I1370" s="21">
        <v>4.4999999999999964</v>
      </c>
      <c r="J1370" s="24" t="s">
        <v>9</v>
      </c>
      <c r="K1370" s="23" t="s">
        <v>429</v>
      </c>
      <c r="L1370" s="59">
        <v>1</v>
      </c>
      <c r="M1370" s="17" t="str">
        <f t="shared" si="24"/>
        <v>Jun_2019</v>
      </c>
    </row>
    <row r="1371" spans="1:13" ht="15.75" x14ac:dyDescent="0.25">
      <c r="A1371" s="16" t="s">
        <v>0</v>
      </c>
      <c r="B1371" s="17" t="s">
        <v>417</v>
      </c>
      <c r="C1371" s="18">
        <v>43644</v>
      </c>
      <c r="D1371" s="19" t="s">
        <v>17</v>
      </c>
      <c r="E1371" s="20">
        <v>0.72916666666666674</v>
      </c>
      <c r="F1371" s="20">
        <v>0.89583333333333337</v>
      </c>
      <c r="G1371" s="21">
        <v>8.0000000000000036</v>
      </c>
      <c r="H1371" s="21">
        <v>3.9999999999999982</v>
      </c>
      <c r="I1371" s="21">
        <v>3.9999999999999982</v>
      </c>
      <c r="J1371" s="24" t="s">
        <v>9</v>
      </c>
      <c r="K1371" s="23" t="s">
        <v>429</v>
      </c>
      <c r="L1371" s="59">
        <v>1</v>
      </c>
      <c r="M1371" s="17" t="str">
        <f t="shared" si="24"/>
        <v>Jun_2019</v>
      </c>
    </row>
    <row r="1372" spans="1:13" ht="15.75" x14ac:dyDescent="0.25">
      <c r="A1372" s="16" t="s">
        <v>0</v>
      </c>
      <c r="B1372" s="17" t="s">
        <v>430</v>
      </c>
      <c r="C1372" s="18">
        <v>43644</v>
      </c>
      <c r="D1372" s="19" t="s">
        <v>17</v>
      </c>
      <c r="E1372" s="20">
        <v>0.72916666666666674</v>
      </c>
      <c r="F1372" s="20">
        <v>0.91666666666666663</v>
      </c>
      <c r="G1372" s="21">
        <v>8.0000000000000036</v>
      </c>
      <c r="H1372" s="21">
        <v>4.4999999999999964</v>
      </c>
      <c r="I1372" s="21">
        <v>4.4999999999999964</v>
      </c>
      <c r="J1372" s="24" t="s">
        <v>9</v>
      </c>
      <c r="K1372" s="23" t="s">
        <v>429</v>
      </c>
      <c r="L1372" s="59">
        <v>1</v>
      </c>
      <c r="M1372" s="17" t="str">
        <f t="shared" si="24"/>
        <v>Jun_2019</v>
      </c>
    </row>
    <row r="1373" spans="1:13" ht="15.75" x14ac:dyDescent="0.25">
      <c r="A1373" s="16" t="s">
        <v>0</v>
      </c>
      <c r="B1373" s="17" t="s">
        <v>431</v>
      </c>
      <c r="C1373" s="18">
        <v>43647</v>
      </c>
      <c r="D1373" s="19" t="s">
        <v>21</v>
      </c>
      <c r="E1373" s="20">
        <v>0.72916666666666674</v>
      </c>
      <c r="F1373" s="20">
        <v>0.89583333333333337</v>
      </c>
      <c r="G1373" s="21">
        <v>8.0000000000000036</v>
      </c>
      <c r="H1373" s="21">
        <v>3.9999999999999982</v>
      </c>
      <c r="I1373" s="21">
        <v>3.9999999999999982</v>
      </c>
      <c r="J1373" s="24" t="s">
        <v>9</v>
      </c>
      <c r="K1373" s="23" t="s">
        <v>437</v>
      </c>
      <c r="L1373" s="17">
        <v>1</v>
      </c>
      <c r="M1373" s="17" t="str">
        <f>IF($C1373="","",TEXT(DATE(YEAR($C1373),MONTH($C1373),DAY($C1373)),"MMM")&amp;"_"&amp;YEAR($C1373))</f>
        <v>Jul_2019</v>
      </c>
    </row>
    <row r="1374" spans="1:13" ht="15.75" x14ac:dyDescent="0.25">
      <c r="A1374" s="16" t="s">
        <v>0</v>
      </c>
      <c r="B1374" s="17" t="s">
        <v>12</v>
      </c>
      <c r="C1374" s="18">
        <v>43647</v>
      </c>
      <c r="D1374" s="19" t="s">
        <v>21</v>
      </c>
      <c r="E1374" s="20">
        <v>0.72916666666666674</v>
      </c>
      <c r="F1374" s="20">
        <v>0.89583333333333337</v>
      </c>
      <c r="G1374" s="21">
        <v>8.0000000000000036</v>
      </c>
      <c r="H1374" s="21">
        <v>3.9999999999999982</v>
      </c>
      <c r="I1374" s="21">
        <v>3.9999999999999982</v>
      </c>
      <c r="J1374" s="24" t="s">
        <v>9</v>
      </c>
      <c r="K1374" s="23" t="s">
        <v>437</v>
      </c>
      <c r="L1374" s="17">
        <v>1</v>
      </c>
      <c r="M1374" s="17" t="str">
        <f t="shared" ref="M1374:M1420" si="25">IF($C1374="","",TEXT(DATE(YEAR($C1374),MONTH($C1374),DAY($C1374)),"MMM")&amp;"_"&amp;YEAR($C1374))</f>
        <v>Jul_2019</v>
      </c>
    </row>
    <row r="1375" spans="1:13" ht="15.75" x14ac:dyDescent="0.25">
      <c r="A1375" s="16" t="s">
        <v>0</v>
      </c>
      <c r="B1375" s="17" t="s">
        <v>68</v>
      </c>
      <c r="C1375" s="18">
        <v>43647</v>
      </c>
      <c r="D1375" s="19" t="s">
        <v>21</v>
      </c>
      <c r="E1375" s="20">
        <v>0.72916666666666674</v>
      </c>
      <c r="F1375" s="20">
        <v>0.89583333333333337</v>
      </c>
      <c r="G1375" s="21">
        <v>8.0000000000000036</v>
      </c>
      <c r="H1375" s="21">
        <v>3.9999999999999982</v>
      </c>
      <c r="I1375" s="21">
        <v>3.9999999999999982</v>
      </c>
      <c r="J1375" s="24" t="s">
        <v>9</v>
      </c>
      <c r="K1375" s="23" t="s">
        <v>437</v>
      </c>
      <c r="L1375" s="17">
        <v>1</v>
      </c>
      <c r="M1375" s="17" t="str">
        <f t="shared" si="25"/>
        <v>Jul_2019</v>
      </c>
    </row>
    <row r="1376" spans="1:13" ht="15.75" x14ac:dyDescent="0.25">
      <c r="A1376" s="16" t="s">
        <v>0</v>
      </c>
      <c r="B1376" s="17" t="s">
        <v>69</v>
      </c>
      <c r="C1376" s="18">
        <v>43647</v>
      </c>
      <c r="D1376" s="19" t="s">
        <v>21</v>
      </c>
      <c r="E1376" s="20">
        <v>0.72916666666666674</v>
      </c>
      <c r="F1376" s="20">
        <v>0.89583333333333337</v>
      </c>
      <c r="G1376" s="21">
        <v>8.0000000000000036</v>
      </c>
      <c r="H1376" s="21">
        <v>3.9999999999999982</v>
      </c>
      <c r="I1376" s="21">
        <v>3.9999999999999982</v>
      </c>
      <c r="J1376" s="24" t="s">
        <v>9</v>
      </c>
      <c r="K1376" s="23" t="s">
        <v>437</v>
      </c>
      <c r="L1376" s="17">
        <v>1</v>
      </c>
      <c r="M1376" s="17" t="str">
        <f t="shared" si="25"/>
        <v>Jul_2019</v>
      </c>
    </row>
    <row r="1377" spans="1:13" ht="15.75" x14ac:dyDescent="0.25">
      <c r="A1377" s="16" t="s">
        <v>0</v>
      </c>
      <c r="B1377" s="17" t="s">
        <v>361</v>
      </c>
      <c r="C1377" s="18">
        <v>43647</v>
      </c>
      <c r="D1377" s="19" t="s">
        <v>21</v>
      </c>
      <c r="E1377" s="20">
        <v>0.6875</v>
      </c>
      <c r="F1377" s="20">
        <v>0.85416666666666663</v>
      </c>
      <c r="G1377" s="21">
        <v>8.0000000000000036</v>
      </c>
      <c r="H1377" s="21">
        <v>3.9999999999999964</v>
      </c>
      <c r="I1377" s="21">
        <v>3.9999999999999964</v>
      </c>
      <c r="J1377" s="24" t="s">
        <v>9</v>
      </c>
      <c r="K1377" s="23" t="s">
        <v>437</v>
      </c>
      <c r="L1377" s="17">
        <v>1</v>
      </c>
      <c r="M1377" s="17" t="str">
        <f t="shared" si="25"/>
        <v>Jul_2019</v>
      </c>
    </row>
    <row r="1378" spans="1:13" ht="15.75" x14ac:dyDescent="0.25">
      <c r="A1378" s="16" t="s">
        <v>0</v>
      </c>
      <c r="B1378" s="17" t="s">
        <v>367</v>
      </c>
      <c r="C1378" s="18">
        <v>43647</v>
      </c>
      <c r="D1378" s="19" t="s">
        <v>21</v>
      </c>
      <c r="E1378" s="20">
        <v>0.72916666666666674</v>
      </c>
      <c r="F1378" s="20">
        <v>0.89583333333333337</v>
      </c>
      <c r="G1378" s="21">
        <v>8.0000000000000036</v>
      </c>
      <c r="H1378" s="21">
        <v>3.9999999999999982</v>
      </c>
      <c r="I1378" s="21">
        <v>3.9999999999999982</v>
      </c>
      <c r="J1378" s="24" t="s">
        <v>9</v>
      </c>
      <c r="K1378" s="23" t="s">
        <v>437</v>
      </c>
      <c r="L1378" s="17">
        <v>1</v>
      </c>
      <c r="M1378" s="17" t="str">
        <f t="shared" si="25"/>
        <v>Jul_2019</v>
      </c>
    </row>
    <row r="1379" spans="1:13" ht="15.75" x14ac:dyDescent="0.25">
      <c r="A1379" s="16" t="s">
        <v>0</v>
      </c>
      <c r="B1379" s="17" t="s">
        <v>393</v>
      </c>
      <c r="C1379" s="18">
        <v>43647</v>
      </c>
      <c r="D1379" s="19" t="s">
        <v>21</v>
      </c>
      <c r="E1379" s="20">
        <v>0.72916666666666674</v>
      </c>
      <c r="F1379" s="20">
        <v>0.89583333333333337</v>
      </c>
      <c r="G1379" s="21">
        <v>8.0000000000000036</v>
      </c>
      <c r="H1379" s="21">
        <v>3.9999999999999982</v>
      </c>
      <c r="I1379" s="21">
        <v>3.9999999999999982</v>
      </c>
      <c r="J1379" s="24" t="s">
        <v>9</v>
      </c>
      <c r="K1379" s="23" t="s">
        <v>437</v>
      </c>
      <c r="L1379" s="17">
        <v>1</v>
      </c>
      <c r="M1379" s="17" t="str">
        <f t="shared" si="25"/>
        <v>Jul_2019</v>
      </c>
    </row>
    <row r="1380" spans="1:13" ht="15.75" x14ac:dyDescent="0.25">
      <c r="A1380" s="16" t="s">
        <v>0</v>
      </c>
      <c r="B1380" s="17" t="s">
        <v>416</v>
      </c>
      <c r="C1380" s="18">
        <v>43647</v>
      </c>
      <c r="D1380" s="19" t="s">
        <v>21</v>
      </c>
      <c r="E1380" s="20">
        <v>0.72916666666666674</v>
      </c>
      <c r="F1380" s="20">
        <v>0.89583333333333337</v>
      </c>
      <c r="G1380" s="21">
        <v>8.0000000000000036</v>
      </c>
      <c r="H1380" s="21">
        <v>3.9999999999999982</v>
      </c>
      <c r="I1380" s="21">
        <v>3.9999999999999982</v>
      </c>
      <c r="J1380" s="24" t="s">
        <v>9</v>
      </c>
      <c r="K1380" s="23" t="s">
        <v>437</v>
      </c>
      <c r="L1380" s="17">
        <v>1</v>
      </c>
      <c r="M1380" s="17" t="str">
        <f t="shared" si="25"/>
        <v>Jul_2019</v>
      </c>
    </row>
    <row r="1381" spans="1:13" ht="15.75" x14ac:dyDescent="0.25">
      <c r="A1381" s="16" t="s">
        <v>0</v>
      </c>
      <c r="B1381" s="17" t="s">
        <v>417</v>
      </c>
      <c r="C1381" s="18">
        <v>43647</v>
      </c>
      <c r="D1381" s="19" t="s">
        <v>21</v>
      </c>
      <c r="E1381" s="20">
        <v>0.72916666666666674</v>
      </c>
      <c r="F1381" s="20">
        <v>0.89583333333333337</v>
      </c>
      <c r="G1381" s="21">
        <v>8.0000000000000036</v>
      </c>
      <c r="H1381" s="21">
        <v>3.9999999999999982</v>
      </c>
      <c r="I1381" s="21">
        <v>3.9999999999999982</v>
      </c>
      <c r="J1381" s="24" t="s">
        <v>9</v>
      </c>
      <c r="K1381" s="23" t="s">
        <v>437</v>
      </c>
      <c r="L1381" s="17">
        <v>1</v>
      </c>
      <c r="M1381" s="17" t="str">
        <f t="shared" si="25"/>
        <v>Jul_2019</v>
      </c>
    </row>
    <row r="1382" spans="1:13" ht="15.75" x14ac:dyDescent="0.25">
      <c r="A1382" s="16" t="s">
        <v>0</v>
      </c>
      <c r="B1382" s="17" t="s">
        <v>430</v>
      </c>
      <c r="C1382" s="18">
        <v>43647</v>
      </c>
      <c r="D1382" s="19" t="s">
        <v>21</v>
      </c>
      <c r="E1382" s="20">
        <v>0.72916666666666674</v>
      </c>
      <c r="F1382" s="20">
        <v>0.89583333333333337</v>
      </c>
      <c r="G1382" s="21">
        <v>8.0000000000000036</v>
      </c>
      <c r="H1382" s="21">
        <v>3.9999999999999982</v>
      </c>
      <c r="I1382" s="21">
        <v>3.9999999999999982</v>
      </c>
      <c r="J1382" s="24" t="s">
        <v>9</v>
      </c>
      <c r="K1382" s="23" t="s">
        <v>437</v>
      </c>
      <c r="L1382" s="17">
        <v>1</v>
      </c>
      <c r="M1382" s="17" t="str">
        <f t="shared" si="25"/>
        <v>Jul_2019</v>
      </c>
    </row>
    <row r="1383" spans="1:13" ht="15.75" x14ac:dyDescent="0.25">
      <c r="A1383" s="16" t="s">
        <v>0</v>
      </c>
      <c r="B1383" s="17" t="s">
        <v>431</v>
      </c>
      <c r="C1383" s="18">
        <v>43648</v>
      </c>
      <c r="D1383" s="19" t="s">
        <v>16</v>
      </c>
      <c r="E1383" s="20">
        <v>0.72916666666666674</v>
      </c>
      <c r="F1383" s="20">
        <v>0.89583333333333337</v>
      </c>
      <c r="G1383" s="21">
        <v>8.0000000000000036</v>
      </c>
      <c r="H1383" s="21">
        <v>3.9999999999999982</v>
      </c>
      <c r="I1383" s="21">
        <v>3.9999999999999982</v>
      </c>
      <c r="J1383" s="24" t="s">
        <v>9</v>
      </c>
      <c r="K1383" s="23" t="s">
        <v>438</v>
      </c>
      <c r="L1383" s="17">
        <v>1</v>
      </c>
      <c r="M1383" s="17" t="str">
        <f t="shared" si="25"/>
        <v>Jul_2019</v>
      </c>
    </row>
    <row r="1384" spans="1:13" ht="15.75" x14ac:dyDescent="0.25">
      <c r="A1384" s="16" t="s">
        <v>0</v>
      </c>
      <c r="B1384" s="17" t="s">
        <v>12</v>
      </c>
      <c r="C1384" s="18">
        <v>43648</v>
      </c>
      <c r="D1384" s="19" t="s">
        <v>16</v>
      </c>
      <c r="E1384" s="20">
        <v>0.72916666666666674</v>
      </c>
      <c r="F1384" s="20">
        <v>0.89583333333333337</v>
      </c>
      <c r="G1384" s="21">
        <v>8.0000000000000036</v>
      </c>
      <c r="H1384" s="21">
        <v>3.9999999999999982</v>
      </c>
      <c r="I1384" s="21">
        <v>3.9999999999999982</v>
      </c>
      <c r="J1384" s="24" t="s">
        <v>9</v>
      </c>
      <c r="K1384" s="23" t="s">
        <v>438</v>
      </c>
      <c r="L1384" s="17">
        <v>1</v>
      </c>
      <c r="M1384" s="17" t="str">
        <f t="shared" si="25"/>
        <v>Jul_2019</v>
      </c>
    </row>
    <row r="1385" spans="1:13" ht="15.75" x14ac:dyDescent="0.25">
      <c r="A1385" s="16" t="s">
        <v>0</v>
      </c>
      <c r="B1385" s="17" t="s">
        <v>68</v>
      </c>
      <c r="C1385" s="18">
        <v>43648</v>
      </c>
      <c r="D1385" s="19" t="s">
        <v>16</v>
      </c>
      <c r="E1385" s="20">
        <v>0.72916666666666674</v>
      </c>
      <c r="F1385" s="20">
        <v>0.89583333333333337</v>
      </c>
      <c r="G1385" s="21">
        <v>8.0000000000000036</v>
      </c>
      <c r="H1385" s="21">
        <v>3.9999999999999982</v>
      </c>
      <c r="I1385" s="21">
        <v>3.9999999999999982</v>
      </c>
      <c r="J1385" s="24" t="s">
        <v>9</v>
      </c>
      <c r="K1385" s="23" t="s">
        <v>438</v>
      </c>
      <c r="L1385" s="17">
        <v>1</v>
      </c>
      <c r="M1385" s="17" t="str">
        <f t="shared" si="25"/>
        <v>Jul_2019</v>
      </c>
    </row>
    <row r="1386" spans="1:13" ht="15.75" x14ac:dyDescent="0.25">
      <c r="A1386" s="16" t="s">
        <v>0</v>
      </c>
      <c r="B1386" s="17" t="s">
        <v>69</v>
      </c>
      <c r="C1386" s="18">
        <v>43648</v>
      </c>
      <c r="D1386" s="19" t="s">
        <v>16</v>
      </c>
      <c r="E1386" s="20">
        <v>0.6875</v>
      </c>
      <c r="F1386" s="20">
        <v>0.85416666666666663</v>
      </c>
      <c r="G1386" s="21">
        <v>8.0000000000000036</v>
      </c>
      <c r="H1386" s="21">
        <v>3.9999999999999964</v>
      </c>
      <c r="I1386" s="21">
        <v>3.9999999999999964</v>
      </c>
      <c r="J1386" s="24" t="s">
        <v>9</v>
      </c>
      <c r="K1386" s="23" t="s">
        <v>438</v>
      </c>
      <c r="L1386" s="17">
        <v>1</v>
      </c>
      <c r="M1386" s="17" t="str">
        <f t="shared" si="25"/>
        <v>Jul_2019</v>
      </c>
    </row>
    <row r="1387" spans="1:13" ht="15.75" x14ac:dyDescent="0.25">
      <c r="A1387" s="16" t="s">
        <v>0</v>
      </c>
      <c r="B1387" s="17" t="s">
        <v>361</v>
      </c>
      <c r="C1387" s="18">
        <v>43648</v>
      </c>
      <c r="D1387" s="19" t="s">
        <v>16</v>
      </c>
      <c r="E1387" s="20">
        <v>0.72916666666666674</v>
      </c>
      <c r="F1387" s="20">
        <v>0.89583333333333337</v>
      </c>
      <c r="G1387" s="21">
        <v>8.0000000000000036</v>
      </c>
      <c r="H1387" s="21">
        <v>3.9999999999999982</v>
      </c>
      <c r="I1387" s="21">
        <v>3.9999999999999982</v>
      </c>
      <c r="J1387" s="24" t="s">
        <v>9</v>
      </c>
      <c r="K1387" s="23" t="s">
        <v>438</v>
      </c>
      <c r="L1387" s="17">
        <v>1</v>
      </c>
      <c r="M1387" s="17" t="str">
        <f t="shared" si="25"/>
        <v>Jul_2019</v>
      </c>
    </row>
    <row r="1388" spans="1:13" ht="15.75" x14ac:dyDescent="0.25">
      <c r="A1388" s="16" t="s">
        <v>0</v>
      </c>
      <c r="B1388" s="17" t="s">
        <v>367</v>
      </c>
      <c r="C1388" s="18">
        <v>43648</v>
      </c>
      <c r="D1388" s="19" t="s">
        <v>16</v>
      </c>
      <c r="E1388" s="20">
        <v>0.72916666666666674</v>
      </c>
      <c r="F1388" s="20">
        <v>0.89583333333333337</v>
      </c>
      <c r="G1388" s="21">
        <v>8.0000000000000036</v>
      </c>
      <c r="H1388" s="21">
        <v>3.9999999999999982</v>
      </c>
      <c r="I1388" s="21">
        <v>3.9999999999999982</v>
      </c>
      <c r="J1388" s="24" t="s">
        <v>9</v>
      </c>
      <c r="K1388" s="23" t="s">
        <v>438</v>
      </c>
      <c r="L1388" s="17">
        <v>1</v>
      </c>
      <c r="M1388" s="17" t="str">
        <f t="shared" si="25"/>
        <v>Jul_2019</v>
      </c>
    </row>
    <row r="1389" spans="1:13" ht="15.75" x14ac:dyDescent="0.25">
      <c r="A1389" s="16" t="s">
        <v>0</v>
      </c>
      <c r="B1389" s="17" t="s">
        <v>393</v>
      </c>
      <c r="C1389" s="18">
        <v>43648</v>
      </c>
      <c r="D1389" s="19" t="s">
        <v>16</v>
      </c>
      <c r="E1389" s="20">
        <v>0.72916666666666674</v>
      </c>
      <c r="F1389" s="20">
        <v>0.89583333333333337</v>
      </c>
      <c r="G1389" s="21">
        <v>8.0000000000000036</v>
      </c>
      <c r="H1389" s="21">
        <v>3.9999999999999982</v>
      </c>
      <c r="I1389" s="21">
        <v>3.9999999999999982</v>
      </c>
      <c r="J1389" s="24" t="s">
        <v>9</v>
      </c>
      <c r="K1389" s="23" t="s">
        <v>438</v>
      </c>
      <c r="L1389" s="17">
        <v>1</v>
      </c>
      <c r="M1389" s="17" t="str">
        <f t="shared" si="25"/>
        <v>Jul_2019</v>
      </c>
    </row>
    <row r="1390" spans="1:13" ht="15.75" x14ac:dyDescent="0.25">
      <c r="A1390" s="16" t="s">
        <v>0</v>
      </c>
      <c r="B1390" s="17" t="s">
        <v>416</v>
      </c>
      <c r="C1390" s="18">
        <v>43648</v>
      </c>
      <c r="D1390" s="19" t="s">
        <v>16</v>
      </c>
      <c r="E1390" s="20">
        <v>0.72916666666666674</v>
      </c>
      <c r="F1390" s="20">
        <v>0.89583333333333337</v>
      </c>
      <c r="G1390" s="21">
        <v>8.0000000000000036</v>
      </c>
      <c r="H1390" s="21">
        <v>3.9999999999999982</v>
      </c>
      <c r="I1390" s="21">
        <v>3.9999999999999982</v>
      </c>
      <c r="J1390" s="24" t="s">
        <v>9</v>
      </c>
      <c r="K1390" s="23" t="s">
        <v>438</v>
      </c>
      <c r="L1390" s="17">
        <v>1</v>
      </c>
      <c r="M1390" s="17" t="str">
        <f t="shared" si="25"/>
        <v>Jul_2019</v>
      </c>
    </row>
    <row r="1391" spans="1:13" ht="15.75" x14ac:dyDescent="0.25">
      <c r="A1391" s="16" t="s">
        <v>0</v>
      </c>
      <c r="B1391" s="17" t="s">
        <v>417</v>
      </c>
      <c r="C1391" s="18">
        <v>43648</v>
      </c>
      <c r="D1391" s="19" t="s">
        <v>16</v>
      </c>
      <c r="E1391" s="20">
        <v>0.72916666666666674</v>
      </c>
      <c r="F1391" s="20">
        <v>0.89583333333333337</v>
      </c>
      <c r="G1391" s="21">
        <v>8.0000000000000036</v>
      </c>
      <c r="H1391" s="21">
        <v>3.9999999999999982</v>
      </c>
      <c r="I1391" s="21">
        <v>3.9999999999999982</v>
      </c>
      <c r="J1391" s="24" t="s">
        <v>9</v>
      </c>
      <c r="K1391" s="23" t="s">
        <v>438</v>
      </c>
      <c r="L1391" s="17">
        <v>1</v>
      </c>
      <c r="M1391" s="17" t="str">
        <f t="shared" si="25"/>
        <v>Jul_2019</v>
      </c>
    </row>
    <row r="1392" spans="1:13" ht="15.75" x14ac:dyDescent="0.25">
      <c r="A1392" s="16" t="s">
        <v>0</v>
      </c>
      <c r="B1392" s="17" t="s">
        <v>430</v>
      </c>
      <c r="C1392" s="18">
        <v>43648</v>
      </c>
      <c r="D1392" s="19" t="s">
        <v>16</v>
      </c>
      <c r="E1392" s="20">
        <v>0.72916666666666674</v>
      </c>
      <c r="F1392" s="20">
        <v>0.89583333333333337</v>
      </c>
      <c r="G1392" s="21">
        <v>8.0000000000000036</v>
      </c>
      <c r="H1392" s="21">
        <v>3.9999999999999982</v>
      </c>
      <c r="I1392" s="21">
        <v>3.9999999999999982</v>
      </c>
      <c r="J1392" s="24" t="s">
        <v>9</v>
      </c>
      <c r="K1392" s="23" t="s">
        <v>438</v>
      </c>
      <c r="L1392" s="17">
        <v>1</v>
      </c>
      <c r="M1392" s="17" t="str">
        <f t="shared" si="25"/>
        <v>Jul_2019</v>
      </c>
    </row>
    <row r="1393" spans="1:13" ht="15.75" x14ac:dyDescent="0.25">
      <c r="A1393" s="16" t="s">
        <v>0</v>
      </c>
      <c r="B1393" s="17" t="s">
        <v>431</v>
      </c>
      <c r="C1393" s="18">
        <v>43649</v>
      </c>
      <c r="D1393" s="19" t="s">
        <v>19</v>
      </c>
      <c r="E1393" s="20">
        <v>0.72916666666666674</v>
      </c>
      <c r="F1393" s="20">
        <v>0.89583333333333337</v>
      </c>
      <c r="G1393" s="21">
        <v>8.0000000000000036</v>
      </c>
      <c r="H1393" s="21">
        <v>3.9999999999999982</v>
      </c>
      <c r="I1393" s="21">
        <v>3.9999999999999982</v>
      </c>
      <c r="J1393" s="24" t="s">
        <v>9</v>
      </c>
      <c r="K1393" s="23" t="s">
        <v>439</v>
      </c>
      <c r="L1393" s="17">
        <v>1</v>
      </c>
      <c r="M1393" s="17" t="str">
        <f t="shared" si="25"/>
        <v>Jul_2019</v>
      </c>
    </row>
    <row r="1394" spans="1:13" ht="15.75" x14ac:dyDescent="0.25">
      <c r="A1394" s="16" t="s">
        <v>0</v>
      </c>
      <c r="B1394" s="17" t="s">
        <v>12</v>
      </c>
      <c r="C1394" s="18">
        <v>43649</v>
      </c>
      <c r="D1394" s="19" t="s">
        <v>19</v>
      </c>
      <c r="E1394" s="20">
        <v>0.72916666666666674</v>
      </c>
      <c r="F1394" s="20">
        <v>0.89583333333333337</v>
      </c>
      <c r="G1394" s="21">
        <v>8.0000000000000036</v>
      </c>
      <c r="H1394" s="21">
        <v>3.9999999999999982</v>
      </c>
      <c r="I1394" s="21">
        <v>3.9999999999999982</v>
      </c>
      <c r="J1394" s="24" t="s">
        <v>9</v>
      </c>
      <c r="K1394" s="23" t="s">
        <v>439</v>
      </c>
      <c r="L1394" s="17">
        <v>1</v>
      </c>
      <c r="M1394" s="17" t="str">
        <f t="shared" si="25"/>
        <v>Jul_2019</v>
      </c>
    </row>
    <row r="1395" spans="1:13" ht="15.75" x14ac:dyDescent="0.25">
      <c r="A1395" s="16" t="s">
        <v>0</v>
      </c>
      <c r="B1395" s="17" t="s">
        <v>68</v>
      </c>
      <c r="C1395" s="18">
        <v>43649</v>
      </c>
      <c r="D1395" s="19" t="s">
        <v>19</v>
      </c>
      <c r="E1395" s="20">
        <v>0.72916666666666674</v>
      </c>
      <c r="F1395" s="20">
        <v>0.89583333333333337</v>
      </c>
      <c r="G1395" s="21">
        <v>8.0000000000000036</v>
      </c>
      <c r="H1395" s="21">
        <v>3.9999999999999982</v>
      </c>
      <c r="I1395" s="21">
        <v>3.9999999999999982</v>
      </c>
      <c r="J1395" s="24" t="s">
        <v>9</v>
      </c>
      <c r="K1395" s="23" t="s">
        <v>439</v>
      </c>
      <c r="L1395" s="17">
        <v>1</v>
      </c>
      <c r="M1395" s="17" t="str">
        <f t="shared" si="25"/>
        <v>Jul_2019</v>
      </c>
    </row>
    <row r="1396" spans="1:13" ht="15.75" x14ac:dyDescent="0.25">
      <c r="A1396" s="16" t="s">
        <v>0</v>
      </c>
      <c r="B1396" s="17" t="s">
        <v>69</v>
      </c>
      <c r="C1396" s="18">
        <v>43649</v>
      </c>
      <c r="D1396" s="19" t="s">
        <v>19</v>
      </c>
      <c r="E1396" s="20">
        <v>0.72916666666666674</v>
      </c>
      <c r="F1396" s="20">
        <v>0.89583333333333337</v>
      </c>
      <c r="G1396" s="21">
        <v>8.0000000000000036</v>
      </c>
      <c r="H1396" s="21">
        <v>3.9999999999999982</v>
      </c>
      <c r="I1396" s="21">
        <v>3.9999999999999982</v>
      </c>
      <c r="J1396" s="24" t="s">
        <v>9</v>
      </c>
      <c r="K1396" s="23" t="s">
        <v>439</v>
      </c>
      <c r="L1396" s="17">
        <v>1</v>
      </c>
      <c r="M1396" s="17" t="str">
        <f t="shared" si="25"/>
        <v>Jul_2019</v>
      </c>
    </row>
    <row r="1397" spans="1:13" ht="15.75" x14ac:dyDescent="0.25">
      <c r="A1397" s="16" t="s">
        <v>0</v>
      </c>
      <c r="B1397" s="17" t="s">
        <v>361</v>
      </c>
      <c r="C1397" s="18">
        <v>43649</v>
      </c>
      <c r="D1397" s="19" t="s">
        <v>19</v>
      </c>
      <c r="E1397" s="20">
        <v>0.72916666666666674</v>
      </c>
      <c r="F1397" s="20">
        <v>0.89583333333333337</v>
      </c>
      <c r="G1397" s="21">
        <v>8.0000000000000036</v>
      </c>
      <c r="H1397" s="21">
        <v>3.9999999999999982</v>
      </c>
      <c r="I1397" s="21">
        <v>3.9999999999999982</v>
      </c>
      <c r="J1397" s="24" t="s">
        <v>9</v>
      </c>
      <c r="K1397" s="23" t="s">
        <v>439</v>
      </c>
      <c r="L1397" s="17">
        <v>1</v>
      </c>
      <c r="M1397" s="17" t="str">
        <f t="shared" si="25"/>
        <v>Jul_2019</v>
      </c>
    </row>
    <row r="1398" spans="1:13" ht="15.75" x14ac:dyDescent="0.25">
      <c r="A1398" s="16" t="s">
        <v>0</v>
      </c>
      <c r="B1398" s="17" t="s">
        <v>367</v>
      </c>
      <c r="C1398" s="18">
        <v>43649</v>
      </c>
      <c r="D1398" s="19" t="s">
        <v>19</v>
      </c>
      <c r="E1398" s="20">
        <v>0.72916666666666674</v>
      </c>
      <c r="F1398" s="20">
        <v>0.89583333333333337</v>
      </c>
      <c r="G1398" s="21">
        <v>8.0000000000000036</v>
      </c>
      <c r="H1398" s="21">
        <v>3.9999999999999982</v>
      </c>
      <c r="I1398" s="21">
        <v>3.9999999999999982</v>
      </c>
      <c r="J1398" s="24" t="s">
        <v>9</v>
      </c>
      <c r="K1398" s="23" t="s">
        <v>439</v>
      </c>
      <c r="L1398" s="17">
        <v>1</v>
      </c>
      <c r="M1398" s="17" t="str">
        <f t="shared" si="25"/>
        <v>Jul_2019</v>
      </c>
    </row>
    <row r="1399" spans="1:13" ht="15.75" x14ac:dyDescent="0.25">
      <c r="A1399" s="16" t="s">
        <v>0</v>
      </c>
      <c r="B1399" s="17" t="s">
        <v>393</v>
      </c>
      <c r="C1399" s="18">
        <v>43649</v>
      </c>
      <c r="D1399" s="19" t="s">
        <v>19</v>
      </c>
      <c r="E1399" s="20">
        <v>0.64583333333333326</v>
      </c>
      <c r="F1399" s="20">
        <v>0.89583333333333337</v>
      </c>
      <c r="G1399" s="21">
        <v>8.0000000000000036</v>
      </c>
      <c r="H1399" s="21">
        <v>5.9999999999999964</v>
      </c>
      <c r="I1399" s="21">
        <v>5.9999999999999964</v>
      </c>
      <c r="J1399" s="24" t="s">
        <v>9</v>
      </c>
      <c r="K1399" s="23" t="s">
        <v>439</v>
      </c>
      <c r="L1399" s="17">
        <v>1</v>
      </c>
      <c r="M1399" s="17" t="str">
        <f t="shared" si="25"/>
        <v>Jul_2019</v>
      </c>
    </row>
    <row r="1400" spans="1:13" ht="15.75" x14ac:dyDescent="0.25">
      <c r="A1400" s="16" t="s">
        <v>0</v>
      </c>
      <c r="B1400" s="17" t="s">
        <v>416</v>
      </c>
      <c r="C1400" s="18">
        <v>43649</v>
      </c>
      <c r="D1400" s="19" t="s">
        <v>19</v>
      </c>
      <c r="E1400" s="20">
        <v>0.72916666666666674</v>
      </c>
      <c r="F1400" s="20">
        <v>0.89583333333333337</v>
      </c>
      <c r="G1400" s="21">
        <v>8.0000000000000036</v>
      </c>
      <c r="H1400" s="21">
        <v>3.9999999999999982</v>
      </c>
      <c r="I1400" s="21">
        <v>3.9999999999999982</v>
      </c>
      <c r="J1400" s="24" t="s">
        <v>9</v>
      </c>
      <c r="K1400" s="23" t="s">
        <v>439</v>
      </c>
      <c r="L1400" s="17">
        <v>1</v>
      </c>
      <c r="M1400" s="17" t="str">
        <f t="shared" si="25"/>
        <v>Jul_2019</v>
      </c>
    </row>
    <row r="1401" spans="1:13" ht="15.75" x14ac:dyDescent="0.25">
      <c r="A1401" s="16" t="s">
        <v>0</v>
      </c>
      <c r="B1401" s="17" t="s">
        <v>417</v>
      </c>
      <c r="C1401" s="18">
        <v>43649</v>
      </c>
      <c r="D1401" s="19" t="s">
        <v>19</v>
      </c>
      <c r="E1401" s="20">
        <v>0.72916666666666674</v>
      </c>
      <c r="F1401" s="20">
        <v>0.89583333333333337</v>
      </c>
      <c r="G1401" s="21">
        <v>8.0000000000000036</v>
      </c>
      <c r="H1401" s="21">
        <v>3.9999999999999982</v>
      </c>
      <c r="I1401" s="21">
        <v>3.9999999999999982</v>
      </c>
      <c r="J1401" s="24" t="s">
        <v>9</v>
      </c>
      <c r="K1401" s="23" t="s">
        <v>439</v>
      </c>
      <c r="L1401" s="17">
        <v>1</v>
      </c>
      <c r="M1401" s="17" t="str">
        <f t="shared" si="25"/>
        <v>Jul_2019</v>
      </c>
    </row>
    <row r="1402" spans="1:13" ht="15.75" x14ac:dyDescent="0.25">
      <c r="A1402" s="16" t="s">
        <v>0</v>
      </c>
      <c r="B1402" s="17" t="s">
        <v>431</v>
      </c>
      <c r="C1402" s="18">
        <v>43650</v>
      </c>
      <c r="D1402" s="19" t="s">
        <v>18</v>
      </c>
      <c r="E1402" s="20">
        <v>0.72916666666666674</v>
      </c>
      <c r="F1402" s="20">
        <v>0.89583333333333337</v>
      </c>
      <c r="G1402" s="21">
        <v>8.0000000000000036</v>
      </c>
      <c r="H1402" s="21">
        <v>3.9999999999999982</v>
      </c>
      <c r="I1402" s="21">
        <v>3.9999999999999982</v>
      </c>
      <c r="J1402" s="24" t="s">
        <v>9</v>
      </c>
      <c r="K1402" s="23" t="s">
        <v>440</v>
      </c>
      <c r="L1402" s="17">
        <v>1</v>
      </c>
      <c r="M1402" s="17" t="str">
        <f t="shared" si="25"/>
        <v>Jul_2019</v>
      </c>
    </row>
    <row r="1403" spans="1:13" ht="15.75" x14ac:dyDescent="0.25">
      <c r="A1403" s="16" t="s">
        <v>0</v>
      </c>
      <c r="B1403" s="17" t="s">
        <v>12</v>
      </c>
      <c r="C1403" s="18">
        <v>43650</v>
      </c>
      <c r="D1403" s="19" t="s">
        <v>18</v>
      </c>
      <c r="E1403" s="20">
        <v>0.72916666666666674</v>
      </c>
      <c r="F1403" s="20">
        <v>0.89583333333333337</v>
      </c>
      <c r="G1403" s="21">
        <v>8.0000000000000036</v>
      </c>
      <c r="H1403" s="21">
        <v>3.9999999999999982</v>
      </c>
      <c r="I1403" s="21">
        <v>3.9999999999999982</v>
      </c>
      <c r="J1403" s="24" t="s">
        <v>9</v>
      </c>
      <c r="K1403" s="23" t="s">
        <v>440</v>
      </c>
      <c r="L1403" s="17">
        <v>1</v>
      </c>
      <c r="M1403" s="17" t="str">
        <f t="shared" si="25"/>
        <v>Jul_2019</v>
      </c>
    </row>
    <row r="1404" spans="1:13" ht="15.75" x14ac:dyDescent="0.25">
      <c r="A1404" s="16" t="s">
        <v>0</v>
      </c>
      <c r="B1404" s="17" t="s">
        <v>68</v>
      </c>
      <c r="C1404" s="18">
        <v>43650</v>
      </c>
      <c r="D1404" s="19" t="s">
        <v>18</v>
      </c>
      <c r="E1404" s="20">
        <v>0.72916666666666674</v>
      </c>
      <c r="F1404" s="20">
        <v>0.89583333333333337</v>
      </c>
      <c r="G1404" s="21">
        <v>8.0000000000000036</v>
      </c>
      <c r="H1404" s="21">
        <v>3.9999999999999982</v>
      </c>
      <c r="I1404" s="21">
        <v>3.9999999999999982</v>
      </c>
      <c r="J1404" s="24" t="s">
        <v>9</v>
      </c>
      <c r="K1404" s="23" t="s">
        <v>440</v>
      </c>
      <c r="L1404" s="17">
        <v>1</v>
      </c>
      <c r="M1404" s="17" t="str">
        <f t="shared" si="25"/>
        <v>Jul_2019</v>
      </c>
    </row>
    <row r="1405" spans="1:13" ht="15.75" x14ac:dyDescent="0.25">
      <c r="A1405" s="16" t="s">
        <v>0</v>
      </c>
      <c r="B1405" s="17" t="s">
        <v>69</v>
      </c>
      <c r="C1405" s="18">
        <v>43650</v>
      </c>
      <c r="D1405" s="19" t="s">
        <v>18</v>
      </c>
      <c r="E1405" s="20">
        <v>0.72916666666666674</v>
      </c>
      <c r="F1405" s="20">
        <v>0.89583333333333337</v>
      </c>
      <c r="G1405" s="21">
        <v>8.0000000000000036</v>
      </c>
      <c r="H1405" s="21">
        <v>3.9999999999999982</v>
      </c>
      <c r="I1405" s="21">
        <v>3.9999999999999982</v>
      </c>
      <c r="J1405" s="24" t="s">
        <v>9</v>
      </c>
      <c r="K1405" s="23" t="s">
        <v>440</v>
      </c>
      <c r="L1405" s="17">
        <v>1</v>
      </c>
      <c r="M1405" s="17" t="str">
        <f t="shared" si="25"/>
        <v>Jul_2019</v>
      </c>
    </row>
    <row r="1406" spans="1:13" ht="15.75" x14ac:dyDescent="0.25">
      <c r="A1406" s="16" t="s">
        <v>0</v>
      </c>
      <c r="B1406" s="17" t="s">
        <v>361</v>
      </c>
      <c r="C1406" s="18">
        <v>43650</v>
      </c>
      <c r="D1406" s="19" t="s">
        <v>18</v>
      </c>
      <c r="E1406" s="20">
        <v>0.6875</v>
      </c>
      <c r="F1406" s="20">
        <v>0.85416666666666663</v>
      </c>
      <c r="G1406" s="21">
        <v>8.0000000000000036</v>
      </c>
      <c r="H1406" s="21">
        <v>3.9999999999999964</v>
      </c>
      <c r="I1406" s="21">
        <v>3.9999999999999964</v>
      </c>
      <c r="J1406" s="24" t="s">
        <v>9</v>
      </c>
      <c r="K1406" s="23" t="s">
        <v>440</v>
      </c>
      <c r="L1406" s="17">
        <v>1</v>
      </c>
      <c r="M1406" s="17" t="str">
        <f t="shared" si="25"/>
        <v>Jul_2019</v>
      </c>
    </row>
    <row r="1407" spans="1:13" ht="15.75" x14ac:dyDescent="0.25">
      <c r="A1407" s="16" t="s">
        <v>0</v>
      </c>
      <c r="B1407" s="17" t="s">
        <v>367</v>
      </c>
      <c r="C1407" s="18">
        <v>43650</v>
      </c>
      <c r="D1407" s="19" t="s">
        <v>18</v>
      </c>
      <c r="E1407" s="20">
        <v>0.72916666666666674</v>
      </c>
      <c r="F1407" s="20">
        <v>0.89583333333333337</v>
      </c>
      <c r="G1407" s="21">
        <v>8.0000000000000036</v>
      </c>
      <c r="H1407" s="21">
        <v>3.9999999999999982</v>
      </c>
      <c r="I1407" s="21">
        <v>3.9999999999999982</v>
      </c>
      <c r="J1407" s="24" t="s">
        <v>9</v>
      </c>
      <c r="K1407" s="23" t="s">
        <v>440</v>
      </c>
      <c r="L1407" s="17">
        <v>1</v>
      </c>
      <c r="M1407" s="17" t="str">
        <f t="shared" si="25"/>
        <v>Jul_2019</v>
      </c>
    </row>
    <row r="1408" spans="1:13" ht="15.75" x14ac:dyDescent="0.25">
      <c r="A1408" s="16" t="s">
        <v>0</v>
      </c>
      <c r="B1408" s="17" t="s">
        <v>393</v>
      </c>
      <c r="C1408" s="18">
        <v>43650</v>
      </c>
      <c r="D1408" s="19" t="s">
        <v>18</v>
      </c>
      <c r="E1408" s="20">
        <v>0.72916666666666674</v>
      </c>
      <c r="F1408" s="20">
        <v>0.89583333333333337</v>
      </c>
      <c r="G1408" s="21">
        <v>8.0000000000000036</v>
      </c>
      <c r="H1408" s="21">
        <v>3.9999999999999982</v>
      </c>
      <c r="I1408" s="21">
        <v>3.9999999999999982</v>
      </c>
      <c r="J1408" s="24" t="s">
        <v>9</v>
      </c>
      <c r="K1408" s="23" t="s">
        <v>440</v>
      </c>
      <c r="L1408" s="17">
        <v>1</v>
      </c>
      <c r="M1408" s="17" t="str">
        <f t="shared" si="25"/>
        <v>Jul_2019</v>
      </c>
    </row>
    <row r="1409" spans="1:13" ht="15.75" x14ac:dyDescent="0.25">
      <c r="A1409" s="16" t="s">
        <v>0</v>
      </c>
      <c r="B1409" s="17" t="s">
        <v>416</v>
      </c>
      <c r="C1409" s="18">
        <v>43650</v>
      </c>
      <c r="D1409" s="19" t="s">
        <v>18</v>
      </c>
      <c r="E1409" s="20">
        <v>0.72916666666666674</v>
      </c>
      <c r="F1409" s="20">
        <v>0.89583333333333337</v>
      </c>
      <c r="G1409" s="21">
        <v>8.0000000000000036</v>
      </c>
      <c r="H1409" s="21">
        <v>3.9999999999999982</v>
      </c>
      <c r="I1409" s="21">
        <v>3.9999999999999982</v>
      </c>
      <c r="J1409" s="24" t="s">
        <v>9</v>
      </c>
      <c r="K1409" s="23" t="s">
        <v>440</v>
      </c>
      <c r="L1409" s="17">
        <v>1</v>
      </c>
      <c r="M1409" s="17" t="str">
        <f t="shared" si="25"/>
        <v>Jul_2019</v>
      </c>
    </row>
    <row r="1410" spans="1:13" ht="15.75" x14ac:dyDescent="0.25">
      <c r="A1410" s="16" t="s">
        <v>0</v>
      </c>
      <c r="B1410" s="17" t="s">
        <v>417</v>
      </c>
      <c r="C1410" s="18">
        <v>43650</v>
      </c>
      <c r="D1410" s="19" t="s">
        <v>18</v>
      </c>
      <c r="E1410" s="20">
        <v>0.72916666666666674</v>
      </c>
      <c r="F1410" s="20">
        <v>0.89583333333333337</v>
      </c>
      <c r="G1410" s="21">
        <v>8.0000000000000036</v>
      </c>
      <c r="H1410" s="21">
        <v>3.9999999999999982</v>
      </c>
      <c r="I1410" s="21">
        <v>3.9999999999999982</v>
      </c>
      <c r="J1410" s="24" t="s">
        <v>9</v>
      </c>
      <c r="K1410" s="23" t="s">
        <v>440</v>
      </c>
      <c r="L1410" s="17">
        <v>1</v>
      </c>
      <c r="M1410" s="17" t="str">
        <f t="shared" si="25"/>
        <v>Jul_2019</v>
      </c>
    </row>
    <row r="1411" spans="1:13" ht="15.75" x14ac:dyDescent="0.25">
      <c r="A1411" s="16" t="s">
        <v>0</v>
      </c>
      <c r="B1411" s="17" t="s">
        <v>430</v>
      </c>
      <c r="C1411" s="18">
        <v>43650</v>
      </c>
      <c r="D1411" s="19" t="s">
        <v>18</v>
      </c>
      <c r="E1411" s="20">
        <v>0.72916666666666674</v>
      </c>
      <c r="F1411" s="20">
        <v>0.89583333333333337</v>
      </c>
      <c r="G1411" s="21">
        <v>8.0000000000000036</v>
      </c>
      <c r="H1411" s="21">
        <v>3.9999999999999982</v>
      </c>
      <c r="I1411" s="21">
        <v>3.9999999999999982</v>
      </c>
      <c r="J1411" s="24" t="s">
        <v>9</v>
      </c>
      <c r="K1411" s="23" t="s">
        <v>440</v>
      </c>
      <c r="L1411" s="17">
        <v>1</v>
      </c>
      <c r="M1411" s="17" t="str">
        <f t="shared" si="25"/>
        <v>Jul_2019</v>
      </c>
    </row>
    <row r="1412" spans="1:13" ht="15.75" x14ac:dyDescent="0.25">
      <c r="A1412" s="16" t="s">
        <v>0</v>
      </c>
      <c r="B1412" s="17" t="s">
        <v>431</v>
      </c>
      <c r="C1412" s="18">
        <v>43651</v>
      </c>
      <c r="D1412" s="19" t="s">
        <v>17</v>
      </c>
      <c r="E1412" s="20">
        <v>0.72916666666666674</v>
      </c>
      <c r="F1412" s="20">
        <v>0.91666666666666663</v>
      </c>
      <c r="G1412" s="21">
        <v>8.0000000000000036</v>
      </c>
      <c r="H1412" s="21">
        <v>4.4999999999999964</v>
      </c>
      <c r="I1412" s="21">
        <v>4.4999999999999964</v>
      </c>
      <c r="J1412" s="24" t="s">
        <v>9</v>
      </c>
      <c r="K1412" s="23" t="s">
        <v>441</v>
      </c>
      <c r="L1412" s="17">
        <v>1</v>
      </c>
      <c r="M1412" s="17" t="str">
        <f t="shared" si="25"/>
        <v>Jul_2019</v>
      </c>
    </row>
    <row r="1413" spans="1:13" ht="15.75" x14ac:dyDescent="0.25">
      <c r="A1413" s="16" t="s">
        <v>0</v>
      </c>
      <c r="B1413" s="17" t="s">
        <v>12</v>
      </c>
      <c r="C1413" s="18">
        <v>43651</v>
      </c>
      <c r="D1413" s="19" t="s">
        <v>17</v>
      </c>
      <c r="E1413" s="20">
        <v>0.72916666666666674</v>
      </c>
      <c r="F1413" s="20">
        <v>0.91666666666666663</v>
      </c>
      <c r="G1413" s="21">
        <v>8.0000000000000036</v>
      </c>
      <c r="H1413" s="21">
        <v>4.4999999999999964</v>
      </c>
      <c r="I1413" s="21">
        <v>4.4999999999999964</v>
      </c>
      <c r="J1413" s="24" t="s">
        <v>9</v>
      </c>
      <c r="K1413" s="23" t="s">
        <v>441</v>
      </c>
      <c r="L1413" s="17">
        <v>1</v>
      </c>
      <c r="M1413" s="17" t="str">
        <f t="shared" si="25"/>
        <v>Jul_2019</v>
      </c>
    </row>
    <row r="1414" spans="1:13" ht="15.75" x14ac:dyDescent="0.25">
      <c r="A1414" s="16" t="s">
        <v>0</v>
      </c>
      <c r="B1414" s="17" t="s">
        <v>68</v>
      </c>
      <c r="C1414" s="18">
        <v>43651</v>
      </c>
      <c r="D1414" s="19" t="s">
        <v>17</v>
      </c>
      <c r="E1414" s="20">
        <v>0.72916666666666674</v>
      </c>
      <c r="F1414" s="20">
        <v>0.91666666666666663</v>
      </c>
      <c r="G1414" s="21">
        <v>8.0000000000000036</v>
      </c>
      <c r="H1414" s="21">
        <v>4.4999999999999964</v>
      </c>
      <c r="I1414" s="21">
        <v>4.4999999999999964</v>
      </c>
      <c r="J1414" s="24" t="s">
        <v>9</v>
      </c>
      <c r="K1414" s="23" t="s">
        <v>441</v>
      </c>
      <c r="L1414" s="17">
        <v>1</v>
      </c>
      <c r="M1414" s="17" t="str">
        <f t="shared" si="25"/>
        <v>Jul_2019</v>
      </c>
    </row>
    <row r="1415" spans="1:13" ht="15.75" x14ac:dyDescent="0.25">
      <c r="A1415" s="16" t="s">
        <v>0</v>
      </c>
      <c r="B1415" s="17" t="s">
        <v>69</v>
      </c>
      <c r="C1415" s="18">
        <v>43651</v>
      </c>
      <c r="D1415" s="19" t="s">
        <v>17</v>
      </c>
      <c r="E1415" s="20">
        <v>0.6875</v>
      </c>
      <c r="F1415" s="20">
        <v>0.85416666666666663</v>
      </c>
      <c r="G1415" s="21">
        <v>8.0000000000000036</v>
      </c>
      <c r="H1415" s="21">
        <v>3.9999999999999964</v>
      </c>
      <c r="I1415" s="21">
        <v>3.9999999999999964</v>
      </c>
      <c r="J1415" s="24" t="s">
        <v>9</v>
      </c>
      <c r="K1415" s="23" t="s">
        <v>441</v>
      </c>
      <c r="L1415" s="17">
        <v>1</v>
      </c>
      <c r="M1415" s="17" t="str">
        <f t="shared" si="25"/>
        <v>Jul_2019</v>
      </c>
    </row>
    <row r="1416" spans="1:13" ht="15.75" x14ac:dyDescent="0.25">
      <c r="A1416" s="16" t="s">
        <v>0</v>
      </c>
      <c r="B1416" s="17" t="s">
        <v>361</v>
      </c>
      <c r="C1416" s="18">
        <v>43651</v>
      </c>
      <c r="D1416" s="19" t="s">
        <v>17</v>
      </c>
      <c r="E1416" s="20">
        <v>0.72916666666666674</v>
      </c>
      <c r="F1416" s="20">
        <v>0.91666666666666663</v>
      </c>
      <c r="G1416" s="21">
        <v>8.0000000000000036</v>
      </c>
      <c r="H1416" s="21">
        <v>4.4999999999999964</v>
      </c>
      <c r="I1416" s="21">
        <v>4.4999999999999964</v>
      </c>
      <c r="J1416" s="24" t="s">
        <v>9</v>
      </c>
      <c r="K1416" s="23" t="s">
        <v>441</v>
      </c>
      <c r="L1416" s="17">
        <v>1</v>
      </c>
      <c r="M1416" s="17" t="str">
        <f t="shared" si="25"/>
        <v>Jul_2019</v>
      </c>
    </row>
    <row r="1417" spans="1:13" ht="15.75" x14ac:dyDescent="0.25">
      <c r="A1417" s="16" t="s">
        <v>0</v>
      </c>
      <c r="B1417" s="17" t="s">
        <v>367</v>
      </c>
      <c r="C1417" s="18">
        <v>43651</v>
      </c>
      <c r="D1417" s="19" t="s">
        <v>17</v>
      </c>
      <c r="E1417" s="20">
        <v>0.72916666666666674</v>
      </c>
      <c r="F1417" s="20">
        <v>0.89583333333333337</v>
      </c>
      <c r="G1417" s="21">
        <v>8.0000000000000036</v>
      </c>
      <c r="H1417" s="21">
        <v>3.9999999999999982</v>
      </c>
      <c r="I1417" s="21">
        <v>3.9999999999999982</v>
      </c>
      <c r="J1417" s="24" t="s">
        <v>9</v>
      </c>
      <c r="K1417" s="23" t="s">
        <v>441</v>
      </c>
      <c r="L1417" s="17">
        <v>1</v>
      </c>
      <c r="M1417" s="17" t="str">
        <f t="shared" si="25"/>
        <v>Jul_2019</v>
      </c>
    </row>
    <row r="1418" spans="1:13" ht="15.75" x14ac:dyDescent="0.25">
      <c r="A1418" s="16" t="s">
        <v>0</v>
      </c>
      <c r="B1418" s="17" t="s">
        <v>393</v>
      </c>
      <c r="C1418" s="18">
        <v>43651</v>
      </c>
      <c r="D1418" s="19" t="s">
        <v>17</v>
      </c>
      <c r="E1418" s="20">
        <v>0.72916666666666674</v>
      </c>
      <c r="F1418" s="20">
        <v>0.89583333333333337</v>
      </c>
      <c r="G1418" s="21">
        <v>8.0000000000000036</v>
      </c>
      <c r="H1418" s="21">
        <v>3.9999999999999982</v>
      </c>
      <c r="I1418" s="21">
        <v>3.9999999999999982</v>
      </c>
      <c r="J1418" s="24" t="s">
        <v>9</v>
      </c>
      <c r="K1418" s="23" t="s">
        <v>441</v>
      </c>
      <c r="L1418" s="17">
        <v>1</v>
      </c>
      <c r="M1418" s="17" t="str">
        <f t="shared" si="25"/>
        <v>Jul_2019</v>
      </c>
    </row>
    <row r="1419" spans="1:13" ht="15.75" x14ac:dyDescent="0.25">
      <c r="A1419" s="16" t="s">
        <v>0</v>
      </c>
      <c r="B1419" s="17" t="s">
        <v>416</v>
      </c>
      <c r="C1419" s="18">
        <v>43651</v>
      </c>
      <c r="D1419" s="19" t="s">
        <v>17</v>
      </c>
      <c r="E1419" s="20">
        <v>0.72916666666666674</v>
      </c>
      <c r="F1419" s="20">
        <v>0.91666666666666663</v>
      </c>
      <c r="G1419" s="21">
        <v>8.0000000000000036</v>
      </c>
      <c r="H1419" s="21">
        <v>4.4999999999999964</v>
      </c>
      <c r="I1419" s="21">
        <v>4.4999999999999964</v>
      </c>
      <c r="J1419" s="24" t="s">
        <v>9</v>
      </c>
      <c r="K1419" s="23" t="s">
        <v>441</v>
      </c>
      <c r="L1419" s="17">
        <v>1</v>
      </c>
      <c r="M1419" s="17" t="str">
        <f t="shared" si="25"/>
        <v>Jul_2019</v>
      </c>
    </row>
    <row r="1420" spans="1:13" ht="15.75" x14ac:dyDescent="0.25">
      <c r="A1420" s="16" t="s">
        <v>0</v>
      </c>
      <c r="B1420" s="17" t="s">
        <v>417</v>
      </c>
      <c r="C1420" s="18">
        <v>43651</v>
      </c>
      <c r="D1420" s="19" t="s">
        <v>17</v>
      </c>
      <c r="E1420" s="20">
        <v>0.72916666666666674</v>
      </c>
      <c r="F1420" s="20">
        <v>0.89583333333333337</v>
      </c>
      <c r="G1420" s="21">
        <v>8.0000000000000036</v>
      </c>
      <c r="H1420" s="21">
        <v>3.9999999999999982</v>
      </c>
      <c r="I1420" s="21">
        <v>3.9999999999999982</v>
      </c>
      <c r="J1420" s="24" t="s">
        <v>9</v>
      </c>
      <c r="K1420" s="23" t="s">
        <v>441</v>
      </c>
      <c r="L1420" s="17">
        <v>1</v>
      </c>
      <c r="M1420" s="17" t="str">
        <f t="shared" si="25"/>
        <v>Jul_2019</v>
      </c>
    </row>
    <row r="1421" spans="1:13" ht="15.75" x14ac:dyDescent="0.25">
      <c r="A1421" s="16" t="s">
        <v>0</v>
      </c>
      <c r="B1421" s="17" t="s">
        <v>431</v>
      </c>
      <c r="C1421" s="18">
        <v>43675</v>
      </c>
      <c r="D1421" s="19" t="s">
        <v>21</v>
      </c>
      <c r="E1421" s="20">
        <v>0.72916666666666674</v>
      </c>
      <c r="F1421" s="20">
        <v>0.89583333333333337</v>
      </c>
      <c r="G1421" s="21">
        <v>8.0000000000000036</v>
      </c>
      <c r="H1421" s="21">
        <v>3.9999999999999982</v>
      </c>
      <c r="I1421" s="21">
        <v>3.9999999999999982</v>
      </c>
      <c r="J1421" s="24" t="s">
        <v>9</v>
      </c>
      <c r="K1421" s="23" t="s">
        <v>442</v>
      </c>
      <c r="L1421" s="17">
        <v>1</v>
      </c>
      <c r="M1421" s="17" t="s">
        <v>405</v>
      </c>
    </row>
    <row r="1422" spans="1:13" ht="15.75" x14ac:dyDescent="0.25">
      <c r="A1422" s="16" t="s">
        <v>0</v>
      </c>
      <c r="B1422" s="17" t="s">
        <v>12</v>
      </c>
      <c r="C1422" s="18">
        <v>43675</v>
      </c>
      <c r="D1422" s="19" t="s">
        <v>21</v>
      </c>
      <c r="E1422" s="20">
        <v>0.72916666666666674</v>
      </c>
      <c r="F1422" s="20">
        <v>0.89583333333333337</v>
      </c>
      <c r="G1422" s="21">
        <v>8.0000000000000036</v>
      </c>
      <c r="H1422" s="21">
        <v>3.9999999999999982</v>
      </c>
      <c r="I1422" s="21">
        <v>3.9999999999999982</v>
      </c>
      <c r="J1422" s="24" t="s">
        <v>9</v>
      </c>
      <c r="K1422" s="23" t="s">
        <v>442</v>
      </c>
      <c r="L1422" s="17">
        <v>1</v>
      </c>
      <c r="M1422" s="17" t="s">
        <v>405</v>
      </c>
    </row>
    <row r="1423" spans="1:13" ht="15.75" x14ac:dyDescent="0.25">
      <c r="A1423" s="16" t="s">
        <v>0</v>
      </c>
      <c r="B1423" s="17" t="s">
        <v>68</v>
      </c>
      <c r="C1423" s="18">
        <v>43675</v>
      </c>
      <c r="D1423" s="19" t="s">
        <v>21</v>
      </c>
      <c r="E1423" s="20">
        <v>0.72916666666666674</v>
      </c>
      <c r="F1423" s="20">
        <v>0.89583333333333337</v>
      </c>
      <c r="G1423" s="21">
        <v>8.0000000000000036</v>
      </c>
      <c r="H1423" s="21">
        <v>3.9999999999999982</v>
      </c>
      <c r="I1423" s="21">
        <v>3.9999999999999982</v>
      </c>
      <c r="J1423" s="24" t="s">
        <v>9</v>
      </c>
      <c r="K1423" s="23" t="s">
        <v>442</v>
      </c>
      <c r="L1423" s="17">
        <v>1</v>
      </c>
      <c r="M1423" s="17" t="s">
        <v>405</v>
      </c>
    </row>
    <row r="1424" spans="1:13" ht="15.75" x14ac:dyDescent="0.25">
      <c r="A1424" s="16" t="s">
        <v>0</v>
      </c>
      <c r="B1424" s="17" t="s">
        <v>69</v>
      </c>
      <c r="C1424" s="18">
        <v>43675</v>
      </c>
      <c r="D1424" s="19" t="s">
        <v>21</v>
      </c>
      <c r="E1424" s="20">
        <v>0.6875</v>
      </c>
      <c r="F1424" s="20">
        <v>0.85416666666666663</v>
      </c>
      <c r="G1424" s="21">
        <v>8.0000000000000036</v>
      </c>
      <c r="H1424" s="21">
        <v>3.9999999999999964</v>
      </c>
      <c r="I1424" s="21">
        <v>3.9999999999999964</v>
      </c>
      <c r="J1424" s="24" t="s">
        <v>9</v>
      </c>
      <c r="K1424" s="23" t="s">
        <v>442</v>
      </c>
      <c r="L1424" s="17">
        <v>1</v>
      </c>
      <c r="M1424" s="17" t="s">
        <v>405</v>
      </c>
    </row>
    <row r="1425" spans="1:13" ht="15.75" x14ac:dyDescent="0.25">
      <c r="A1425" s="16" t="s">
        <v>0</v>
      </c>
      <c r="B1425" s="17" t="s">
        <v>361</v>
      </c>
      <c r="C1425" s="18">
        <v>43675</v>
      </c>
      <c r="D1425" s="19" t="s">
        <v>21</v>
      </c>
      <c r="E1425" s="20">
        <v>0.72916666666666674</v>
      </c>
      <c r="F1425" s="20">
        <v>0.89583333333333337</v>
      </c>
      <c r="G1425" s="21">
        <v>8.0000000000000036</v>
      </c>
      <c r="H1425" s="21">
        <v>3.9999999999999982</v>
      </c>
      <c r="I1425" s="21">
        <v>3.9999999999999982</v>
      </c>
      <c r="J1425" s="24" t="s">
        <v>9</v>
      </c>
      <c r="K1425" s="23" t="s">
        <v>442</v>
      </c>
      <c r="L1425" s="17">
        <v>1</v>
      </c>
      <c r="M1425" s="17" t="s">
        <v>405</v>
      </c>
    </row>
    <row r="1426" spans="1:13" ht="15.75" x14ac:dyDescent="0.25">
      <c r="A1426" s="16" t="s">
        <v>0</v>
      </c>
      <c r="B1426" s="17" t="s">
        <v>393</v>
      </c>
      <c r="C1426" s="18">
        <v>43675</v>
      </c>
      <c r="D1426" s="19" t="s">
        <v>21</v>
      </c>
      <c r="E1426" s="20">
        <v>0.72916666666666674</v>
      </c>
      <c r="F1426" s="20">
        <v>0.89583333333333337</v>
      </c>
      <c r="G1426" s="21">
        <v>8.0000000000000036</v>
      </c>
      <c r="H1426" s="21">
        <v>3.9999999999999982</v>
      </c>
      <c r="I1426" s="21">
        <v>3.9999999999999982</v>
      </c>
      <c r="J1426" s="24" t="s">
        <v>9</v>
      </c>
      <c r="K1426" s="23" t="s">
        <v>442</v>
      </c>
      <c r="L1426" s="17">
        <v>1</v>
      </c>
      <c r="M1426" s="17" t="s">
        <v>405</v>
      </c>
    </row>
    <row r="1427" spans="1:13" ht="15.75" x14ac:dyDescent="0.25">
      <c r="A1427" s="16" t="s">
        <v>0</v>
      </c>
      <c r="B1427" s="17" t="s">
        <v>416</v>
      </c>
      <c r="C1427" s="18">
        <v>43675</v>
      </c>
      <c r="D1427" s="19" t="s">
        <v>21</v>
      </c>
      <c r="E1427" s="20">
        <v>0.72916666666666674</v>
      </c>
      <c r="F1427" s="20">
        <v>0.89583333333333337</v>
      </c>
      <c r="G1427" s="21">
        <v>8.0000000000000036</v>
      </c>
      <c r="H1427" s="21">
        <v>3.9999999999999982</v>
      </c>
      <c r="I1427" s="21">
        <v>3.9999999999999982</v>
      </c>
      <c r="J1427" s="24" t="s">
        <v>9</v>
      </c>
      <c r="K1427" s="23" t="s">
        <v>442</v>
      </c>
      <c r="L1427" s="17">
        <v>1</v>
      </c>
      <c r="M1427" s="17" t="s">
        <v>405</v>
      </c>
    </row>
    <row r="1428" spans="1:13" ht="15.75" x14ac:dyDescent="0.25">
      <c r="A1428" s="16" t="s">
        <v>0</v>
      </c>
      <c r="B1428" s="17" t="s">
        <v>417</v>
      </c>
      <c r="C1428" s="18">
        <v>43675</v>
      </c>
      <c r="D1428" s="19" t="s">
        <v>21</v>
      </c>
      <c r="E1428" s="20">
        <v>0.72916666666666674</v>
      </c>
      <c r="F1428" s="20">
        <v>0.89583333333333337</v>
      </c>
      <c r="G1428" s="21">
        <v>8.0000000000000036</v>
      </c>
      <c r="H1428" s="21">
        <v>3.9999999999999982</v>
      </c>
      <c r="I1428" s="21">
        <v>3.9999999999999982</v>
      </c>
      <c r="J1428" s="24" t="s">
        <v>9</v>
      </c>
      <c r="K1428" s="23" t="s">
        <v>442</v>
      </c>
      <c r="L1428" s="17">
        <v>1</v>
      </c>
      <c r="M1428" s="17" t="s">
        <v>405</v>
      </c>
    </row>
    <row r="1429" spans="1:13" ht="15.75" x14ac:dyDescent="0.25">
      <c r="A1429" s="16" t="s">
        <v>0</v>
      </c>
      <c r="B1429" s="17" t="s">
        <v>430</v>
      </c>
      <c r="C1429" s="18">
        <v>43675</v>
      </c>
      <c r="D1429" s="19" t="s">
        <v>21</v>
      </c>
      <c r="E1429" s="20">
        <v>0.72916666666666674</v>
      </c>
      <c r="F1429" s="20">
        <v>0.89583333333333337</v>
      </c>
      <c r="G1429" s="21">
        <v>8.0000000000000036</v>
      </c>
      <c r="H1429" s="21">
        <v>3.9999999999999982</v>
      </c>
      <c r="I1429" s="21">
        <v>3.9999999999999982</v>
      </c>
      <c r="J1429" s="24" t="s">
        <v>9</v>
      </c>
      <c r="K1429" s="23" t="s">
        <v>442</v>
      </c>
      <c r="L1429" s="17">
        <v>1</v>
      </c>
      <c r="M1429" s="17" t="s">
        <v>405</v>
      </c>
    </row>
    <row r="1430" spans="1:13" ht="15.75" x14ac:dyDescent="0.25">
      <c r="A1430" s="16" t="s">
        <v>0</v>
      </c>
      <c r="B1430" s="17" t="s">
        <v>431</v>
      </c>
      <c r="C1430" s="18">
        <v>43676</v>
      </c>
      <c r="D1430" s="19" t="s">
        <v>16</v>
      </c>
      <c r="E1430" s="20">
        <v>0.72916666666666674</v>
      </c>
      <c r="F1430" s="20">
        <v>0.89583333333333337</v>
      </c>
      <c r="G1430" s="21">
        <v>8.0000000000000036</v>
      </c>
      <c r="H1430" s="21">
        <v>3.9999999999999982</v>
      </c>
      <c r="I1430" s="21">
        <v>3.9999999999999982</v>
      </c>
      <c r="J1430" s="24" t="s">
        <v>9</v>
      </c>
      <c r="K1430" s="23" t="s">
        <v>443</v>
      </c>
      <c r="L1430" s="17">
        <v>1</v>
      </c>
      <c r="M1430" s="17" t="s">
        <v>405</v>
      </c>
    </row>
    <row r="1431" spans="1:13" ht="15.75" x14ac:dyDescent="0.25">
      <c r="A1431" s="16" t="s">
        <v>0</v>
      </c>
      <c r="B1431" s="17" t="s">
        <v>12</v>
      </c>
      <c r="C1431" s="18">
        <v>43676</v>
      </c>
      <c r="D1431" s="19" t="s">
        <v>16</v>
      </c>
      <c r="E1431" s="20">
        <v>0.6875</v>
      </c>
      <c r="F1431" s="20">
        <v>0.85416666666666663</v>
      </c>
      <c r="G1431" s="21">
        <v>8.0000000000000036</v>
      </c>
      <c r="H1431" s="21">
        <v>3.9999999999999964</v>
      </c>
      <c r="I1431" s="21">
        <v>3.9999999999999964</v>
      </c>
      <c r="J1431" s="24" t="s">
        <v>9</v>
      </c>
      <c r="K1431" s="23" t="s">
        <v>443</v>
      </c>
      <c r="L1431" s="17">
        <v>1</v>
      </c>
      <c r="M1431" s="17" t="s">
        <v>405</v>
      </c>
    </row>
    <row r="1432" spans="1:13" ht="15.75" x14ac:dyDescent="0.25">
      <c r="A1432" s="16" t="s">
        <v>0</v>
      </c>
      <c r="B1432" s="17" t="s">
        <v>68</v>
      </c>
      <c r="C1432" s="18">
        <v>43676</v>
      </c>
      <c r="D1432" s="19" t="s">
        <v>16</v>
      </c>
      <c r="E1432" s="20">
        <v>0.72916666666666674</v>
      </c>
      <c r="F1432" s="20">
        <v>0.89583333333333337</v>
      </c>
      <c r="G1432" s="21">
        <v>8.0000000000000036</v>
      </c>
      <c r="H1432" s="21">
        <v>3.9999999999999982</v>
      </c>
      <c r="I1432" s="21">
        <v>3.9999999999999982</v>
      </c>
      <c r="J1432" s="24" t="s">
        <v>9</v>
      </c>
      <c r="K1432" s="23" t="s">
        <v>443</v>
      </c>
      <c r="L1432" s="17">
        <v>1</v>
      </c>
      <c r="M1432" s="17" t="s">
        <v>405</v>
      </c>
    </row>
    <row r="1433" spans="1:13" ht="15.75" x14ac:dyDescent="0.25">
      <c r="A1433" s="16" t="s">
        <v>0</v>
      </c>
      <c r="B1433" s="17" t="s">
        <v>69</v>
      </c>
      <c r="C1433" s="18">
        <v>43676</v>
      </c>
      <c r="D1433" s="19" t="s">
        <v>16</v>
      </c>
      <c r="E1433" s="20">
        <v>0.72916666666666674</v>
      </c>
      <c r="F1433" s="20">
        <v>0.89583333333333337</v>
      </c>
      <c r="G1433" s="21">
        <v>8.0000000000000036</v>
      </c>
      <c r="H1433" s="21">
        <v>3.9999999999999982</v>
      </c>
      <c r="I1433" s="21">
        <v>3.9999999999999982</v>
      </c>
      <c r="J1433" s="24" t="s">
        <v>9</v>
      </c>
      <c r="K1433" s="23" t="s">
        <v>443</v>
      </c>
      <c r="L1433" s="17">
        <v>1</v>
      </c>
      <c r="M1433" s="17" t="s">
        <v>405</v>
      </c>
    </row>
    <row r="1434" spans="1:13" ht="15.75" x14ac:dyDescent="0.25">
      <c r="A1434" s="16" t="s">
        <v>0</v>
      </c>
      <c r="B1434" s="17" t="s">
        <v>361</v>
      </c>
      <c r="C1434" s="18">
        <v>43676</v>
      </c>
      <c r="D1434" s="19" t="s">
        <v>16</v>
      </c>
      <c r="E1434" s="20">
        <v>0.72916666666666674</v>
      </c>
      <c r="F1434" s="20">
        <v>0.89583333333333337</v>
      </c>
      <c r="G1434" s="21">
        <v>8.0000000000000036</v>
      </c>
      <c r="H1434" s="21">
        <v>3.9999999999999982</v>
      </c>
      <c r="I1434" s="21">
        <v>3.9999999999999982</v>
      </c>
      <c r="J1434" s="24" t="s">
        <v>9</v>
      </c>
      <c r="K1434" s="23" t="s">
        <v>443</v>
      </c>
      <c r="L1434" s="17">
        <v>1</v>
      </c>
      <c r="M1434" s="17" t="s">
        <v>405</v>
      </c>
    </row>
    <row r="1435" spans="1:13" ht="15.75" x14ac:dyDescent="0.25">
      <c r="A1435" s="16" t="s">
        <v>0</v>
      </c>
      <c r="B1435" s="17" t="s">
        <v>393</v>
      </c>
      <c r="C1435" s="18">
        <v>43676</v>
      </c>
      <c r="D1435" s="19" t="s">
        <v>16</v>
      </c>
      <c r="E1435" s="20">
        <v>0.72916666666666674</v>
      </c>
      <c r="F1435" s="20">
        <v>0.89583333333333337</v>
      </c>
      <c r="G1435" s="21">
        <v>8.0000000000000036</v>
      </c>
      <c r="H1435" s="21">
        <v>3.9999999999999982</v>
      </c>
      <c r="I1435" s="21">
        <v>3.9999999999999982</v>
      </c>
      <c r="J1435" s="24" t="s">
        <v>9</v>
      </c>
      <c r="K1435" s="23" t="s">
        <v>443</v>
      </c>
      <c r="L1435" s="17">
        <v>1</v>
      </c>
      <c r="M1435" s="17" t="s">
        <v>405</v>
      </c>
    </row>
    <row r="1436" spans="1:13" ht="15.75" x14ac:dyDescent="0.25">
      <c r="A1436" s="16" t="s">
        <v>0</v>
      </c>
      <c r="B1436" s="17" t="s">
        <v>416</v>
      </c>
      <c r="C1436" s="18">
        <v>43676</v>
      </c>
      <c r="D1436" s="19" t="s">
        <v>16</v>
      </c>
      <c r="E1436" s="20">
        <v>0.72916666666666674</v>
      </c>
      <c r="F1436" s="20">
        <v>0.89583333333333337</v>
      </c>
      <c r="G1436" s="21">
        <v>8.0000000000000036</v>
      </c>
      <c r="H1436" s="21">
        <v>3.9999999999999982</v>
      </c>
      <c r="I1436" s="21">
        <v>3.9999999999999982</v>
      </c>
      <c r="J1436" s="24" t="s">
        <v>9</v>
      </c>
      <c r="K1436" s="23" t="s">
        <v>443</v>
      </c>
      <c r="L1436" s="17">
        <v>1</v>
      </c>
      <c r="M1436" s="17" t="s">
        <v>405</v>
      </c>
    </row>
    <row r="1437" spans="1:13" ht="15.75" x14ac:dyDescent="0.25">
      <c r="A1437" s="16" t="s">
        <v>0</v>
      </c>
      <c r="B1437" s="17" t="s">
        <v>417</v>
      </c>
      <c r="C1437" s="18">
        <v>43676</v>
      </c>
      <c r="D1437" s="19" t="s">
        <v>16</v>
      </c>
      <c r="E1437" s="20">
        <v>0.72916666666666674</v>
      </c>
      <c r="F1437" s="20">
        <v>0.89583333333333337</v>
      </c>
      <c r="G1437" s="21">
        <v>8.0000000000000036</v>
      </c>
      <c r="H1437" s="21">
        <v>3.9999999999999982</v>
      </c>
      <c r="I1437" s="21">
        <v>3.9999999999999982</v>
      </c>
      <c r="J1437" s="24" t="s">
        <v>9</v>
      </c>
      <c r="K1437" s="23" t="s">
        <v>443</v>
      </c>
      <c r="L1437" s="17">
        <v>1</v>
      </c>
      <c r="M1437" s="17" t="s">
        <v>405</v>
      </c>
    </row>
    <row r="1438" spans="1:13" ht="15.75" x14ac:dyDescent="0.25">
      <c r="A1438" s="16" t="s">
        <v>0</v>
      </c>
      <c r="B1438" s="17" t="s">
        <v>430</v>
      </c>
      <c r="C1438" s="18">
        <v>43676</v>
      </c>
      <c r="D1438" s="19" t="s">
        <v>16</v>
      </c>
      <c r="E1438" s="20">
        <v>0.72916666666666674</v>
      </c>
      <c r="F1438" s="20">
        <v>0.89583333333333337</v>
      </c>
      <c r="G1438" s="21">
        <v>8.0000000000000036</v>
      </c>
      <c r="H1438" s="21">
        <v>3.9999999999999982</v>
      </c>
      <c r="I1438" s="21">
        <v>3.9999999999999982</v>
      </c>
      <c r="J1438" s="24" t="s">
        <v>9</v>
      </c>
      <c r="K1438" s="23" t="s">
        <v>443</v>
      </c>
      <c r="L1438" s="17">
        <v>1</v>
      </c>
      <c r="M1438" s="17" t="s">
        <v>405</v>
      </c>
    </row>
    <row r="1439" spans="1:13" ht="15.75" x14ac:dyDescent="0.25">
      <c r="A1439" s="16" t="s">
        <v>0</v>
      </c>
      <c r="B1439" s="17" t="s">
        <v>431</v>
      </c>
      <c r="C1439" s="18">
        <v>43677</v>
      </c>
      <c r="D1439" s="19" t="s">
        <v>19</v>
      </c>
      <c r="E1439" s="20">
        <v>0.72916666666666674</v>
      </c>
      <c r="F1439" s="20">
        <v>0.89583333333333337</v>
      </c>
      <c r="G1439" s="21">
        <v>8.0000000000000036</v>
      </c>
      <c r="H1439" s="21">
        <v>3.9999999999999982</v>
      </c>
      <c r="I1439" s="21">
        <v>3.9999999999999982</v>
      </c>
      <c r="J1439" s="24" t="s">
        <v>9</v>
      </c>
      <c r="K1439" s="23" t="s">
        <v>444</v>
      </c>
      <c r="L1439" s="17">
        <v>1</v>
      </c>
      <c r="M1439" s="17" t="s">
        <v>405</v>
      </c>
    </row>
    <row r="1440" spans="1:13" ht="15.75" x14ac:dyDescent="0.25">
      <c r="A1440" s="16" t="s">
        <v>0</v>
      </c>
      <c r="B1440" s="17" t="s">
        <v>12</v>
      </c>
      <c r="C1440" s="18">
        <v>43677</v>
      </c>
      <c r="D1440" s="19" t="s">
        <v>19</v>
      </c>
      <c r="E1440" s="20">
        <v>0.72916666666666674</v>
      </c>
      <c r="F1440" s="20">
        <v>0.89583333333333337</v>
      </c>
      <c r="G1440" s="21">
        <v>8.0000000000000036</v>
      </c>
      <c r="H1440" s="21">
        <v>3.9999999999999982</v>
      </c>
      <c r="I1440" s="21">
        <v>3.9999999999999982</v>
      </c>
      <c r="J1440" s="24" t="s">
        <v>9</v>
      </c>
      <c r="K1440" s="23" t="s">
        <v>444</v>
      </c>
      <c r="L1440" s="17">
        <v>1</v>
      </c>
      <c r="M1440" s="17" t="s">
        <v>405</v>
      </c>
    </row>
    <row r="1441" spans="1:13" ht="15.75" x14ac:dyDescent="0.25">
      <c r="A1441" s="16" t="s">
        <v>0</v>
      </c>
      <c r="B1441" s="17" t="s">
        <v>68</v>
      </c>
      <c r="C1441" s="18">
        <v>43677</v>
      </c>
      <c r="D1441" s="19" t="s">
        <v>19</v>
      </c>
      <c r="E1441" s="20">
        <v>0.72916666666666674</v>
      </c>
      <c r="F1441" s="20">
        <v>0.89583333333333337</v>
      </c>
      <c r="G1441" s="21">
        <v>8.0000000000000036</v>
      </c>
      <c r="H1441" s="21">
        <v>3.9999999999999982</v>
      </c>
      <c r="I1441" s="21">
        <v>3.9999999999999982</v>
      </c>
      <c r="J1441" s="24" t="s">
        <v>9</v>
      </c>
      <c r="K1441" s="23" t="s">
        <v>444</v>
      </c>
      <c r="L1441" s="17">
        <v>1</v>
      </c>
      <c r="M1441" s="17" t="s">
        <v>405</v>
      </c>
    </row>
    <row r="1442" spans="1:13" ht="15.75" x14ac:dyDescent="0.25">
      <c r="A1442" s="16" t="s">
        <v>0</v>
      </c>
      <c r="B1442" s="17" t="s">
        <v>69</v>
      </c>
      <c r="C1442" s="18">
        <v>43677</v>
      </c>
      <c r="D1442" s="19" t="s">
        <v>19</v>
      </c>
      <c r="E1442" s="20">
        <v>0.72916666666666674</v>
      </c>
      <c r="F1442" s="20">
        <v>0.89583333333333337</v>
      </c>
      <c r="G1442" s="21">
        <v>8.0000000000000036</v>
      </c>
      <c r="H1442" s="21">
        <v>3.9999999999999982</v>
      </c>
      <c r="I1442" s="21">
        <v>3.9999999999999982</v>
      </c>
      <c r="J1442" s="24" t="s">
        <v>9</v>
      </c>
      <c r="K1442" s="23" t="s">
        <v>444</v>
      </c>
      <c r="L1442" s="17">
        <v>1</v>
      </c>
      <c r="M1442" s="17" t="s">
        <v>405</v>
      </c>
    </row>
    <row r="1443" spans="1:13" ht="15.75" x14ac:dyDescent="0.25">
      <c r="A1443" s="16" t="s">
        <v>0</v>
      </c>
      <c r="B1443" s="17" t="s">
        <v>361</v>
      </c>
      <c r="C1443" s="18">
        <v>43677</v>
      </c>
      <c r="D1443" s="19" t="s">
        <v>19</v>
      </c>
      <c r="E1443" s="20">
        <v>0.72916666666666674</v>
      </c>
      <c r="F1443" s="20">
        <v>0.89583333333333337</v>
      </c>
      <c r="G1443" s="21">
        <v>8.0000000000000036</v>
      </c>
      <c r="H1443" s="21">
        <v>3.9999999999999982</v>
      </c>
      <c r="I1443" s="21">
        <v>3.9999999999999982</v>
      </c>
      <c r="J1443" s="24" t="s">
        <v>9</v>
      </c>
      <c r="K1443" s="23" t="s">
        <v>444</v>
      </c>
      <c r="L1443" s="17">
        <v>1</v>
      </c>
      <c r="M1443" s="17" t="s">
        <v>405</v>
      </c>
    </row>
    <row r="1444" spans="1:13" ht="15.75" x14ac:dyDescent="0.25">
      <c r="A1444" s="16" t="s">
        <v>0</v>
      </c>
      <c r="B1444" s="17" t="s">
        <v>393</v>
      </c>
      <c r="C1444" s="18">
        <v>43677</v>
      </c>
      <c r="D1444" s="19" t="s">
        <v>19</v>
      </c>
      <c r="E1444" s="20">
        <v>0.6875</v>
      </c>
      <c r="F1444" s="20">
        <v>0.85416666666666663</v>
      </c>
      <c r="G1444" s="21">
        <v>8.0000000000000036</v>
      </c>
      <c r="H1444" s="21">
        <v>3.9999999999999964</v>
      </c>
      <c r="I1444" s="21">
        <v>3.9999999999999964</v>
      </c>
      <c r="J1444" s="24" t="s">
        <v>9</v>
      </c>
      <c r="K1444" s="23" t="s">
        <v>444</v>
      </c>
      <c r="L1444" s="17">
        <v>1</v>
      </c>
      <c r="M1444" s="17" t="s">
        <v>405</v>
      </c>
    </row>
    <row r="1445" spans="1:13" ht="15.75" x14ac:dyDescent="0.25">
      <c r="A1445" s="16" t="s">
        <v>0</v>
      </c>
      <c r="B1445" s="17" t="s">
        <v>416</v>
      </c>
      <c r="C1445" s="18">
        <v>43677</v>
      </c>
      <c r="D1445" s="19" t="s">
        <v>19</v>
      </c>
      <c r="E1445" s="20">
        <v>0.72916666666666674</v>
      </c>
      <c r="F1445" s="20">
        <v>0.89583333333333337</v>
      </c>
      <c r="G1445" s="21">
        <v>8.0000000000000036</v>
      </c>
      <c r="H1445" s="21">
        <v>3.9999999999999982</v>
      </c>
      <c r="I1445" s="21">
        <v>3.9999999999999982</v>
      </c>
      <c r="J1445" s="24" t="s">
        <v>9</v>
      </c>
      <c r="K1445" s="23" t="s">
        <v>444</v>
      </c>
      <c r="L1445" s="17">
        <v>1</v>
      </c>
      <c r="M1445" s="17" t="s">
        <v>405</v>
      </c>
    </row>
    <row r="1446" spans="1:13" ht="15.75" x14ac:dyDescent="0.25">
      <c r="A1446" s="16" t="s">
        <v>0</v>
      </c>
      <c r="B1446" s="17" t="s">
        <v>417</v>
      </c>
      <c r="C1446" s="18">
        <v>43677</v>
      </c>
      <c r="D1446" s="19" t="s">
        <v>19</v>
      </c>
      <c r="E1446" s="20">
        <v>0.72916666666666674</v>
      </c>
      <c r="F1446" s="20">
        <v>0.89583333333333337</v>
      </c>
      <c r="G1446" s="21">
        <v>8.0000000000000036</v>
      </c>
      <c r="H1446" s="21">
        <v>3.9999999999999982</v>
      </c>
      <c r="I1446" s="21">
        <v>3.9999999999999982</v>
      </c>
      <c r="J1446" s="24" t="s">
        <v>9</v>
      </c>
      <c r="K1446" s="23" t="s">
        <v>444</v>
      </c>
      <c r="L1446" s="17">
        <v>1</v>
      </c>
      <c r="M1446" s="17" t="s">
        <v>405</v>
      </c>
    </row>
    <row r="1447" spans="1:13" ht="15.75" x14ac:dyDescent="0.25">
      <c r="A1447" s="16" t="s">
        <v>0</v>
      </c>
      <c r="B1447" s="17" t="s">
        <v>430</v>
      </c>
      <c r="C1447" s="18">
        <v>43677</v>
      </c>
      <c r="D1447" s="19" t="s">
        <v>19</v>
      </c>
      <c r="E1447" s="20">
        <v>0.72916666666666674</v>
      </c>
      <c r="F1447" s="20">
        <v>0.89583333333333337</v>
      </c>
      <c r="G1447" s="21">
        <v>8.0000000000000036</v>
      </c>
      <c r="H1447" s="21">
        <v>3.9999999999999982</v>
      </c>
      <c r="I1447" s="21">
        <v>3.9999999999999982</v>
      </c>
      <c r="J1447" s="24" t="s">
        <v>9</v>
      </c>
      <c r="K1447" s="23" t="s">
        <v>444</v>
      </c>
      <c r="L1447" s="17">
        <v>1</v>
      </c>
      <c r="M1447" s="17" t="s">
        <v>405</v>
      </c>
    </row>
  </sheetData>
  <conditionalFormatting sqref="D2:D4 D9:D16 D19:D21 D28:D40 D54:D57 D64:D81">
    <cfRule type="containsText" dxfId="1807" priority="1890" operator="containsText" text="Fri">
      <formula>NOT(ISERROR(SEARCH("Fri",D2)))</formula>
    </cfRule>
    <cfRule type="containsText" dxfId="1806" priority="1891" operator="containsText" text="Thu">
      <formula>NOT(ISERROR(SEARCH("Thu",D2)))</formula>
    </cfRule>
    <cfRule type="containsText" dxfId="1805" priority="1892" operator="containsText" text="Wed">
      <formula>NOT(ISERROR(SEARCH("Wed",D2)))</formula>
    </cfRule>
    <cfRule type="containsText" dxfId="1804" priority="1893" operator="containsText" text="Tue">
      <formula>NOT(ISERROR(SEARCH("Tue",D2)))</formula>
    </cfRule>
    <cfRule type="containsText" dxfId="1803" priority="1894" operator="containsText" text="Mon">
      <formula>NOT(ISERROR(SEARCH("Mon",D2)))</formula>
    </cfRule>
  </conditionalFormatting>
  <conditionalFormatting sqref="F80:F81 F151:F154 H151:H154 F156:F170 E171:F302 H156:H302">
    <cfRule type="cellIs" dxfId="1802" priority="1889" operator="equal">
      <formula>0</formula>
    </cfRule>
  </conditionalFormatting>
  <conditionalFormatting sqref="E80:E81">
    <cfRule type="cellIs" dxfId="1801" priority="1888" operator="equal">
      <formula>0</formula>
    </cfRule>
  </conditionalFormatting>
  <conditionalFormatting sqref="E80:E81">
    <cfRule type="cellIs" dxfId="1800" priority="1887" operator="equal">
      <formula>0</formula>
    </cfRule>
  </conditionalFormatting>
  <conditionalFormatting sqref="D5:D8">
    <cfRule type="containsText" dxfId="1799" priority="1882" operator="containsText" text="Fri">
      <formula>NOT(ISERROR(SEARCH("Fri",D5)))</formula>
    </cfRule>
    <cfRule type="containsText" dxfId="1798" priority="1883" operator="containsText" text="Thu">
      <formula>NOT(ISERROR(SEARCH("Thu",D5)))</formula>
    </cfRule>
    <cfRule type="containsText" dxfId="1797" priority="1884" operator="containsText" text="Wed">
      <formula>NOT(ISERROR(SEARCH("Wed",D5)))</formula>
    </cfRule>
    <cfRule type="containsText" dxfId="1796" priority="1885" operator="containsText" text="Tue">
      <formula>NOT(ISERROR(SEARCH("Tue",D5)))</formula>
    </cfRule>
    <cfRule type="containsText" dxfId="1795" priority="1886" operator="containsText" text="Mon">
      <formula>NOT(ISERROR(SEARCH("Mon",D5)))</formula>
    </cfRule>
  </conditionalFormatting>
  <conditionalFormatting sqref="D17:D18">
    <cfRule type="containsText" dxfId="1794" priority="1877" operator="containsText" text="Fri">
      <formula>NOT(ISERROR(SEARCH("Fri",D17)))</formula>
    </cfRule>
    <cfRule type="containsText" dxfId="1793" priority="1878" operator="containsText" text="Thu">
      <formula>NOT(ISERROR(SEARCH("Thu",D17)))</formula>
    </cfRule>
    <cfRule type="containsText" dxfId="1792" priority="1879" operator="containsText" text="Wed">
      <formula>NOT(ISERROR(SEARCH("Wed",D17)))</formula>
    </cfRule>
    <cfRule type="containsText" dxfId="1791" priority="1880" operator="containsText" text="Tue">
      <formula>NOT(ISERROR(SEARCH("Tue",D17)))</formula>
    </cfRule>
    <cfRule type="containsText" dxfId="1790" priority="1881" operator="containsText" text="Mon">
      <formula>NOT(ISERROR(SEARCH("Mon",D17)))</formula>
    </cfRule>
  </conditionalFormatting>
  <conditionalFormatting sqref="D26:D27">
    <cfRule type="containsText" dxfId="1789" priority="1872" operator="containsText" text="Fri">
      <formula>NOT(ISERROR(SEARCH("Fri",D26)))</formula>
    </cfRule>
    <cfRule type="containsText" dxfId="1788" priority="1873" operator="containsText" text="Thu">
      <formula>NOT(ISERROR(SEARCH("Thu",D26)))</formula>
    </cfRule>
    <cfRule type="containsText" dxfId="1787" priority="1874" operator="containsText" text="Wed">
      <formula>NOT(ISERROR(SEARCH("Wed",D26)))</formula>
    </cfRule>
    <cfRule type="containsText" dxfId="1786" priority="1875" operator="containsText" text="Tue">
      <formula>NOT(ISERROR(SEARCH("Tue",D26)))</formula>
    </cfRule>
    <cfRule type="containsText" dxfId="1785" priority="1876" operator="containsText" text="Mon">
      <formula>NOT(ISERROR(SEARCH("Mon",D26)))</formula>
    </cfRule>
  </conditionalFormatting>
  <conditionalFormatting sqref="D24:D25">
    <cfRule type="containsText" dxfId="1784" priority="1867" operator="containsText" text="Fri">
      <formula>NOT(ISERROR(SEARCH("Fri",D24)))</formula>
    </cfRule>
    <cfRule type="containsText" dxfId="1783" priority="1868" operator="containsText" text="Thu">
      <formula>NOT(ISERROR(SEARCH("Thu",D24)))</formula>
    </cfRule>
    <cfRule type="containsText" dxfId="1782" priority="1869" operator="containsText" text="Wed">
      <formula>NOT(ISERROR(SEARCH("Wed",D24)))</formula>
    </cfRule>
    <cfRule type="containsText" dxfId="1781" priority="1870" operator="containsText" text="Tue">
      <formula>NOT(ISERROR(SEARCH("Tue",D24)))</formula>
    </cfRule>
    <cfRule type="containsText" dxfId="1780" priority="1871" operator="containsText" text="Mon">
      <formula>NOT(ISERROR(SEARCH("Mon",D24)))</formula>
    </cfRule>
  </conditionalFormatting>
  <conditionalFormatting sqref="D22:D23">
    <cfRule type="containsText" dxfId="1779" priority="1862" operator="containsText" text="Fri">
      <formula>NOT(ISERROR(SEARCH("Fri",D22)))</formula>
    </cfRule>
    <cfRule type="containsText" dxfId="1778" priority="1863" operator="containsText" text="Thu">
      <formula>NOT(ISERROR(SEARCH("Thu",D22)))</formula>
    </cfRule>
    <cfRule type="containsText" dxfId="1777" priority="1864" operator="containsText" text="Wed">
      <formula>NOT(ISERROR(SEARCH("Wed",D22)))</formula>
    </cfRule>
    <cfRule type="containsText" dxfId="1776" priority="1865" operator="containsText" text="Tue">
      <formula>NOT(ISERROR(SEARCH("Tue",D22)))</formula>
    </cfRule>
    <cfRule type="containsText" dxfId="1775" priority="1866" operator="containsText" text="Mon">
      <formula>NOT(ISERROR(SEARCH("Mon",D22)))</formula>
    </cfRule>
  </conditionalFormatting>
  <conditionalFormatting sqref="D51:D53">
    <cfRule type="containsText" dxfId="1774" priority="1857" operator="containsText" text="Fri">
      <formula>NOT(ISERROR(SEARCH("Fri",D51)))</formula>
    </cfRule>
    <cfRule type="containsText" dxfId="1773" priority="1858" operator="containsText" text="Thu">
      <formula>NOT(ISERROR(SEARCH("Thu",D51)))</formula>
    </cfRule>
    <cfRule type="containsText" dxfId="1772" priority="1859" operator="containsText" text="Wed">
      <formula>NOT(ISERROR(SEARCH("Wed",D51)))</formula>
    </cfRule>
    <cfRule type="containsText" dxfId="1771" priority="1860" operator="containsText" text="Tue">
      <formula>NOT(ISERROR(SEARCH("Tue",D51)))</formula>
    </cfRule>
    <cfRule type="containsText" dxfId="1770" priority="1861" operator="containsText" text="Mon">
      <formula>NOT(ISERROR(SEARCH("Mon",D51)))</formula>
    </cfRule>
  </conditionalFormatting>
  <conditionalFormatting sqref="D48:D50">
    <cfRule type="containsText" dxfId="1769" priority="1852" operator="containsText" text="Fri">
      <formula>NOT(ISERROR(SEARCH("Fri",D48)))</formula>
    </cfRule>
    <cfRule type="containsText" dxfId="1768" priority="1853" operator="containsText" text="Thu">
      <formula>NOT(ISERROR(SEARCH("Thu",D48)))</formula>
    </cfRule>
    <cfRule type="containsText" dxfId="1767" priority="1854" operator="containsText" text="Wed">
      <formula>NOT(ISERROR(SEARCH("Wed",D48)))</formula>
    </cfRule>
    <cfRule type="containsText" dxfId="1766" priority="1855" operator="containsText" text="Tue">
      <formula>NOT(ISERROR(SEARCH("Tue",D48)))</formula>
    </cfRule>
    <cfRule type="containsText" dxfId="1765" priority="1856" operator="containsText" text="Mon">
      <formula>NOT(ISERROR(SEARCH("Mon",D48)))</formula>
    </cfRule>
  </conditionalFormatting>
  <conditionalFormatting sqref="D45:D47">
    <cfRule type="containsText" dxfId="1764" priority="1847" operator="containsText" text="Fri">
      <formula>NOT(ISERROR(SEARCH("Fri",D45)))</formula>
    </cfRule>
    <cfRule type="containsText" dxfId="1763" priority="1848" operator="containsText" text="Thu">
      <formula>NOT(ISERROR(SEARCH("Thu",D45)))</formula>
    </cfRule>
    <cfRule type="containsText" dxfId="1762" priority="1849" operator="containsText" text="Wed">
      <formula>NOT(ISERROR(SEARCH("Wed",D45)))</formula>
    </cfRule>
    <cfRule type="containsText" dxfId="1761" priority="1850" operator="containsText" text="Tue">
      <formula>NOT(ISERROR(SEARCH("Tue",D45)))</formula>
    </cfRule>
    <cfRule type="containsText" dxfId="1760" priority="1851" operator="containsText" text="Mon">
      <formula>NOT(ISERROR(SEARCH("Mon",D45)))</formula>
    </cfRule>
  </conditionalFormatting>
  <conditionalFormatting sqref="D44">
    <cfRule type="containsText" dxfId="1759" priority="1842" operator="containsText" text="Fri">
      <formula>NOT(ISERROR(SEARCH("Fri",D44)))</formula>
    </cfRule>
    <cfRule type="containsText" dxfId="1758" priority="1843" operator="containsText" text="Thu">
      <formula>NOT(ISERROR(SEARCH("Thu",D44)))</formula>
    </cfRule>
    <cfRule type="containsText" dxfId="1757" priority="1844" operator="containsText" text="Wed">
      <formula>NOT(ISERROR(SEARCH("Wed",D44)))</formula>
    </cfRule>
    <cfRule type="containsText" dxfId="1756" priority="1845" operator="containsText" text="Tue">
      <formula>NOT(ISERROR(SEARCH("Tue",D44)))</formula>
    </cfRule>
    <cfRule type="containsText" dxfId="1755" priority="1846" operator="containsText" text="Mon">
      <formula>NOT(ISERROR(SEARCH("Mon",D44)))</formula>
    </cfRule>
  </conditionalFormatting>
  <conditionalFormatting sqref="D41:D43">
    <cfRule type="containsText" dxfId="1754" priority="1837" operator="containsText" text="Fri">
      <formula>NOT(ISERROR(SEARCH("Fri",D41)))</formula>
    </cfRule>
    <cfRule type="containsText" dxfId="1753" priority="1838" operator="containsText" text="Thu">
      <formula>NOT(ISERROR(SEARCH("Thu",D41)))</formula>
    </cfRule>
    <cfRule type="containsText" dxfId="1752" priority="1839" operator="containsText" text="Wed">
      <formula>NOT(ISERROR(SEARCH("Wed",D41)))</formula>
    </cfRule>
    <cfRule type="containsText" dxfId="1751" priority="1840" operator="containsText" text="Tue">
      <formula>NOT(ISERROR(SEARCH("Tue",D41)))</formula>
    </cfRule>
    <cfRule type="containsText" dxfId="1750" priority="1841" operator="containsText" text="Mon">
      <formula>NOT(ISERROR(SEARCH("Mon",D41)))</formula>
    </cfRule>
  </conditionalFormatting>
  <conditionalFormatting sqref="D62:D63">
    <cfRule type="containsText" dxfId="1749" priority="1832" operator="containsText" text="Fri">
      <formula>NOT(ISERROR(SEARCH("Fri",D62)))</formula>
    </cfRule>
    <cfRule type="containsText" dxfId="1748" priority="1833" operator="containsText" text="Thu">
      <formula>NOT(ISERROR(SEARCH("Thu",D62)))</formula>
    </cfRule>
    <cfRule type="containsText" dxfId="1747" priority="1834" operator="containsText" text="Wed">
      <formula>NOT(ISERROR(SEARCH("Wed",D62)))</formula>
    </cfRule>
    <cfRule type="containsText" dxfId="1746" priority="1835" operator="containsText" text="Tue">
      <formula>NOT(ISERROR(SEARCH("Tue",D62)))</formula>
    </cfRule>
    <cfRule type="containsText" dxfId="1745" priority="1836" operator="containsText" text="Mon">
      <formula>NOT(ISERROR(SEARCH("Mon",D62)))</formula>
    </cfRule>
  </conditionalFormatting>
  <conditionalFormatting sqref="D60:D61">
    <cfRule type="containsText" dxfId="1744" priority="1827" operator="containsText" text="Fri">
      <formula>NOT(ISERROR(SEARCH("Fri",D60)))</formula>
    </cfRule>
    <cfRule type="containsText" dxfId="1743" priority="1828" operator="containsText" text="Thu">
      <formula>NOT(ISERROR(SEARCH("Thu",D60)))</formula>
    </cfRule>
    <cfRule type="containsText" dxfId="1742" priority="1829" operator="containsText" text="Wed">
      <formula>NOT(ISERROR(SEARCH("Wed",D60)))</formula>
    </cfRule>
    <cfRule type="containsText" dxfId="1741" priority="1830" operator="containsText" text="Tue">
      <formula>NOT(ISERROR(SEARCH("Tue",D60)))</formula>
    </cfRule>
    <cfRule type="containsText" dxfId="1740" priority="1831" operator="containsText" text="Mon">
      <formula>NOT(ISERROR(SEARCH("Mon",D60)))</formula>
    </cfRule>
  </conditionalFormatting>
  <conditionalFormatting sqref="D58:D59">
    <cfRule type="containsText" dxfId="1739" priority="1822" operator="containsText" text="Fri">
      <formula>NOT(ISERROR(SEARCH("Fri",D58)))</formula>
    </cfRule>
    <cfRule type="containsText" dxfId="1738" priority="1823" operator="containsText" text="Thu">
      <formula>NOT(ISERROR(SEARCH("Thu",D58)))</formula>
    </cfRule>
    <cfRule type="containsText" dxfId="1737" priority="1824" operator="containsText" text="Wed">
      <formula>NOT(ISERROR(SEARCH("Wed",D58)))</formula>
    </cfRule>
    <cfRule type="containsText" dxfId="1736" priority="1825" operator="containsText" text="Tue">
      <formula>NOT(ISERROR(SEARCH("Tue",D58)))</formula>
    </cfRule>
    <cfRule type="containsText" dxfId="1735" priority="1826" operator="containsText" text="Mon">
      <formula>NOT(ISERROR(SEARCH("Mon",D58)))</formula>
    </cfRule>
  </conditionalFormatting>
  <conditionalFormatting sqref="F155">
    <cfRule type="cellIs" dxfId="1734" priority="1611" operator="equal">
      <formula>0</formula>
    </cfRule>
  </conditionalFormatting>
  <conditionalFormatting sqref="H80:H81">
    <cfRule type="cellIs" dxfId="1733" priority="1821" operator="equal">
      <formula>0</formula>
    </cfRule>
  </conditionalFormatting>
  <conditionalFormatting sqref="K80:K81">
    <cfRule type="cellIs" dxfId="1732" priority="1820" operator="equal">
      <formula>0</formula>
    </cfRule>
  </conditionalFormatting>
  <conditionalFormatting sqref="K80:K81">
    <cfRule type="cellIs" dxfId="1731" priority="1819" operator="equal">
      <formula>"0 Policies"</formula>
    </cfRule>
  </conditionalFormatting>
  <conditionalFormatting sqref="K171:K172">
    <cfRule type="cellIs" dxfId="1730" priority="1818" operator="equal">
      <formula>0</formula>
    </cfRule>
  </conditionalFormatting>
  <conditionalFormatting sqref="D82:D84 D93:D100 D118:D122 D141:D146 D150:D153 D156:D160 D171:D172 D107:D114 D124:D127">
    <cfRule type="containsText" dxfId="1729" priority="1813" operator="containsText" text="Fri">
      <formula>NOT(ISERROR(SEARCH("Fri",D82)))</formula>
    </cfRule>
    <cfRule type="containsText" dxfId="1728" priority="1814" operator="containsText" text="Thu">
      <formula>NOT(ISERROR(SEARCH("Thu",D82)))</formula>
    </cfRule>
    <cfRule type="containsText" dxfId="1727" priority="1815" operator="containsText" text="Wed">
      <formula>NOT(ISERROR(SEARCH("Wed",D82)))</formula>
    </cfRule>
    <cfRule type="containsText" dxfId="1726" priority="1816" operator="containsText" text="Tue">
      <formula>NOT(ISERROR(SEARCH("Tue",D82)))</formula>
    </cfRule>
    <cfRule type="containsText" dxfId="1725" priority="1817" operator="containsText" text="Mon">
      <formula>NOT(ISERROR(SEARCH("Mon",D82)))</formula>
    </cfRule>
  </conditionalFormatting>
  <conditionalFormatting sqref="K151:K153 K156:K160">
    <cfRule type="cellIs" dxfId="1724" priority="1812" operator="equal">
      <formula>0</formula>
    </cfRule>
  </conditionalFormatting>
  <conditionalFormatting sqref="K151:K153 K156:K160 K171:K172">
    <cfRule type="cellIs" dxfId="1723" priority="1811" operator="equal">
      <formula>"0 Policies"</formula>
    </cfRule>
  </conditionalFormatting>
  <conditionalFormatting sqref="E151:E153 E156:E160">
    <cfRule type="cellIs" dxfId="1722" priority="1810" operator="equal">
      <formula>0</formula>
    </cfRule>
  </conditionalFormatting>
  <conditionalFormatting sqref="E151:E153 E156:E160">
    <cfRule type="cellIs" dxfId="1721" priority="1809" operator="equal">
      <formula>0</formula>
    </cfRule>
  </conditionalFormatting>
  <conditionalFormatting sqref="D92">
    <cfRule type="containsText" dxfId="1720" priority="1804" operator="containsText" text="Fri">
      <formula>NOT(ISERROR(SEARCH("Fri",D92)))</formula>
    </cfRule>
    <cfRule type="containsText" dxfId="1719" priority="1805" operator="containsText" text="Thu">
      <formula>NOT(ISERROR(SEARCH("Thu",D92)))</formula>
    </cfRule>
    <cfRule type="containsText" dxfId="1718" priority="1806" operator="containsText" text="Wed">
      <formula>NOT(ISERROR(SEARCH("Wed",D92)))</formula>
    </cfRule>
    <cfRule type="containsText" dxfId="1717" priority="1807" operator="containsText" text="Tue">
      <formula>NOT(ISERROR(SEARCH("Tue",D92)))</formula>
    </cfRule>
    <cfRule type="containsText" dxfId="1716" priority="1808" operator="containsText" text="Mon">
      <formula>NOT(ISERROR(SEARCH("Mon",D92)))</formula>
    </cfRule>
  </conditionalFormatting>
  <conditionalFormatting sqref="D91">
    <cfRule type="containsText" dxfId="1715" priority="1799" operator="containsText" text="Fri">
      <formula>NOT(ISERROR(SEARCH("Fri",D91)))</formula>
    </cfRule>
    <cfRule type="containsText" dxfId="1714" priority="1800" operator="containsText" text="Thu">
      <formula>NOT(ISERROR(SEARCH("Thu",D91)))</formula>
    </cfRule>
    <cfRule type="containsText" dxfId="1713" priority="1801" operator="containsText" text="Wed">
      <formula>NOT(ISERROR(SEARCH("Wed",D91)))</formula>
    </cfRule>
    <cfRule type="containsText" dxfId="1712" priority="1802" operator="containsText" text="Tue">
      <formula>NOT(ISERROR(SEARCH("Tue",D91)))</formula>
    </cfRule>
    <cfRule type="containsText" dxfId="1711" priority="1803" operator="containsText" text="Mon">
      <formula>NOT(ISERROR(SEARCH("Mon",D91)))</formula>
    </cfRule>
  </conditionalFormatting>
  <conditionalFormatting sqref="D90">
    <cfRule type="containsText" dxfId="1710" priority="1794" operator="containsText" text="Fri">
      <formula>NOT(ISERROR(SEARCH("Fri",D90)))</formula>
    </cfRule>
    <cfRule type="containsText" dxfId="1709" priority="1795" operator="containsText" text="Thu">
      <formula>NOT(ISERROR(SEARCH("Thu",D90)))</formula>
    </cfRule>
    <cfRule type="containsText" dxfId="1708" priority="1796" operator="containsText" text="Wed">
      <formula>NOT(ISERROR(SEARCH("Wed",D90)))</formula>
    </cfRule>
    <cfRule type="containsText" dxfId="1707" priority="1797" operator="containsText" text="Tue">
      <formula>NOT(ISERROR(SEARCH("Tue",D90)))</formula>
    </cfRule>
    <cfRule type="containsText" dxfId="1706" priority="1798" operator="containsText" text="Mon">
      <formula>NOT(ISERROR(SEARCH("Mon",D90)))</formula>
    </cfRule>
  </conditionalFormatting>
  <conditionalFormatting sqref="D89">
    <cfRule type="containsText" dxfId="1705" priority="1789" operator="containsText" text="Fri">
      <formula>NOT(ISERROR(SEARCH("Fri",D89)))</formula>
    </cfRule>
    <cfRule type="containsText" dxfId="1704" priority="1790" operator="containsText" text="Thu">
      <formula>NOT(ISERROR(SEARCH("Thu",D89)))</formula>
    </cfRule>
    <cfRule type="containsText" dxfId="1703" priority="1791" operator="containsText" text="Wed">
      <formula>NOT(ISERROR(SEARCH("Wed",D89)))</formula>
    </cfRule>
    <cfRule type="containsText" dxfId="1702" priority="1792" operator="containsText" text="Tue">
      <formula>NOT(ISERROR(SEARCH("Tue",D89)))</formula>
    </cfRule>
    <cfRule type="containsText" dxfId="1701" priority="1793" operator="containsText" text="Mon">
      <formula>NOT(ISERROR(SEARCH("Mon",D89)))</formula>
    </cfRule>
  </conditionalFormatting>
  <conditionalFormatting sqref="D87:D88">
    <cfRule type="containsText" dxfId="1700" priority="1784" operator="containsText" text="Fri">
      <formula>NOT(ISERROR(SEARCH("Fri",D87)))</formula>
    </cfRule>
    <cfRule type="containsText" dxfId="1699" priority="1785" operator="containsText" text="Thu">
      <formula>NOT(ISERROR(SEARCH("Thu",D87)))</formula>
    </cfRule>
    <cfRule type="containsText" dxfId="1698" priority="1786" operator="containsText" text="Wed">
      <formula>NOT(ISERROR(SEARCH("Wed",D87)))</formula>
    </cfRule>
    <cfRule type="containsText" dxfId="1697" priority="1787" operator="containsText" text="Tue">
      <formula>NOT(ISERROR(SEARCH("Tue",D87)))</formula>
    </cfRule>
    <cfRule type="containsText" dxfId="1696" priority="1788" operator="containsText" text="Mon">
      <formula>NOT(ISERROR(SEARCH("Mon",D87)))</formula>
    </cfRule>
  </conditionalFormatting>
  <conditionalFormatting sqref="D86">
    <cfRule type="containsText" dxfId="1695" priority="1779" operator="containsText" text="Fri">
      <formula>NOT(ISERROR(SEARCH("Fri",D86)))</formula>
    </cfRule>
    <cfRule type="containsText" dxfId="1694" priority="1780" operator="containsText" text="Thu">
      <formula>NOT(ISERROR(SEARCH("Thu",D86)))</formula>
    </cfRule>
    <cfRule type="containsText" dxfId="1693" priority="1781" operator="containsText" text="Wed">
      <formula>NOT(ISERROR(SEARCH("Wed",D86)))</formula>
    </cfRule>
    <cfRule type="containsText" dxfId="1692" priority="1782" operator="containsText" text="Tue">
      <formula>NOT(ISERROR(SEARCH("Tue",D86)))</formula>
    </cfRule>
    <cfRule type="containsText" dxfId="1691" priority="1783" operator="containsText" text="Mon">
      <formula>NOT(ISERROR(SEARCH("Mon",D86)))</formula>
    </cfRule>
  </conditionalFormatting>
  <conditionalFormatting sqref="D85">
    <cfRule type="containsText" dxfId="1690" priority="1774" operator="containsText" text="Fri">
      <formula>NOT(ISERROR(SEARCH("Fri",D85)))</formula>
    </cfRule>
    <cfRule type="containsText" dxfId="1689" priority="1775" operator="containsText" text="Thu">
      <formula>NOT(ISERROR(SEARCH("Thu",D85)))</formula>
    </cfRule>
    <cfRule type="containsText" dxfId="1688" priority="1776" operator="containsText" text="Wed">
      <formula>NOT(ISERROR(SEARCH("Wed",D85)))</formula>
    </cfRule>
    <cfRule type="containsText" dxfId="1687" priority="1777" operator="containsText" text="Tue">
      <formula>NOT(ISERROR(SEARCH("Tue",D85)))</formula>
    </cfRule>
    <cfRule type="containsText" dxfId="1686" priority="1778" operator="containsText" text="Mon">
      <formula>NOT(ISERROR(SEARCH("Mon",D85)))</formula>
    </cfRule>
  </conditionalFormatting>
  <conditionalFormatting sqref="D104:D106">
    <cfRule type="containsText" dxfId="1685" priority="1769" operator="containsText" text="Fri">
      <formula>NOT(ISERROR(SEARCH("Fri",D104)))</formula>
    </cfRule>
    <cfRule type="containsText" dxfId="1684" priority="1770" operator="containsText" text="Thu">
      <formula>NOT(ISERROR(SEARCH("Thu",D104)))</formula>
    </cfRule>
    <cfRule type="containsText" dxfId="1683" priority="1771" operator="containsText" text="Wed">
      <formula>NOT(ISERROR(SEARCH("Wed",D104)))</formula>
    </cfRule>
    <cfRule type="containsText" dxfId="1682" priority="1772" operator="containsText" text="Tue">
      <formula>NOT(ISERROR(SEARCH("Tue",D104)))</formula>
    </cfRule>
    <cfRule type="containsText" dxfId="1681" priority="1773" operator="containsText" text="Mon">
      <formula>NOT(ISERROR(SEARCH("Mon",D104)))</formula>
    </cfRule>
  </conditionalFormatting>
  <conditionalFormatting sqref="D101:D103">
    <cfRule type="containsText" dxfId="1680" priority="1764" operator="containsText" text="Fri">
      <formula>NOT(ISERROR(SEARCH("Fri",D101)))</formula>
    </cfRule>
    <cfRule type="containsText" dxfId="1679" priority="1765" operator="containsText" text="Thu">
      <formula>NOT(ISERROR(SEARCH("Thu",D101)))</formula>
    </cfRule>
    <cfRule type="containsText" dxfId="1678" priority="1766" operator="containsText" text="Wed">
      <formula>NOT(ISERROR(SEARCH("Wed",D101)))</formula>
    </cfRule>
    <cfRule type="containsText" dxfId="1677" priority="1767" operator="containsText" text="Tue">
      <formula>NOT(ISERROR(SEARCH("Tue",D101)))</formula>
    </cfRule>
    <cfRule type="containsText" dxfId="1676" priority="1768" operator="containsText" text="Mon">
      <formula>NOT(ISERROR(SEARCH("Mon",D101)))</formula>
    </cfRule>
  </conditionalFormatting>
  <conditionalFormatting sqref="D117">
    <cfRule type="containsText" dxfId="1675" priority="1759" operator="containsText" text="Fri">
      <formula>NOT(ISERROR(SEARCH("Fri",D117)))</formula>
    </cfRule>
    <cfRule type="containsText" dxfId="1674" priority="1760" operator="containsText" text="Thu">
      <formula>NOT(ISERROR(SEARCH("Thu",D117)))</formula>
    </cfRule>
    <cfRule type="containsText" dxfId="1673" priority="1761" operator="containsText" text="Wed">
      <formula>NOT(ISERROR(SEARCH("Wed",D117)))</formula>
    </cfRule>
    <cfRule type="containsText" dxfId="1672" priority="1762" operator="containsText" text="Tue">
      <formula>NOT(ISERROR(SEARCH("Tue",D117)))</formula>
    </cfRule>
    <cfRule type="containsText" dxfId="1671" priority="1763" operator="containsText" text="Mon">
      <formula>NOT(ISERROR(SEARCH("Mon",D117)))</formula>
    </cfRule>
  </conditionalFormatting>
  <conditionalFormatting sqref="D116">
    <cfRule type="containsText" dxfId="1670" priority="1754" operator="containsText" text="Fri">
      <formula>NOT(ISERROR(SEARCH("Fri",D116)))</formula>
    </cfRule>
    <cfRule type="containsText" dxfId="1669" priority="1755" operator="containsText" text="Thu">
      <formula>NOT(ISERROR(SEARCH("Thu",D116)))</formula>
    </cfRule>
    <cfRule type="containsText" dxfId="1668" priority="1756" operator="containsText" text="Wed">
      <formula>NOT(ISERROR(SEARCH("Wed",D116)))</formula>
    </cfRule>
    <cfRule type="containsText" dxfId="1667" priority="1757" operator="containsText" text="Tue">
      <formula>NOT(ISERROR(SEARCH("Tue",D116)))</formula>
    </cfRule>
    <cfRule type="containsText" dxfId="1666" priority="1758" operator="containsText" text="Mon">
      <formula>NOT(ISERROR(SEARCH("Mon",D116)))</formula>
    </cfRule>
  </conditionalFormatting>
  <conditionalFormatting sqref="D115">
    <cfRule type="containsText" dxfId="1665" priority="1749" operator="containsText" text="Fri">
      <formula>NOT(ISERROR(SEARCH("Fri",D115)))</formula>
    </cfRule>
    <cfRule type="containsText" dxfId="1664" priority="1750" operator="containsText" text="Thu">
      <formula>NOT(ISERROR(SEARCH("Thu",D115)))</formula>
    </cfRule>
    <cfRule type="containsText" dxfId="1663" priority="1751" operator="containsText" text="Wed">
      <formula>NOT(ISERROR(SEARCH("Wed",D115)))</formula>
    </cfRule>
    <cfRule type="containsText" dxfId="1662" priority="1752" operator="containsText" text="Tue">
      <formula>NOT(ISERROR(SEARCH("Tue",D115)))</formula>
    </cfRule>
    <cfRule type="containsText" dxfId="1661" priority="1753" operator="containsText" text="Mon">
      <formula>NOT(ISERROR(SEARCH("Mon",D115)))</formula>
    </cfRule>
  </conditionalFormatting>
  <conditionalFormatting sqref="D139:D140">
    <cfRule type="containsText" dxfId="1660" priority="1744" operator="containsText" text="Fri">
      <formula>NOT(ISERROR(SEARCH("Fri",D139)))</formula>
    </cfRule>
    <cfRule type="containsText" dxfId="1659" priority="1745" operator="containsText" text="Thu">
      <formula>NOT(ISERROR(SEARCH("Thu",D139)))</formula>
    </cfRule>
    <cfRule type="containsText" dxfId="1658" priority="1746" operator="containsText" text="Wed">
      <formula>NOT(ISERROR(SEARCH("Wed",D139)))</formula>
    </cfRule>
    <cfRule type="containsText" dxfId="1657" priority="1747" operator="containsText" text="Tue">
      <formula>NOT(ISERROR(SEARCH("Tue",D139)))</formula>
    </cfRule>
    <cfRule type="containsText" dxfId="1656" priority="1748" operator="containsText" text="Mon">
      <formula>NOT(ISERROR(SEARCH("Mon",D139)))</formula>
    </cfRule>
  </conditionalFormatting>
  <conditionalFormatting sqref="D138">
    <cfRule type="containsText" dxfId="1655" priority="1739" operator="containsText" text="Fri">
      <formula>NOT(ISERROR(SEARCH("Fri",D138)))</formula>
    </cfRule>
    <cfRule type="containsText" dxfId="1654" priority="1740" operator="containsText" text="Thu">
      <formula>NOT(ISERROR(SEARCH("Thu",D138)))</formula>
    </cfRule>
    <cfRule type="containsText" dxfId="1653" priority="1741" operator="containsText" text="Wed">
      <formula>NOT(ISERROR(SEARCH("Wed",D138)))</formula>
    </cfRule>
    <cfRule type="containsText" dxfId="1652" priority="1742" operator="containsText" text="Tue">
      <formula>NOT(ISERROR(SEARCH("Tue",D138)))</formula>
    </cfRule>
    <cfRule type="containsText" dxfId="1651" priority="1743" operator="containsText" text="Mon">
      <formula>NOT(ISERROR(SEARCH("Mon",D138)))</formula>
    </cfRule>
  </conditionalFormatting>
  <conditionalFormatting sqref="D137">
    <cfRule type="containsText" dxfId="1650" priority="1734" operator="containsText" text="Fri">
      <formula>NOT(ISERROR(SEARCH("Fri",D137)))</formula>
    </cfRule>
    <cfRule type="containsText" dxfId="1649" priority="1735" operator="containsText" text="Thu">
      <formula>NOT(ISERROR(SEARCH("Thu",D137)))</formula>
    </cfRule>
    <cfRule type="containsText" dxfId="1648" priority="1736" operator="containsText" text="Wed">
      <formula>NOT(ISERROR(SEARCH("Wed",D137)))</formula>
    </cfRule>
    <cfRule type="containsText" dxfId="1647" priority="1737" operator="containsText" text="Tue">
      <formula>NOT(ISERROR(SEARCH("Tue",D137)))</formula>
    </cfRule>
    <cfRule type="containsText" dxfId="1646" priority="1738" operator="containsText" text="Mon">
      <formula>NOT(ISERROR(SEARCH("Mon",D137)))</formula>
    </cfRule>
  </conditionalFormatting>
  <conditionalFormatting sqref="D136">
    <cfRule type="containsText" dxfId="1645" priority="1729" operator="containsText" text="Fri">
      <formula>NOT(ISERROR(SEARCH("Fri",D136)))</formula>
    </cfRule>
    <cfRule type="containsText" dxfId="1644" priority="1730" operator="containsText" text="Thu">
      <formula>NOT(ISERROR(SEARCH("Thu",D136)))</formula>
    </cfRule>
    <cfRule type="containsText" dxfId="1643" priority="1731" operator="containsText" text="Wed">
      <formula>NOT(ISERROR(SEARCH("Wed",D136)))</formula>
    </cfRule>
    <cfRule type="containsText" dxfId="1642" priority="1732" operator="containsText" text="Tue">
      <formula>NOT(ISERROR(SEARCH("Tue",D136)))</formula>
    </cfRule>
    <cfRule type="containsText" dxfId="1641" priority="1733" operator="containsText" text="Mon">
      <formula>NOT(ISERROR(SEARCH("Mon",D136)))</formula>
    </cfRule>
  </conditionalFormatting>
  <conditionalFormatting sqref="D135">
    <cfRule type="containsText" dxfId="1640" priority="1724" operator="containsText" text="Fri">
      <formula>NOT(ISERROR(SEARCH("Fri",D135)))</formula>
    </cfRule>
    <cfRule type="containsText" dxfId="1639" priority="1725" operator="containsText" text="Thu">
      <formula>NOT(ISERROR(SEARCH("Thu",D135)))</formula>
    </cfRule>
    <cfRule type="containsText" dxfId="1638" priority="1726" operator="containsText" text="Wed">
      <formula>NOT(ISERROR(SEARCH("Wed",D135)))</formula>
    </cfRule>
    <cfRule type="containsText" dxfId="1637" priority="1727" operator="containsText" text="Tue">
      <formula>NOT(ISERROR(SEARCH("Tue",D135)))</formula>
    </cfRule>
    <cfRule type="containsText" dxfId="1636" priority="1728" operator="containsText" text="Mon">
      <formula>NOT(ISERROR(SEARCH("Mon",D135)))</formula>
    </cfRule>
  </conditionalFormatting>
  <conditionalFormatting sqref="D134">
    <cfRule type="containsText" dxfId="1635" priority="1719" operator="containsText" text="Fri">
      <formula>NOT(ISERROR(SEARCH("Fri",D134)))</formula>
    </cfRule>
    <cfRule type="containsText" dxfId="1634" priority="1720" operator="containsText" text="Thu">
      <formula>NOT(ISERROR(SEARCH("Thu",D134)))</formula>
    </cfRule>
    <cfRule type="containsText" dxfId="1633" priority="1721" operator="containsText" text="Wed">
      <formula>NOT(ISERROR(SEARCH("Wed",D134)))</formula>
    </cfRule>
    <cfRule type="containsText" dxfId="1632" priority="1722" operator="containsText" text="Tue">
      <formula>NOT(ISERROR(SEARCH("Tue",D134)))</formula>
    </cfRule>
    <cfRule type="containsText" dxfId="1631" priority="1723" operator="containsText" text="Mon">
      <formula>NOT(ISERROR(SEARCH("Mon",D134)))</formula>
    </cfRule>
  </conditionalFormatting>
  <conditionalFormatting sqref="D133">
    <cfRule type="containsText" dxfId="1630" priority="1714" operator="containsText" text="Fri">
      <formula>NOT(ISERROR(SEARCH("Fri",D133)))</formula>
    </cfRule>
    <cfRule type="containsText" dxfId="1629" priority="1715" operator="containsText" text="Thu">
      <formula>NOT(ISERROR(SEARCH("Thu",D133)))</formula>
    </cfRule>
    <cfRule type="containsText" dxfId="1628" priority="1716" operator="containsText" text="Wed">
      <formula>NOT(ISERROR(SEARCH("Wed",D133)))</formula>
    </cfRule>
    <cfRule type="containsText" dxfId="1627" priority="1717" operator="containsText" text="Tue">
      <formula>NOT(ISERROR(SEARCH("Tue",D133)))</formula>
    </cfRule>
    <cfRule type="containsText" dxfId="1626" priority="1718" operator="containsText" text="Mon">
      <formula>NOT(ISERROR(SEARCH("Mon",D133)))</formula>
    </cfRule>
  </conditionalFormatting>
  <conditionalFormatting sqref="D132">
    <cfRule type="containsText" dxfId="1625" priority="1709" operator="containsText" text="Fri">
      <formula>NOT(ISERROR(SEARCH("Fri",D132)))</formula>
    </cfRule>
    <cfRule type="containsText" dxfId="1624" priority="1710" operator="containsText" text="Thu">
      <formula>NOT(ISERROR(SEARCH("Thu",D132)))</formula>
    </cfRule>
    <cfRule type="containsText" dxfId="1623" priority="1711" operator="containsText" text="Wed">
      <formula>NOT(ISERROR(SEARCH("Wed",D132)))</formula>
    </cfRule>
    <cfRule type="containsText" dxfId="1622" priority="1712" operator="containsText" text="Tue">
      <formula>NOT(ISERROR(SEARCH("Tue",D132)))</formula>
    </cfRule>
    <cfRule type="containsText" dxfId="1621" priority="1713" operator="containsText" text="Mon">
      <formula>NOT(ISERROR(SEARCH("Mon",D132)))</formula>
    </cfRule>
  </conditionalFormatting>
  <conditionalFormatting sqref="D131">
    <cfRule type="containsText" dxfId="1620" priority="1704" operator="containsText" text="Fri">
      <formula>NOT(ISERROR(SEARCH("Fri",D131)))</formula>
    </cfRule>
    <cfRule type="containsText" dxfId="1619" priority="1705" operator="containsText" text="Thu">
      <formula>NOT(ISERROR(SEARCH("Thu",D131)))</formula>
    </cfRule>
    <cfRule type="containsText" dxfId="1618" priority="1706" operator="containsText" text="Wed">
      <formula>NOT(ISERROR(SEARCH("Wed",D131)))</formula>
    </cfRule>
    <cfRule type="containsText" dxfId="1617" priority="1707" operator="containsText" text="Tue">
      <formula>NOT(ISERROR(SEARCH("Tue",D131)))</formula>
    </cfRule>
    <cfRule type="containsText" dxfId="1616" priority="1708" operator="containsText" text="Mon">
      <formula>NOT(ISERROR(SEARCH("Mon",D131)))</formula>
    </cfRule>
  </conditionalFormatting>
  <conditionalFormatting sqref="D130">
    <cfRule type="containsText" dxfId="1615" priority="1699" operator="containsText" text="Fri">
      <formula>NOT(ISERROR(SEARCH("Fri",D130)))</formula>
    </cfRule>
    <cfRule type="containsText" dxfId="1614" priority="1700" operator="containsText" text="Thu">
      <formula>NOT(ISERROR(SEARCH("Thu",D130)))</formula>
    </cfRule>
    <cfRule type="containsText" dxfId="1613" priority="1701" operator="containsText" text="Wed">
      <formula>NOT(ISERROR(SEARCH("Wed",D130)))</formula>
    </cfRule>
    <cfRule type="containsText" dxfId="1612" priority="1702" operator="containsText" text="Tue">
      <formula>NOT(ISERROR(SEARCH("Tue",D130)))</formula>
    </cfRule>
    <cfRule type="containsText" dxfId="1611" priority="1703" operator="containsText" text="Mon">
      <formula>NOT(ISERROR(SEARCH("Mon",D130)))</formula>
    </cfRule>
  </conditionalFormatting>
  <conditionalFormatting sqref="D128:D129">
    <cfRule type="containsText" dxfId="1610" priority="1694" operator="containsText" text="Fri">
      <formula>NOT(ISERROR(SEARCH("Fri",D128)))</formula>
    </cfRule>
    <cfRule type="containsText" dxfId="1609" priority="1695" operator="containsText" text="Thu">
      <formula>NOT(ISERROR(SEARCH("Thu",D128)))</formula>
    </cfRule>
    <cfRule type="containsText" dxfId="1608" priority="1696" operator="containsText" text="Wed">
      <formula>NOT(ISERROR(SEARCH("Wed",D128)))</formula>
    </cfRule>
    <cfRule type="containsText" dxfId="1607" priority="1697" operator="containsText" text="Tue">
      <formula>NOT(ISERROR(SEARCH("Tue",D128)))</formula>
    </cfRule>
    <cfRule type="containsText" dxfId="1606" priority="1698" operator="containsText" text="Mon">
      <formula>NOT(ISERROR(SEARCH("Mon",D128)))</formula>
    </cfRule>
  </conditionalFormatting>
  <conditionalFormatting sqref="D149">
    <cfRule type="containsText" dxfId="1605" priority="1689" operator="containsText" text="Fri">
      <formula>NOT(ISERROR(SEARCH("Fri",D149)))</formula>
    </cfRule>
    <cfRule type="containsText" dxfId="1604" priority="1690" operator="containsText" text="Thu">
      <formula>NOT(ISERROR(SEARCH("Thu",D149)))</formula>
    </cfRule>
    <cfRule type="containsText" dxfId="1603" priority="1691" operator="containsText" text="Wed">
      <formula>NOT(ISERROR(SEARCH("Wed",D149)))</formula>
    </cfRule>
    <cfRule type="containsText" dxfId="1602" priority="1692" operator="containsText" text="Tue">
      <formula>NOT(ISERROR(SEARCH("Tue",D149)))</formula>
    </cfRule>
    <cfRule type="containsText" dxfId="1601" priority="1693" operator="containsText" text="Mon">
      <formula>NOT(ISERROR(SEARCH("Mon",D149)))</formula>
    </cfRule>
  </conditionalFormatting>
  <conditionalFormatting sqref="D148">
    <cfRule type="containsText" dxfId="1600" priority="1684" operator="containsText" text="Fri">
      <formula>NOT(ISERROR(SEARCH("Fri",D148)))</formula>
    </cfRule>
    <cfRule type="containsText" dxfId="1599" priority="1685" operator="containsText" text="Thu">
      <formula>NOT(ISERROR(SEARCH("Thu",D148)))</formula>
    </cfRule>
    <cfRule type="containsText" dxfId="1598" priority="1686" operator="containsText" text="Wed">
      <formula>NOT(ISERROR(SEARCH("Wed",D148)))</formula>
    </cfRule>
    <cfRule type="containsText" dxfId="1597" priority="1687" operator="containsText" text="Tue">
      <formula>NOT(ISERROR(SEARCH("Tue",D148)))</formula>
    </cfRule>
    <cfRule type="containsText" dxfId="1596" priority="1688" operator="containsText" text="Mon">
      <formula>NOT(ISERROR(SEARCH("Mon",D148)))</formula>
    </cfRule>
  </conditionalFormatting>
  <conditionalFormatting sqref="D147">
    <cfRule type="containsText" dxfId="1595" priority="1679" operator="containsText" text="Fri">
      <formula>NOT(ISERROR(SEARCH("Fri",D147)))</formula>
    </cfRule>
    <cfRule type="containsText" dxfId="1594" priority="1680" operator="containsText" text="Thu">
      <formula>NOT(ISERROR(SEARCH("Thu",D147)))</formula>
    </cfRule>
    <cfRule type="containsText" dxfId="1593" priority="1681" operator="containsText" text="Wed">
      <formula>NOT(ISERROR(SEARCH("Wed",D147)))</formula>
    </cfRule>
    <cfRule type="containsText" dxfId="1592" priority="1682" operator="containsText" text="Tue">
      <formula>NOT(ISERROR(SEARCH("Tue",D147)))</formula>
    </cfRule>
    <cfRule type="containsText" dxfId="1591" priority="1683" operator="containsText" text="Mon">
      <formula>NOT(ISERROR(SEARCH("Mon",D147)))</formula>
    </cfRule>
  </conditionalFormatting>
  <conditionalFormatting sqref="D154:D155">
    <cfRule type="containsText" dxfId="1590" priority="1674" operator="containsText" text="Fri">
      <formula>NOT(ISERROR(SEARCH("Fri",D154)))</formula>
    </cfRule>
    <cfRule type="containsText" dxfId="1589" priority="1675" operator="containsText" text="Thu">
      <formula>NOT(ISERROR(SEARCH("Thu",D154)))</formula>
    </cfRule>
    <cfRule type="containsText" dxfId="1588" priority="1676" operator="containsText" text="Wed">
      <formula>NOT(ISERROR(SEARCH("Wed",D154)))</formula>
    </cfRule>
    <cfRule type="containsText" dxfId="1587" priority="1677" operator="containsText" text="Tue">
      <formula>NOT(ISERROR(SEARCH("Tue",D154)))</formula>
    </cfRule>
    <cfRule type="containsText" dxfId="1586" priority="1678" operator="containsText" text="Mon">
      <formula>NOT(ISERROR(SEARCH("Mon",D154)))</formula>
    </cfRule>
  </conditionalFormatting>
  <conditionalFormatting sqref="K154:K155">
    <cfRule type="cellIs" dxfId="1585" priority="1673" operator="equal">
      <formula>0</formula>
    </cfRule>
  </conditionalFormatting>
  <conditionalFormatting sqref="H155">
    <cfRule type="cellIs" dxfId="1584" priority="1672" operator="equal">
      <formula>0</formula>
    </cfRule>
  </conditionalFormatting>
  <conditionalFormatting sqref="K154:K155">
    <cfRule type="cellIs" dxfId="1583" priority="1671" operator="equal">
      <formula>"0 Policies"</formula>
    </cfRule>
  </conditionalFormatting>
  <conditionalFormatting sqref="E154">
    <cfRule type="cellIs" dxfId="1582" priority="1670" operator="equal">
      <formula>0</formula>
    </cfRule>
  </conditionalFormatting>
  <conditionalFormatting sqref="E154">
    <cfRule type="cellIs" dxfId="1581" priority="1669" operator="equal">
      <formula>0</formula>
    </cfRule>
  </conditionalFormatting>
  <conditionalFormatting sqref="D169:D170">
    <cfRule type="containsText" dxfId="1580" priority="1664" operator="containsText" text="Fri">
      <formula>NOT(ISERROR(SEARCH("Fri",D169)))</formula>
    </cfRule>
    <cfRule type="containsText" dxfId="1579" priority="1665" operator="containsText" text="Thu">
      <formula>NOT(ISERROR(SEARCH("Thu",D169)))</formula>
    </cfRule>
    <cfRule type="containsText" dxfId="1578" priority="1666" operator="containsText" text="Wed">
      <formula>NOT(ISERROR(SEARCH("Wed",D169)))</formula>
    </cfRule>
    <cfRule type="containsText" dxfId="1577" priority="1667" operator="containsText" text="Tue">
      <formula>NOT(ISERROR(SEARCH("Tue",D169)))</formula>
    </cfRule>
    <cfRule type="containsText" dxfId="1576" priority="1668" operator="containsText" text="Mon">
      <formula>NOT(ISERROR(SEARCH("Mon",D169)))</formula>
    </cfRule>
  </conditionalFormatting>
  <conditionalFormatting sqref="K169">
    <cfRule type="cellIs" dxfId="1575" priority="1663" operator="equal">
      <formula>0</formula>
    </cfRule>
  </conditionalFormatting>
  <conditionalFormatting sqref="K169">
    <cfRule type="cellIs" dxfId="1574" priority="1662" operator="equal">
      <formula>"0 Policies"</formula>
    </cfRule>
  </conditionalFormatting>
  <conditionalFormatting sqref="E169:E170">
    <cfRule type="cellIs" dxfId="1573" priority="1661" operator="equal">
      <formula>0</formula>
    </cfRule>
  </conditionalFormatting>
  <conditionalFormatting sqref="E169:E170">
    <cfRule type="cellIs" dxfId="1572" priority="1660" operator="equal">
      <formula>0</formula>
    </cfRule>
  </conditionalFormatting>
  <conditionalFormatting sqref="D167:D168">
    <cfRule type="containsText" dxfId="1571" priority="1655" operator="containsText" text="Fri">
      <formula>NOT(ISERROR(SEARCH("Fri",D167)))</formula>
    </cfRule>
    <cfRule type="containsText" dxfId="1570" priority="1656" operator="containsText" text="Thu">
      <formula>NOT(ISERROR(SEARCH("Thu",D167)))</formula>
    </cfRule>
    <cfRule type="containsText" dxfId="1569" priority="1657" operator="containsText" text="Wed">
      <formula>NOT(ISERROR(SEARCH("Wed",D167)))</formula>
    </cfRule>
    <cfRule type="containsText" dxfId="1568" priority="1658" operator="containsText" text="Tue">
      <formula>NOT(ISERROR(SEARCH("Tue",D167)))</formula>
    </cfRule>
    <cfRule type="containsText" dxfId="1567" priority="1659" operator="containsText" text="Mon">
      <formula>NOT(ISERROR(SEARCH("Mon",D167)))</formula>
    </cfRule>
  </conditionalFormatting>
  <conditionalFormatting sqref="K167:K168">
    <cfRule type="cellIs" dxfId="1566" priority="1654" operator="equal">
      <formula>0</formula>
    </cfRule>
  </conditionalFormatting>
  <conditionalFormatting sqref="K167:K168">
    <cfRule type="cellIs" dxfId="1565" priority="1653" operator="equal">
      <formula>"0 Policies"</formula>
    </cfRule>
  </conditionalFormatting>
  <conditionalFormatting sqref="E167:E168">
    <cfRule type="cellIs" dxfId="1564" priority="1652" operator="equal">
      <formula>0</formula>
    </cfRule>
  </conditionalFormatting>
  <conditionalFormatting sqref="E167:E168">
    <cfRule type="cellIs" dxfId="1563" priority="1651" operator="equal">
      <formula>0</formula>
    </cfRule>
  </conditionalFormatting>
  <conditionalFormatting sqref="D165:D166">
    <cfRule type="containsText" dxfId="1562" priority="1646" operator="containsText" text="Fri">
      <formula>NOT(ISERROR(SEARCH("Fri",D165)))</formula>
    </cfRule>
    <cfRule type="containsText" dxfId="1561" priority="1647" operator="containsText" text="Thu">
      <formula>NOT(ISERROR(SEARCH("Thu",D165)))</formula>
    </cfRule>
    <cfRule type="containsText" dxfId="1560" priority="1648" operator="containsText" text="Wed">
      <formula>NOT(ISERROR(SEARCH("Wed",D165)))</formula>
    </cfRule>
    <cfRule type="containsText" dxfId="1559" priority="1649" operator="containsText" text="Tue">
      <formula>NOT(ISERROR(SEARCH("Tue",D165)))</formula>
    </cfRule>
    <cfRule type="containsText" dxfId="1558" priority="1650" operator="containsText" text="Mon">
      <formula>NOT(ISERROR(SEARCH("Mon",D165)))</formula>
    </cfRule>
  </conditionalFormatting>
  <conditionalFormatting sqref="K165:K166">
    <cfRule type="cellIs" dxfId="1557" priority="1645" operator="equal">
      <formula>0</formula>
    </cfRule>
  </conditionalFormatting>
  <conditionalFormatting sqref="K165:K166">
    <cfRule type="cellIs" dxfId="1556" priority="1644" operator="equal">
      <formula>"0 Policies"</formula>
    </cfRule>
  </conditionalFormatting>
  <conditionalFormatting sqref="E165:E166">
    <cfRule type="cellIs" dxfId="1555" priority="1643" operator="equal">
      <formula>0</formula>
    </cfRule>
  </conditionalFormatting>
  <conditionalFormatting sqref="E165:E166">
    <cfRule type="cellIs" dxfId="1554" priority="1642" operator="equal">
      <formula>0</formula>
    </cfRule>
  </conditionalFormatting>
  <conditionalFormatting sqref="D163:D164">
    <cfRule type="containsText" dxfId="1553" priority="1637" operator="containsText" text="Fri">
      <formula>NOT(ISERROR(SEARCH("Fri",D163)))</formula>
    </cfRule>
    <cfRule type="containsText" dxfId="1552" priority="1638" operator="containsText" text="Thu">
      <formula>NOT(ISERROR(SEARCH("Thu",D163)))</formula>
    </cfRule>
    <cfRule type="containsText" dxfId="1551" priority="1639" operator="containsText" text="Wed">
      <formula>NOT(ISERROR(SEARCH("Wed",D163)))</formula>
    </cfRule>
    <cfRule type="containsText" dxfId="1550" priority="1640" operator="containsText" text="Tue">
      <formula>NOT(ISERROR(SEARCH("Tue",D163)))</formula>
    </cfRule>
    <cfRule type="containsText" dxfId="1549" priority="1641" operator="containsText" text="Mon">
      <formula>NOT(ISERROR(SEARCH("Mon",D163)))</formula>
    </cfRule>
  </conditionalFormatting>
  <conditionalFormatting sqref="K163:K164">
    <cfRule type="cellIs" dxfId="1548" priority="1636" operator="equal">
      <formula>0</formula>
    </cfRule>
  </conditionalFormatting>
  <conditionalFormatting sqref="K163:K164">
    <cfRule type="cellIs" dxfId="1547" priority="1635" operator="equal">
      <formula>"0 Policies"</formula>
    </cfRule>
  </conditionalFormatting>
  <conditionalFormatting sqref="E163:E164">
    <cfRule type="cellIs" dxfId="1546" priority="1634" operator="equal">
      <formula>0</formula>
    </cfRule>
  </conditionalFormatting>
  <conditionalFormatting sqref="E163:E164">
    <cfRule type="cellIs" dxfId="1545" priority="1633" operator="equal">
      <formula>0</formula>
    </cfRule>
  </conditionalFormatting>
  <conditionalFormatting sqref="D161:D162">
    <cfRule type="containsText" dxfId="1544" priority="1628" operator="containsText" text="Fri">
      <formula>NOT(ISERROR(SEARCH("Fri",D161)))</formula>
    </cfRule>
    <cfRule type="containsText" dxfId="1543" priority="1629" operator="containsText" text="Thu">
      <formula>NOT(ISERROR(SEARCH("Thu",D161)))</formula>
    </cfRule>
    <cfRule type="containsText" dxfId="1542" priority="1630" operator="containsText" text="Wed">
      <formula>NOT(ISERROR(SEARCH("Wed",D161)))</formula>
    </cfRule>
    <cfRule type="containsText" dxfId="1541" priority="1631" operator="containsText" text="Tue">
      <formula>NOT(ISERROR(SEARCH("Tue",D161)))</formula>
    </cfRule>
    <cfRule type="containsText" dxfId="1540" priority="1632" operator="containsText" text="Mon">
      <formula>NOT(ISERROR(SEARCH("Mon",D161)))</formula>
    </cfRule>
  </conditionalFormatting>
  <conditionalFormatting sqref="K161:K162">
    <cfRule type="cellIs" dxfId="1539" priority="1627" operator="equal">
      <formula>0</formula>
    </cfRule>
  </conditionalFormatting>
  <conditionalFormatting sqref="K161:K162">
    <cfRule type="cellIs" dxfId="1538" priority="1626" operator="equal">
      <formula>"0 Policies"</formula>
    </cfRule>
  </conditionalFormatting>
  <conditionalFormatting sqref="E161:E162">
    <cfRule type="cellIs" dxfId="1537" priority="1625" operator="equal">
      <formula>0</formula>
    </cfRule>
  </conditionalFormatting>
  <conditionalFormatting sqref="E161:E162">
    <cfRule type="cellIs" dxfId="1536" priority="1624" operator="equal">
      <formula>0</formula>
    </cfRule>
  </conditionalFormatting>
  <conditionalFormatting sqref="K173:K174">
    <cfRule type="cellIs" dxfId="1535" priority="1623" operator="equal">
      <formula>0</formula>
    </cfRule>
  </conditionalFormatting>
  <conditionalFormatting sqref="D173:D174">
    <cfRule type="containsText" dxfId="1534" priority="1618" operator="containsText" text="Fri">
      <formula>NOT(ISERROR(SEARCH("Fri",D173)))</formula>
    </cfRule>
    <cfRule type="containsText" dxfId="1533" priority="1619" operator="containsText" text="Thu">
      <formula>NOT(ISERROR(SEARCH("Thu",D173)))</formula>
    </cfRule>
    <cfRule type="containsText" dxfId="1532" priority="1620" operator="containsText" text="Wed">
      <formula>NOT(ISERROR(SEARCH("Wed",D173)))</formula>
    </cfRule>
    <cfRule type="containsText" dxfId="1531" priority="1621" operator="containsText" text="Tue">
      <formula>NOT(ISERROR(SEARCH("Tue",D173)))</formula>
    </cfRule>
    <cfRule type="containsText" dxfId="1530" priority="1622" operator="containsText" text="Mon">
      <formula>NOT(ISERROR(SEARCH("Mon",D173)))</formula>
    </cfRule>
  </conditionalFormatting>
  <conditionalFormatting sqref="K173:K174">
    <cfRule type="cellIs" dxfId="1529" priority="1617" operator="equal">
      <formula>"0 Policies"</formula>
    </cfRule>
  </conditionalFormatting>
  <conditionalFormatting sqref="D123">
    <cfRule type="containsText" dxfId="1528" priority="1612" operator="containsText" text="Fri">
      <formula>NOT(ISERROR(SEARCH("Fri",D123)))</formula>
    </cfRule>
    <cfRule type="containsText" dxfId="1527" priority="1613" operator="containsText" text="Thu">
      <formula>NOT(ISERROR(SEARCH("Thu",D123)))</formula>
    </cfRule>
    <cfRule type="containsText" dxfId="1526" priority="1614" operator="containsText" text="Wed">
      <formula>NOT(ISERROR(SEARCH("Wed",D123)))</formula>
    </cfRule>
    <cfRule type="containsText" dxfId="1525" priority="1615" operator="containsText" text="Tue">
      <formula>NOT(ISERROR(SEARCH("Tue",D123)))</formula>
    </cfRule>
    <cfRule type="containsText" dxfId="1524" priority="1616" operator="containsText" text="Mon">
      <formula>NOT(ISERROR(SEARCH("Mon",D123)))</formula>
    </cfRule>
  </conditionalFormatting>
  <conditionalFormatting sqref="E155">
    <cfRule type="cellIs" dxfId="1523" priority="1610" operator="equal">
      <formula>0</formula>
    </cfRule>
  </conditionalFormatting>
  <conditionalFormatting sqref="E155">
    <cfRule type="cellIs" dxfId="1522" priority="1609" operator="equal">
      <formula>0</formula>
    </cfRule>
  </conditionalFormatting>
  <conditionalFormatting sqref="K170">
    <cfRule type="cellIs" dxfId="1521" priority="1608" operator="equal">
      <formula>0</formula>
    </cfRule>
  </conditionalFormatting>
  <conditionalFormatting sqref="K170">
    <cfRule type="cellIs" dxfId="1520" priority="1607" operator="equal">
      <formula>"0 Policies"</formula>
    </cfRule>
  </conditionalFormatting>
  <conditionalFormatting sqref="K274:K275">
    <cfRule type="cellIs" dxfId="1519" priority="1573" operator="equal">
      <formula>0</formula>
    </cfRule>
  </conditionalFormatting>
  <conditionalFormatting sqref="D276:D278">
    <cfRule type="containsText" dxfId="1518" priority="1568" operator="containsText" text="Fri">
      <formula>NOT(ISERROR(SEARCH("Fri",D276)))</formula>
    </cfRule>
    <cfRule type="containsText" dxfId="1517" priority="1569" operator="containsText" text="Thu">
      <formula>NOT(ISERROR(SEARCH("Thu",D276)))</formula>
    </cfRule>
    <cfRule type="containsText" dxfId="1516" priority="1570" operator="containsText" text="Wed">
      <formula>NOT(ISERROR(SEARCH("Wed",D276)))</formula>
    </cfRule>
    <cfRule type="containsText" dxfId="1515" priority="1571" operator="containsText" text="Tue">
      <formula>NOT(ISERROR(SEARCH("Tue",D276)))</formula>
    </cfRule>
    <cfRule type="containsText" dxfId="1514" priority="1572" operator="containsText" text="Mon">
      <formula>NOT(ISERROR(SEARCH("Mon",D276)))</formula>
    </cfRule>
  </conditionalFormatting>
  <conditionalFormatting sqref="K310">
    <cfRule type="cellIs" dxfId="1513" priority="1526" operator="equal">
      <formula>0</formula>
    </cfRule>
  </conditionalFormatting>
  <conditionalFormatting sqref="D181:D272">
    <cfRule type="containsText" dxfId="1512" priority="1602" operator="containsText" text="Fri">
      <formula>NOT(ISERROR(SEARCH("Fri",D181)))</formula>
    </cfRule>
    <cfRule type="containsText" dxfId="1511" priority="1603" operator="containsText" text="Thu">
      <formula>NOT(ISERROR(SEARCH("Thu",D181)))</formula>
    </cfRule>
    <cfRule type="containsText" dxfId="1510" priority="1604" operator="containsText" text="Wed">
      <formula>NOT(ISERROR(SEARCH("Wed",D181)))</formula>
    </cfRule>
    <cfRule type="containsText" dxfId="1509" priority="1605" operator="containsText" text="Tue">
      <formula>NOT(ISERROR(SEARCH("Tue",D181)))</formula>
    </cfRule>
    <cfRule type="containsText" dxfId="1508" priority="1606" operator="containsText" text="Mon">
      <formula>NOT(ISERROR(SEARCH("Mon",D181)))</formula>
    </cfRule>
  </conditionalFormatting>
  <conditionalFormatting sqref="K232:K254">
    <cfRule type="cellIs" dxfId="1507" priority="1601" operator="equal">
      <formula>0</formula>
    </cfRule>
  </conditionalFormatting>
  <conditionalFormatting sqref="K181:K278">
    <cfRule type="cellIs" dxfId="1506" priority="1600" operator="equal">
      <formula>"0 Policies"</formula>
    </cfRule>
  </conditionalFormatting>
  <conditionalFormatting sqref="D175:D179">
    <cfRule type="containsText" dxfId="1505" priority="1595" operator="containsText" text="Fri">
      <formula>NOT(ISERROR(SEARCH("Fri",D175)))</formula>
    </cfRule>
    <cfRule type="containsText" dxfId="1504" priority="1596" operator="containsText" text="Thu">
      <formula>NOT(ISERROR(SEARCH("Thu",D175)))</formula>
    </cfRule>
    <cfRule type="containsText" dxfId="1503" priority="1597" operator="containsText" text="Wed">
      <formula>NOT(ISERROR(SEARCH("Wed",D175)))</formula>
    </cfRule>
    <cfRule type="containsText" dxfId="1502" priority="1598" operator="containsText" text="Tue">
      <formula>NOT(ISERROR(SEARCH("Tue",D175)))</formula>
    </cfRule>
    <cfRule type="containsText" dxfId="1501" priority="1599" operator="containsText" text="Mon">
      <formula>NOT(ISERROR(SEARCH("Mon",D175)))</formula>
    </cfRule>
  </conditionalFormatting>
  <conditionalFormatting sqref="K255 K181:K188 K175:K179">
    <cfRule type="cellIs" dxfId="1500" priority="1594" operator="equal">
      <formula>0</formula>
    </cfRule>
  </conditionalFormatting>
  <conditionalFormatting sqref="K175:K179">
    <cfRule type="cellIs" dxfId="1499" priority="1593" operator="equal">
      <formula>"0 Policies"</formula>
    </cfRule>
  </conditionalFormatting>
  <conditionalFormatting sqref="D180">
    <cfRule type="containsText" dxfId="1498" priority="1588" operator="containsText" text="Fri">
      <formula>NOT(ISERROR(SEARCH("Fri",D180)))</formula>
    </cfRule>
    <cfRule type="containsText" dxfId="1497" priority="1589" operator="containsText" text="Thu">
      <formula>NOT(ISERROR(SEARCH("Thu",D180)))</formula>
    </cfRule>
    <cfRule type="containsText" dxfId="1496" priority="1590" operator="containsText" text="Wed">
      <formula>NOT(ISERROR(SEARCH("Wed",D180)))</formula>
    </cfRule>
    <cfRule type="containsText" dxfId="1495" priority="1591" operator="containsText" text="Tue">
      <formula>NOT(ISERROR(SEARCH("Tue",D180)))</formula>
    </cfRule>
    <cfRule type="containsText" dxfId="1494" priority="1592" operator="containsText" text="Mon">
      <formula>NOT(ISERROR(SEARCH("Mon",D180)))</formula>
    </cfRule>
  </conditionalFormatting>
  <conditionalFormatting sqref="K180">
    <cfRule type="cellIs" dxfId="1493" priority="1587" operator="equal">
      <formula>0</formula>
    </cfRule>
  </conditionalFormatting>
  <conditionalFormatting sqref="K180">
    <cfRule type="cellIs" dxfId="1492" priority="1586" operator="equal">
      <formula>"0 Policies"</formula>
    </cfRule>
  </conditionalFormatting>
  <conditionalFormatting sqref="K189:K204">
    <cfRule type="cellIs" dxfId="1491" priority="1585" operator="equal">
      <formula>0</formula>
    </cfRule>
  </conditionalFormatting>
  <conditionalFormatting sqref="K205:K216">
    <cfRule type="cellIs" dxfId="1490" priority="1584" operator="equal">
      <formula>0</formula>
    </cfRule>
  </conditionalFormatting>
  <conditionalFormatting sqref="K217:K231">
    <cfRule type="cellIs" dxfId="1489" priority="1583" operator="equal">
      <formula>0</formula>
    </cfRule>
  </conditionalFormatting>
  <conditionalFormatting sqref="K256:K266">
    <cfRule type="cellIs" dxfId="1488" priority="1582" operator="equal">
      <formula>0</formula>
    </cfRule>
  </conditionalFormatting>
  <conditionalFormatting sqref="K267">
    <cfRule type="cellIs" dxfId="1487" priority="1581" operator="equal">
      <formula>0</formula>
    </cfRule>
  </conditionalFormatting>
  <conditionalFormatting sqref="K268:K272">
    <cfRule type="cellIs" dxfId="1486" priority="1580" operator="equal">
      <formula>0</formula>
    </cfRule>
  </conditionalFormatting>
  <conditionalFormatting sqref="D273:D275">
    <cfRule type="containsText" dxfId="1485" priority="1575" operator="containsText" text="Fri">
      <formula>NOT(ISERROR(SEARCH("Fri",D273)))</formula>
    </cfRule>
    <cfRule type="containsText" dxfId="1484" priority="1576" operator="containsText" text="Thu">
      <formula>NOT(ISERROR(SEARCH("Thu",D273)))</formula>
    </cfRule>
    <cfRule type="containsText" dxfId="1483" priority="1577" operator="containsText" text="Wed">
      <formula>NOT(ISERROR(SEARCH("Wed",D273)))</formula>
    </cfRule>
    <cfRule type="containsText" dxfId="1482" priority="1578" operator="containsText" text="Tue">
      <formula>NOT(ISERROR(SEARCH("Tue",D273)))</formula>
    </cfRule>
    <cfRule type="containsText" dxfId="1481" priority="1579" operator="containsText" text="Mon">
      <formula>NOT(ISERROR(SEARCH("Mon",D273)))</formula>
    </cfRule>
  </conditionalFormatting>
  <conditionalFormatting sqref="K273">
    <cfRule type="cellIs" dxfId="1480" priority="1574" operator="equal">
      <formula>0</formula>
    </cfRule>
  </conditionalFormatting>
  <conditionalFormatting sqref="K276:K277">
    <cfRule type="cellIs" dxfId="1479" priority="1567" operator="equal">
      <formula>0</formula>
    </cfRule>
  </conditionalFormatting>
  <conditionalFormatting sqref="K278">
    <cfRule type="cellIs" dxfId="1478" priority="1566" operator="equal">
      <formula>0</formula>
    </cfRule>
  </conditionalFormatting>
  <conditionalFormatting sqref="D279:D283">
    <cfRule type="containsText" dxfId="1477" priority="1561" operator="containsText" text="Fri">
      <formula>NOT(ISERROR(SEARCH("Fri",D279)))</formula>
    </cfRule>
    <cfRule type="containsText" dxfId="1476" priority="1562" operator="containsText" text="Thu">
      <formula>NOT(ISERROR(SEARCH("Thu",D279)))</formula>
    </cfRule>
    <cfRule type="containsText" dxfId="1475" priority="1563" operator="containsText" text="Wed">
      <formula>NOT(ISERROR(SEARCH("Wed",D279)))</formula>
    </cfRule>
    <cfRule type="containsText" dxfId="1474" priority="1564" operator="containsText" text="Tue">
      <formula>NOT(ISERROR(SEARCH("Tue",D279)))</formula>
    </cfRule>
    <cfRule type="containsText" dxfId="1473" priority="1565" operator="containsText" text="Mon">
      <formula>NOT(ISERROR(SEARCH("Mon",D279)))</formula>
    </cfRule>
  </conditionalFormatting>
  <conditionalFormatting sqref="K279:K283">
    <cfRule type="cellIs" dxfId="1472" priority="1560" operator="equal">
      <formula>0</formula>
    </cfRule>
  </conditionalFormatting>
  <conditionalFormatting sqref="K279:K283">
    <cfRule type="cellIs" dxfId="1471" priority="1559" operator="equal">
      <formula>"0 Policies"</formula>
    </cfRule>
  </conditionalFormatting>
  <conditionalFormatting sqref="D284:D294">
    <cfRule type="containsText" dxfId="1470" priority="1554" operator="containsText" text="Fri">
      <formula>NOT(ISERROR(SEARCH("Fri",D284)))</formula>
    </cfRule>
    <cfRule type="containsText" dxfId="1469" priority="1555" operator="containsText" text="Thu">
      <formula>NOT(ISERROR(SEARCH("Thu",D284)))</formula>
    </cfRule>
    <cfRule type="containsText" dxfId="1468" priority="1556" operator="containsText" text="Wed">
      <formula>NOT(ISERROR(SEARCH("Wed",D284)))</formula>
    </cfRule>
    <cfRule type="containsText" dxfId="1467" priority="1557" operator="containsText" text="Tue">
      <formula>NOT(ISERROR(SEARCH("Tue",D284)))</formula>
    </cfRule>
    <cfRule type="containsText" dxfId="1466" priority="1558" operator="containsText" text="Mon">
      <formula>NOT(ISERROR(SEARCH("Mon",D284)))</formula>
    </cfRule>
  </conditionalFormatting>
  <conditionalFormatting sqref="K284:K293">
    <cfRule type="cellIs" dxfId="1465" priority="1553" operator="equal">
      <formula>0</formula>
    </cfRule>
  </conditionalFormatting>
  <conditionalFormatting sqref="K284:K294">
    <cfRule type="cellIs" dxfId="1464" priority="1552" operator="equal">
      <formula>"0 Policies"</formula>
    </cfRule>
  </conditionalFormatting>
  <conditionalFormatting sqref="K294">
    <cfRule type="cellIs" dxfId="1463" priority="1551" operator="equal">
      <formula>0</formula>
    </cfRule>
  </conditionalFormatting>
  <conditionalFormatting sqref="D295:D298">
    <cfRule type="containsText" dxfId="1462" priority="1546" operator="containsText" text="Fri">
      <formula>NOT(ISERROR(SEARCH("Fri",D295)))</formula>
    </cfRule>
    <cfRule type="containsText" dxfId="1461" priority="1547" operator="containsText" text="Thu">
      <formula>NOT(ISERROR(SEARCH("Thu",D295)))</formula>
    </cfRule>
    <cfRule type="containsText" dxfId="1460" priority="1548" operator="containsText" text="Wed">
      <formula>NOT(ISERROR(SEARCH("Wed",D295)))</formula>
    </cfRule>
    <cfRule type="containsText" dxfId="1459" priority="1549" operator="containsText" text="Tue">
      <formula>NOT(ISERROR(SEARCH("Tue",D295)))</formula>
    </cfRule>
    <cfRule type="containsText" dxfId="1458" priority="1550" operator="containsText" text="Mon">
      <formula>NOT(ISERROR(SEARCH("Mon",D295)))</formula>
    </cfRule>
  </conditionalFormatting>
  <conditionalFormatting sqref="K295:K298">
    <cfRule type="cellIs" dxfId="1457" priority="1545" operator="equal">
      <formula>0</formula>
    </cfRule>
  </conditionalFormatting>
  <conditionalFormatting sqref="K295:K298">
    <cfRule type="cellIs" dxfId="1456" priority="1544" operator="equal">
      <formula>"0 Policies"</formula>
    </cfRule>
  </conditionalFormatting>
  <conditionalFormatting sqref="D299:D302">
    <cfRule type="containsText" dxfId="1455" priority="1539" operator="containsText" text="Fri">
      <formula>NOT(ISERROR(SEARCH("Fri",D299)))</formula>
    </cfRule>
    <cfRule type="containsText" dxfId="1454" priority="1540" operator="containsText" text="Thu">
      <formula>NOT(ISERROR(SEARCH("Thu",D299)))</formula>
    </cfRule>
    <cfRule type="containsText" dxfId="1453" priority="1541" operator="containsText" text="Wed">
      <formula>NOT(ISERROR(SEARCH("Wed",D299)))</formula>
    </cfRule>
    <cfRule type="containsText" dxfId="1452" priority="1542" operator="containsText" text="Tue">
      <formula>NOT(ISERROR(SEARCH("Tue",D299)))</formula>
    </cfRule>
    <cfRule type="containsText" dxfId="1451" priority="1543" operator="containsText" text="Mon">
      <formula>NOT(ISERROR(SEARCH("Mon",D299)))</formula>
    </cfRule>
  </conditionalFormatting>
  <conditionalFormatting sqref="K299:K302">
    <cfRule type="cellIs" dxfId="1450" priority="1538" operator="equal">
      <formula>0</formula>
    </cfRule>
  </conditionalFormatting>
  <conditionalFormatting sqref="K299:K302">
    <cfRule type="cellIs" dxfId="1449" priority="1537" operator="equal">
      <formula>"0 Policies"</formula>
    </cfRule>
  </conditionalFormatting>
  <conditionalFormatting sqref="D303:D310">
    <cfRule type="containsText" dxfId="1448" priority="1532" operator="containsText" text="Fri">
      <formula>NOT(ISERROR(SEARCH("Fri",D303)))</formula>
    </cfRule>
    <cfRule type="containsText" dxfId="1447" priority="1533" operator="containsText" text="Thu">
      <formula>NOT(ISERROR(SEARCH("Thu",D303)))</formula>
    </cfRule>
    <cfRule type="containsText" dxfId="1446" priority="1534" operator="containsText" text="Wed">
      <formula>NOT(ISERROR(SEARCH("Wed",D303)))</formula>
    </cfRule>
    <cfRule type="containsText" dxfId="1445" priority="1535" operator="containsText" text="Tue">
      <formula>NOT(ISERROR(SEARCH("Tue",D303)))</formula>
    </cfRule>
    <cfRule type="containsText" dxfId="1444" priority="1536" operator="containsText" text="Mon">
      <formula>NOT(ISERROR(SEARCH("Mon",D303)))</formula>
    </cfRule>
  </conditionalFormatting>
  <conditionalFormatting sqref="F303:F310">
    <cfRule type="cellIs" dxfId="1443" priority="1531" operator="equal">
      <formula>0</formula>
    </cfRule>
  </conditionalFormatting>
  <conditionalFormatting sqref="E303:E310">
    <cfRule type="cellIs" dxfId="1442" priority="1530" operator="equal">
      <formula>0</formula>
    </cfRule>
  </conditionalFormatting>
  <conditionalFormatting sqref="H303:H310">
    <cfRule type="cellIs" dxfId="1441" priority="1529" operator="equal">
      <formula>0</formula>
    </cfRule>
  </conditionalFormatting>
  <conditionalFormatting sqref="K303:K309">
    <cfRule type="cellIs" dxfId="1440" priority="1528" operator="equal">
      <formula>0</formula>
    </cfRule>
  </conditionalFormatting>
  <conditionalFormatting sqref="K303:K310">
    <cfRule type="cellIs" dxfId="1439" priority="1527" operator="equal">
      <formula>"0 Policies"</formula>
    </cfRule>
  </conditionalFormatting>
  <conditionalFormatting sqref="E311:H411">
    <cfRule type="cellIs" dxfId="1438" priority="1525" operator="equal">
      <formula>0</formula>
    </cfRule>
  </conditionalFormatting>
  <conditionalFormatting sqref="J317:J411">
    <cfRule type="cellIs" dxfId="1437" priority="1524" operator="equal">
      <formula>"0 Policies"</formula>
    </cfRule>
  </conditionalFormatting>
  <conditionalFormatting sqref="D317:D409 D311:D315">
    <cfRule type="containsText" dxfId="1436" priority="1519" operator="containsText" text="Fri">
      <formula>NOT(ISERROR(SEARCH("Fri",D311)))</formula>
    </cfRule>
    <cfRule type="containsText" dxfId="1435" priority="1520" operator="containsText" text="Thu">
      <formula>NOT(ISERROR(SEARCH("Thu",D311)))</formula>
    </cfRule>
    <cfRule type="containsText" dxfId="1434" priority="1521" operator="containsText" text="Wed">
      <formula>NOT(ISERROR(SEARCH("Wed",D311)))</formula>
    </cfRule>
    <cfRule type="containsText" dxfId="1433" priority="1522" operator="containsText" text="Tue">
      <formula>NOT(ISERROR(SEARCH("Tue",D311)))</formula>
    </cfRule>
    <cfRule type="containsText" dxfId="1432" priority="1523" operator="containsText" text="Mon">
      <formula>NOT(ISERROR(SEARCH("Mon",D311)))</formula>
    </cfRule>
  </conditionalFormatting>
  <conditionalFormatting sqref="J392 J317:J324 J311:J315">
    <cfRule type="cellIs" dxfId="1431" priority="1518" operator="equal">
      <formula>0</formula>
    </cfRule>
  </conditionalFormatting>
  <conditionalFormatting sqref="K392 K317:K324 K311:K315">
    <cfRule type="cellIs" dxfId="1430" priority="1517" operator="equal">
      <formula>0</formula>
    </cfRule>
  </conditionalFormatting>
  <conditionalFormatting sqref="J311:J315">
    <cfRule type="cellIs" dxfId="1429" priority="1516" operator="equal">
      <formula>"0 Policies"</formula>
    </cfRule>
  </conditionalFormatting>
  <conditionalFormatting sqref="D316">
    <cfRule type="containsText" dxfId="1428" priority="1511" operator="containsText" text="Fri">
      <formula>NOT(ISERROR(SEARCH("Fri",D316)))</formula>
    </cfRule>
    <cfRule type="containsText" dxfId="1427" priority="1512" operator="containsText" text="Thu">
      <formula>NOT(ISERROR(SEARCH("Thu",D316)))</formula>
    </cfRule>
    <cfRule type="containsText" dxfId="1426" priority="1513" operator="containsText" text="Wed">
      <formula>NOT(ISERROR(SEARCH("Wed",D316)))</formula>
    </cfRule>
    <cfRule type="containsText" dxfId="1425" priority="1514" operator="containsText" text="Tue">
      <formula>NOT(ISERROR(SEARCH("Tue",D316)))</formula>
    </cfRule>
    <cfRule type="containsText" dxfId="1424" priority="1515" operator="containsText" text="Mon">
      <formula>NOT(ISERROR(SEARCH("Mon",D316)))</formula>
    </cfRule>
  </conditionalFormatting>
  <conditionalFormatting sqref="J316">
    <cfRule type="cellIs" dxfId="1423" priority="1510" operator="equal">
      <formula>0</formula>
    </cfRule>
  </conditionalFormatting>
  <conditionalFormatting sqref="K316">
    <cfRule type="cellIs" dxfId="1422" priority="1509" operator="equal">
      <formula>0</formula>
    </cfRule>
  </conditionalFormatting>
  <conditionalFormatting sqref="J316">
    <cfRule type="cellIs" dxfId="1421" priority="1508" operator="equal">
      <formula>"0 Policies"</formula>
    </cfRule>
  </conditionalFormatting>
  <conditionalFormatting sqref="J325:J340">
    <cfRule type="cellIs" dxfId="1420" priority="1507" operator="equal">
      <formula>0</formula>
    </cfRule>
  </conditionalFormatting>
  <conditionalFormatting sqref="K325:K340">
    <cfRule type="cellIs" dxfId="1419" priority="1506" operator="equal">
      <formula>0</formula>
    </cfRule>
  </conditionalFormatting>
  <conditionalFormatting sqref="J341:J352">
    <cfRule type="cellIs" dxfId="1418" priority="1505" operator="equal">
      <formula>0</formula>
    </cfRule>
  </conditionalFormatting>
  <conditionalFormatting sqref="K341:K352">
    <cfRule type="cellIs" dxfId="1417" priority="1504" operator="equal">
      <formula>0</formula>
    </cfRule>
  </conditionalFormatting>
  <conditionalFormatting sqref="J353:J367">
    <cfRule type="cellIs" dxfId="1416" priority="1503" operator="equal">
      <formula>0</formula>
    </cfRule>
  </conditionalFormatting>
  <conditionalFormatting sqref="K353:K367">
    <cfRule type="cellIs" dxfId="1415" priority="1502" operator="equal">
      <formula>0</formula>
    </cfRule>
  </conditionalFormatting>
  <conditionalFormatting sqref="J368:J391">
    <cfRule type="cellIs" dxfId="1414" priority="1501" operator="equal">
      <formula>0</formula>
    </cfRule>
  </conditionalFormatting>
  <conditionalFormatting sqref="K368:K391">
    <cfRule type="cellIs" dxfId="1413" priority="1500" operator="equal">
      <formula>0</formula>
    </cfRule>
  </conditionalFormatting>
  <conditionalFormatting sqref="J393:J403">
    <cfRule type="cellIs" dxfId="1412" priority="1499" operator="equal">
      <formula>0</formula>
    </cfRule>
  </conditionalFormatting>
  <conditionalFormatting sqref="K393:K403">
    <cfRule type="cellIs" dxfId="1411" priority="1498" operator="equal">
      <formula>0</formula>
    </cfRule>
  </conditionalFormatting>
  <conditionalFormatting sqref="J404">
    <cfRule type="cellIs" dxfId="1410" priority="1497" operator="equal">
      <formula>0</formula>
    </cfRule>
  </conditionalFormatting>
  <conditionalFormatting sqref="K404">
    <cfRule type="cellIs" dxfId="1409" priority="1496" operator="equal">
      <formula>0</formula>
    </cfRule>
  </conditionalFormatting>
  <conditionalFormatting sqref="J405:J409">
    <cfRule type="cellIs" dxfId="1408" priority="1495" operator="equal">
      <formula>0</formula>
    </cfRule>
  </conditionalFormatting>
  <conditionalFormatting sqref="K405:K409">
    <cfRule type="cellIs" dxfId="1407" priority="1494" operator="equal">
      <formula>0</formula>
    </cfRule>
  </conditionalFormatting>
  <conditionalFormatting sqref="D410:D411">
    <cfRule type="containsText" dxfId="1406" priority="1489" operator="containsText" text="Fri">
      <formula>NOT(ISERROR(SEARCH("Fri",D410)))</formula>
    </cfRule>
    <cfRule type="containsText" dxfId="1405" priority="1490" operator="containsText" text="Thu">
      <formula>NOT(ISERROR(SEARCH("Thu",D410)))</formula>
    </cfRule>
    <cfRule type="containsText" dxfId="1404" priority="1491" operator="containsText" text="Wed">
      <formula>NOT(ISERROR(SEARCH("Wed",D410)))</formula>
    </cfRule>
    <cfRule type="containsText" dxfId="1403" priority="1492" operator="containsText" text="Tue">
      <formula>NOT(ISERROR(SEARCH("Tue",D410)))</formula>
    </cfRule>
    <cfRule type="containsText" dxfId="1402" priority="1493" operator="containsText" text="Mon">
      <formula>NOT(ISERROR(SEARCH("Mon",D410)))</formula>
    </cfRule>
  </conditionalFormatting>
  <conditionalFormatting sqref="J410">
    <cfRule type="cellIs" dxfId="1401" priority="1488" operator="equal">
      <formula>0</formula>
    </cfRule>
  </conditionalFormatting>
  <conditionalFormatting sqref="K410">
    <cfRule type="cellIs" dxfId="1400" priority="1487" operator="equal">
      <formula>0</formula>
    </cfRule>
  </conditionalFormatting>
  <conditionalFormatting sqref="J411">
    <cfRule type="cellIs" dxfId="1399" priority="1486" operator="equal">
      <formula>0</formula>
    </cfRule>
  </conditionalFormatting>
  <conditionalFormatting sqref="K411">
    <cfRule type="cellIs" dxfId="1398" priority="1485" operator="equal">
      <formula>0</formula>
    </cfRule>
  </conditionalFormatting>
  <conditionalFormatting sqref="D418:D471">
    <cfRule type="containsText" dxfId="1397" priority="1480" operator="containsText" text="Fri">
      <formula>NOT(ISERROR(SEARCH("Fri",D418)))</formula>
    </cfRule>
    <cfRule type="containsText" dxfId="1396" priority="1481" operator="containsText" text="Thu">
      <formula>NOT(ISERROR(SEARCH("Thu",D418)))</formula>
    </cfRule>
    <cfRule type="containsText" dxfId="1395" priority="1482" operator="containsText" text="Wed">
      <formula>NOT(ISERROR(SEARCH("Wed",D418)))</formula>
    </cfRule>
    <cfRule type="containsText" dxfId="1394" priority="1483" operator="containsText" text="Tue">
      <formula>NOT(ISERROR(SEARCH("Tue",D418)))</formula>
    </cfRule>
    <cfRule type="containsText" dxfId="1393" priority="1484" operator="containsText" text="Mon">
      <formula>NOT(ISERROR(SEARCH("Mon",D418)))</formula>
    </cfRule>
  </conditionalFormatting>
  <conditionalFormatting sqref="J418:K424 E412:H471">
    <cfRule type="cellIs" dxfId="1392" priority="1479" operator="equal">
      <formula>0</formula>
    </cfRule>
  </conditionalFormatting>
  <conditionalFormatting sqref="J418:J471">
    <cfRule type="cellIs" dxfId="1391" priority="1478" operator="equal">
      <formula>"0 Policies"</formula>
    </cfRule>
  </conditionalFormatting>
  <conditionalFormatting sqref="D412:D416">
    <cfRule type="containsText" dxfId="1390" priority="1473" operator="containsText" text="Fri">
      <formula>NOT(ISERROR(SEARCH("Fri",D412)))</formula>
    </cfRule>
    <cfRule type="containsText" dxfId="1389" priority="1474" operator="containsText" text="Thu">
      <formula>NOT(ISERROR(SEARCH("Thu",D412)))</formula>
    </cfRule>
    <cfRule type="containsText" dxfId="1388" priority="1475" operator="containsText" text="Wed">
      <formula>NOT(ISERROR(SEARCH("Wed",D412)))</formula>
    </cfRule>
    <cfRule type="containsText" dxfId="1387" priority="1476" operator="containsText" text="Tue">
      <formula>NOT(ISERROR(SEARCH("Tue",D412)))</formula>
    </cfRule>
    <cfRule type="containsText" dxfId="1386" priority="1477" operator="containsText" text="Mon">
      <formula>NOT(ISERROR(SEARCH("Mon",D412)))</formula>
    </cfRule>
  </conditionalFormatting>
  <conditionalFormatting sqref="J412:J416">
    <cfRule type="cellIs" dxfId="1385" priority="1472" operator="equal">
      <formula>0</formula>
    </cfRule>
  </conditionalFormatting>
  <conditionalFormatting sqref="K412:K416">
    <cfRule type="cellIs" dxfId="1384" priority="1471" operator="equal">
      <formula>0</formula>
    </cfRule>
  </conditionalFormatting>
  <conditionalFormatting sqref="J412:J416">
    <cfRule type="cellIs" dxfId="1383" priority="1470" operator="equal">
      <formula>"0 Policies"</formula>
    </cfRule>
  </conditionalFormatting>
  <conditionalFormatting sqref="D417">
    <cfRule type="containsText" dxfId="1382" priority="1465" operator="containsText" text="Fri">
      <formula>NOT(ISERROR(SEARCH("Fri",D417)))</formula>
    </cfRule>
    <cfRule type="containsText" dxfId="1381" priority="1466" operator="containsText" text="Thu">
      <formula>NOT(ISERROR(SEARCH("Thu",D417)))</formula>
    </cfRule>
    <cfRule type="containsText" dxfId="1380" priority="1467" operator="containsText" text="Wed">
      <formula>NOT(ISERROR(SEARCH("Wed",D417)))</formula>
    </cfRule>
    <cfRule type="containsText" dxfId="1379" priority="1468" operator="containsText" text="Tue">
      <formula>NOT(ISERROR(SEARCH("Tue",D417)))</formula>
    </cfRule>
    <cfRule type="containsText" dxfId="1378" priority="1469" operator="containsText" text="Mon">
      <formula>NOT(ISERROR(SEARCH("Mon",D417)))</formula>
    </cfRule>
  </conditionalFormatting>
  <conditionalFormatting sqref="J417">
    <cfRule type="cellIs" dxfId="1377" priority="1464" operator="equal">
      <formula>0</formula>
    </cfRule>
  </conditionalFormatting>
  <conditionalFormatting sqref="K417">
    <cfRule type="cellIs" dxfId="1376" priority="1463" operator="equal">
      <formula>0</formula>
    </cfRule>
  </conditionalFormatting>
  <conditionalFormatting sqref="J417">
    <cfRule type="cellIs" dxfId="1375" priority="1462" operator="equal">
      <formula>"0 Policies"</formula>
    </cfRule>
  </conditionalFormatting>
  <conditionalFormatting sqref="J425:J440">
    <cfRule type="cellIs" dxfId="1374" priority="1461" operator="equal">
      <formula>0</formula>
    </cfRule>
  </conditionalFormatting>
  <conditionalFormatting sqref="K425:K440">
    <cfRule type="cellIs" dxfId="1373" priority="1460" operator="equal">
      <formula>0</formula>
    </cfRule>
  </conditionalFormatting>
  <conditionalFormatting sqref="J441:J452">
    <cfRule type="cellIs" dxfId="1372" priority="1459" operator="equal">
      <formula>0</formula>
    </cfRule>
  </conditionalFormatting>
  <conditionalFormatting sqref="K441:K452">
    <cfRule type="cellIs" dxfId="1371" priority="1458" operator="equal">
      <formula>0</formula>
    </cfRule>
  </conditionalFormatting>
  <conditionalFormatting sqref="J453:J467">
    <cfRule type="cellIs" dxfId="1370" priority="1457" operator="equal">
      <formula>0</formula>
    </cfRule>
  </conditionalFormatting>
  <conditionalFormatting sqref="K453:K467">
    <cfRule type="cellIs" dxfId="1369" priority="1456" operator="equal">
      <formula>0</formula>
    </cfRule>
  </conditionalFormatting>
  <conditionalFormatting sqref="J468:J471">
    <cfRule type="cellIs" dxfId="1368" priority="1455" operator="equal">
      <formula>0</formula>
    </cfRule>
  </conditionalFormatting>
  <conditionalFormatting sqref="K469:K471">
    <cfRule type="cellIs" dxfId="1367" priority="1454" operator="equal">
      <formula>0</formula>
    </cfRule>
  </conditionalFormatting>
  <conditionalFormatting sqref="K468">
    <cfRule type="cellIs" dxfId="1366" priority="1453" operator="equal">
      <formula>"0 Policies"</formula>
    </cfRule>
  </conditionalFormatting>
  <conditionalFormatting sqref="K468">
    <cfRule type="cellIs" dxfId="1365" priority="1452" operator="equal">
      <formula>0</formula>
    </cfRule>
  </conditionalFormatting>
  <conditionalFormatting sqref="J468">
    <cfRule type="cellIs" dxfId="1364" priority="1451" operator="equal">
      <formula>0</formula>
    </cfRule>
  </conditionalFormatting>
  <conditionalFormatting sqref="D472:D487">
    <cfRule type="containsText" dxfId="1363" priority="1446" operator="containsText" text="Fri">
      <formula>NOT(ISERROR(SEARCH("Fri",D472)))</formula>
    </cfRule>
    <cfRule type="containsText" dxfId="1362" priority="1447" operator="containsText" text="Thu">
      <formula>NOT(ISERROR(SEARCH("Thu",D472)))</formula>
    </cfRule>
    <cfRule type="containsText" dxfId="1361" priority="1448" operator="containsText" text="Wed">
      <formula>NOT(ISERROR(SEARCH("Wed",D472)))</formula>
    </cfRule>
    <cfRule type="containsText" dxfId="1360" priority="1449" operator="containsText" text="Tue">
      <formula>NOT(ISERROR(SEARCH("Tue",D472)))</formula>
    </cfRule>
    <cfRule type="containsText" dxfId="1359" priority="1450" operator="containsText" text="Mon">
      <formula>NOT(ISERROR(SEARCH("Mon",D472)))</formula>
    </cfRule>
  </conditionalFormatting>
  <conditionalFormatting sqref="E472:K551">
    <cfRule type="cellIs" dxfId="1358" priority="1445" operator="equal">
      <formula>0</formula>
    </cfRule>
  </conditionalFormatting>
  <conditionalFormatting sqref="A472:B551">
    <cfRule type="cellIs" dxfId="1357" priority="1444" operator="equal">
      <formula>0</formula>
    </cfRule>
  </conditionalFormatting>
  <conditionalFormatting sqref="D488:D494">
    <cfRule type="containsText" dxfId="1356" priority="1439" operator="containsText" text="Fri">
      <formula>NOT(ISERROR(SEARCH("Fri",D488)))</formula>
    </cfRule>
    <cfRule type="containsText" dxfId="1355" priority="1440" operator="containsText" text="Thu">
      <formula>NOT(ISERROR(SEARCH("Thu",D488)))</formula>
    </cfRule>
    <cfRule type="containsText" dxfId="1354" priority="1441" operator="containsText" text="Wed">
      <formula>NOT(ISERROR(SEARCH("Wed",D488)))</formula>
    </cfRule>
    <cfRule type="containsText" dxfId="1353" priority="1442" operator="containsText" text="Tue">
      <formula>NOT(ISERROR(SEARCH("Tue",D488)))</formula>
    </cfRule>
    <cfRule type="containsText" dxfId="1352" priority="1443" operator="containsText" text="Mon">
      <formula>NOT(ISERROR(SEARCH("Mon",D488)))</formula>
    </cfRule>
  </conditionalFormatting>
  <conditionalFormatting sqref="D495">
    <cfRule type="containsText" dxfId="1351" priority="1434" operator="containsText" text="Fri">
      <formula>NOT(ISERROR(SEARCH("Fri",D495)))</formula>
    </cfRule>
    <cfRule type="containsText" dxfId="1350" priority="1435" operator="containsText" text="Thu">
      <formula>NOT(ISERROR(SEARCH("Thu",D495)))</formula>
    </cfRule>
    <cfRule type="containsText" dxfId="1349" priority="1436" operator="containsText" text="Wed">
      <formula>NOT(ISERROR(SEARCH("Wed",D495)))</formula>
    </cfRule>
    <cfRule type="containsText" dxfId="1348" priority="1437" operator="containsText" text="Tue">
      <formula>NOT(ISERROR(SEARCH("Tue",D495)))</formula>
    </cfRule>
    <cfRule type="containsText" dxfId="1347" priority="1438" operator="containsText" text="Mon">
      <formula>NOT(ISERROR(SEARCH("Mon",D495)))</formula>
    </cfRule>
  </conditionalFormatting>
  <conditionalFormatting sqref="D496">
    <cfRule type="containsText" dxfId="1346" priority="1429" operator="containsText" text="Fri">
      <formula>NOT(ISERROR(SEARCH("Fri",D496)))</formula>
    </cfRule>
    <cfRule type="containsText" dxfId="1345" priority="1430" operator="containsText" text="Thu">
      <formula>NOT(ISERROR(SEARCH("Thu",D496)))</formula>
    </cfRule>
    <cfRule type="containsText" dxfId="1344" priority="1431" operator="containsText" text="Wed">
      <formula>NOT(ISERROR(SEARCH("Wed",D496)))</formula>
    </cfRule>
    <cfRule type="containsText" dxfId="1343" priority="1432" operator="containsText" text="Tue">
      <formula>NOT(ISERROR(SEARCH("Tue",D496)))</formula>
    </cfRule>
    <cfRule type="containsText" dxfId="1342" priority="1433" operator="containsText" text="Mon">
      <formula>NOT(ISERROR(SEARCH("Mon",D496)))</formula>
    </cfRule>
  </conditionalFormatting>
  <conditionalFormatting sqref="D497">
    <cfRule type="containsText" dxfId="1341" priority="1424" operator="containsText" text="Fri">
      <formula>NOT(ISERROR(SEARCH("Fri",D497)))</formula>
    </cfRule>
    <cfRule type="containsText" dxfId="1340" priority="1425" operator="containsText" text="Thu">
      <formula>NOT(ISERROR(SEARCH("Thu",D497)))</formula>
    </cfRule>
    <cfRule type="containsText" dxfId="1339" priority="1426" operator="containsText" text="Wed">
      <formula>NOT(ISERROR(SEARCH("Wed",D497)))</formula>
    </cfRule>
    <cfRule type="containsText" dxfId="1338" priority="1427" operator="containsText" text="Tue">
      <formula>NOT(ISERROR(SEARCH("Tue",D497)))</formula>
    </cfRule>
    <cfRule type="containsText" dxfId="1337" priority="1428" operator="containsText" text="Mon">
      <formula>NOT(ISERROR(SEARCH("Mon",D497)))</formula>
    </cfRule>
  </conditionalFormatting>
  <conditionalFormatting sqref="D498">
    <cfRule type="containsText" dxfId="1336" priority="1419" operator="containsText" text="Fri">
      <formula>NOT(ISERROR(SEARCH("Fri",D498)))</formula>
    </cfRule>
    <cfRule type="containsText" dxfId="1335" priority="1420" operator="containsText" text="Thu">
      <formula>NOT(ISERROR(SEARCH("Thu",D498)))</formula>
    </cfRule>
    <cfRule type="containsText" dxfId="1334" priority="1421" operator="containsText" text="Wed">
      <formula>NOT(ISERROR(SEARCH("Wed",D498)))</formula>
    </cfRule>
    <cfRule type="containsText" dxfId="1333" priority="1422" operator="containsText" text="Tue">
      <formula>NOT(ISERROR(SEARCH("Tue",D498)))</formula>
    </cfRule>
    <cfRule type="containsText" dxfId="1332" priority="1423" operator="containsText" text="Mon">
      <formula>NOT(ISERROR(SEARCH("Mon",D498)))</formula>
    </cfRule>
  </conditionalFormatting>
  <conditionalFormatting sqref="D499">
    <cfRule type="containsText" dxfId="1331" priority="1414" operator="containsText" text="Fri">
      <formula>NOT(ISERROR(SEARCH("Fri",D499)))</formula>
    </cfRule>
    <cfRule type="containsText" dxfId="1330" priority="1415" operator="containsText" text="Thu">
      <formula>NOT(ISERROR(SEARCH("Thu",D499)))</formula>
    </cfRule>
    <cfRule type="containsText" dxfId="1329" priority="1416" operator="containsText" text="Wed">
      <formula>NOT(ISERROR(SEARCH("Wed",D499)))</formula>
    </cfRule>
    <cfRule type="containsText" dxfId="1328" priority="1417" operator="containsText" text="Tue">
      <formula>NOT(ISERROR(SEARCH("Tue",D499)))</formula>
    </cfRule>
    <cfRule type="containsText" dxfId="1327" priority="1418" operator="containsText" text="Mon">
      <formula>NOT(ISERROR(SEARCH("Mon",D499)))</formula>
    </cfRule>
  </conditionalFormatting>
  <conditionalFormatting sqref="D500">
    <cfRule type="containsText" dxfId="1326" priority="1409" operator="containsText" text="Fri">
      <formula>NOT(ISERROR(SEARCH("Fri",D500)))</formula>
    </cfRule>
    <cfRule type="containsText" dxfId="1325" priority="1410" operator="containsText" text="Thu">
      <formula>NOT(ISERROR(SEARCH("Thu",D500)))</formula>
    </cfRule>
    <cfRule type="containsText" dxfId="1324" priority="1411" operator="containsText" text="Wed">
      <formula>NOT(ISERROR(SEARCH("Wed",D500)))</formula>
    </cfRule>
    <cfRule type="containsText" dxfId="1323" priority="1412" operator="containsText" text="Tue">
      <formula>NOT(ISERROR(SEARCH("Tue",D500)))</formula>
    </cfRule>
    <cfRule type="containsText" dxfId="1322" priority="1413" operator="containsText" text="Mon">
      <formula>NOT(ISERROR(SEARCH("Mon",D500)))</formula>
    </cfRule>
  </conditionalFormatting>
  <conditionalFormatting sqref="D501">
    <cfRule type="containsText" dxfId="1321" priority="1404" operator="containsText" text="Fri">
      <formula>NOT(ISERROR(SEARCH("Fri",D501)))</formula>
    </cfRule>
    <cfRule type="containsText" dxfId="1320" priority="1405" operator="containsText" text="Thu">
      <formula>NOT(ISERROR(SEARCH("Thu",D501)))</formula>
    </cfRule>
    <cfRule type="containsText" dxfId="1319" priority="1406" operator="containsText" text="Wed">
      <formula>NOT(ISERROR(SEARCH("Wed",D501)))</formula>
    </cfRule>
    <cfRule type="containsText" dxfId="1318" priority="1407" operator="containsText" text="Tue">
      <formula>NOT(ISERROR(SEARCH("Tue",D501)))</formula>
    </cfRule>
    <cfRule type="containsText" dxfId="1317" priority="1408" operator="containsText" text="Mon">
      <formula>NOT(ISERROR(SEARCH("Mon",D501)))</formula>
    </cfRule>
  </conditionalFormatting>
  <conditionalFormatting sqref="D502">
    <cfRule type="containsText" dxfId="1316" priority="1399" operator="containsText" text="Fri">
      <formula>NOT(ISERROR(SEARCH("Fri",D502)))</formula>
    </cfRule>
    <cfRule type="containsText" dxfId="1315" priority="1400" operator="containsText" text="Thu">
      <formula>NOT(ISERROR(SEARCH("Thu",D502)))</formula>
    </cfRule>
    <cfRule type="containsText" dxfId="1314" priority="1401" operator="containsText" text="Wed">
      <formula>NOT(ISERROR(SEARCH("Wed",D502)))</formula>
    </cfRule>
    <cfRule type="containsText" dxfId="1313" priority="1402" operator="containsText" text="Tue">
      <formula>NOT(ISERROR(SEARCH("Tue",D502)))</formula>
    </cfRule>
    <cfRule type="containsText" dxfId="1312" priority="1403" operator="containsText" text="Mon">
      <formula>NOT(ISERROR(SEARCH("Mon",D502)))</formula>
    </cfRule>
  </conditionalFormatting>
  <conditionalFormatting sqref="D503:D509">
    <cfRule type="containsText" dxfId="1311" priority="1394" operator="containsText" text="Fri">
      <formula>NOT(ISERROR(SEARCH("Fri",D503)))</formula>
    </cfRule>
    <cfRule type="containsText" dxfId="1310" priority="1395" operator="containsText" text="Thu">
      <formula>NOT(ISERROR(SEARCH("Thu",D503)))</formula>
    </cfRule>
    <cfRule type="containsText" dxfId="1309" priority="1396" operator="containsText" text="Wed">
      <formula>NOT(ISERROR(SEARCH("Wed",D503)))</formula>
    </cfRule>
    <cfRule type="containsText" dxfId="1308" priority="1397" operator="containsText" text="Tue">
      <formula>NOT(ISERROR(SEARCH("Tue",D503)))</formula>
    </cfRule>
    <cfRule type="containsText" dxfId="1307" priority="1398" operator="containsText" text="Mon">
      <formula>NOT(ISERROR(SEARCH("Mon",D503)))</formula>
    </cfRule>
  </conditionalFormatting>
  <conditionalFormatting sqref="D510">
    <cfRule type="containsText" dxfId="1306" priority="1389" operator="containsText" text="Fri">
      <formula>NOT(ISERROR(SEARCH("Fri",D510)))</formula>
    </cfRule>
    <cfRule type="containsText" dxfId="1305" priority="1390" operator="containsText" text="Thu">
      <formula>NOT(ISERROR(SEARCH("Thu",D510)))</formula>
    </cfRule>
    <cfRule type="containsText" dxfId="1304" priority="1391" operator="containsText" text="Wed">
      <formula>NOT(ISERROR(SEARCH("Wed",D510)))</formula>
    </cfRule>
    <cfRule type="containsText" dxfId="1303" priority="1392" operator="containsText" text="Tue">
      <formula>NOT(ISERROR(SEARCH("Tue",D510)))</formula>
    </cfRule>
    <cfRule type="containsText" dxfId="1302" priority="1393" operator="containsText" text="Mon">
      <formula>NOT(ISERROR(SEARCH("Mon",D510)))</formula>
    </cfRule>
  </conditionalFormatting>
  <conditionalFormatting sqref="D511">
    <cfRule type="containsText" dxfId="1301" priority="1384" operator="containsText" text="Fri">
      <formula>NOT(ISERROR(SEARCH("Fri",D511)))</formula>
    </cfRule>
    <cfRule type="containsText" dxfId="1300" priority="1385" operator="containsText" text="Thu">
      <formula>NOT(ISERROR(SEARCH("Thu",D511)))</formula>
    </cfRule>
    <cfRule type="containsText" dxfId="1299" priority="1386" operator="containsText" text="Wed">
      <formula>NOT(ISERROR(SEARCH("Wed",D511)))</formula>
    </cfRule>
    <cfRule type="containsText" dxfId="1298" priority="1387" operator="containsText" text="Tue">
      <formula>NOT(ISERROR(SEARCH("Tue",D511)))</formula>
    </cfRule>
    <cfRule type="containsText" dxfId="1297" priority="1388" operator="containsText" text="Mon">
      <formula>NOT(ISERROR(SEARCH("Mon",D511)))</formula>
    </cfRule>
  </conditionalFormatting>
  <conditionalFormatting sqref="D512">
    <cfRule type="containsText" dxfId="1296" priority="1379" operator="containsText" text="Fri">
      <formula>NOT(ISERROR(SEARCH("Fri",D512)))</formula>
    </cfRule>
    <cfRule type="containsText" dxfId="1295" priority="1380" operator="containsText" text="Thu">
      <formula>NOT(ISERROR(SEARCH("Thu",D512)))</formula>
    </cfRule>
    <cfRule type="containsText" dxfId="1294" priority="1381" operator="containsText" text="Wed">
      <formula>NOT(ISERROR(SEARCH("Wed",D512)))</formula>
    </cfRule>
    <cfRule type="containsText" dxfId="1293" priority="1382" operator="containsText" text="Tue">
      <formula>NOT(ISERROR(SEARCH("Tue",D512)))</formula>
    </cfRule>
    <cfRule type="containsText" dxfId="1292" priority="1383" operator="containsText" text="Mon">
      <formula>NOT(ISERROR(SEARCH("Mon",D512)))</formula>
    </cfRule>
  </conditionalFormatting>
  <conditionalFormatting sqref="D513">
    <cfRule type="containsText" dxfId="1291" priority="1374" operator="containsText" text="Fri">
      <formula>NOT(ISERROR(SEARCH("Fri",D513)))</formula>
    </cfRule>
    <cfRule type="containsText" dxfId="1290" priority="1375" operator="containsText" text="Thu">
      <formula>NOT(ISERROR(SEARCH("Thu",D513)))</formula>
    </cfRule>
    <cfRule type="containsText" dxfId="1289" priority="1376" operator="containsText" text="Wed">
      <formula>NOT(ISERROR(SEARCH("Wed",D513)))</formula>
    </cfRule>
    <cfRule type="containsText" dxfId="1288" priority="1377" operator="containsText" text="Tue">
      <formula>NOT(ISERROR(SEARCH("Tue",D513)))</formula>
    </cfRule>
    <cfRule type="containsText" dxfId="1287" priority="1378" operator="containsText" text="Mon">
      <formula>NOT(ISERROR(SEARCH("Mon",D513)))</formula>
    </cfRule>
  </conditionalFormatting>
  <conditionalFormatting sqref="D514">
    <cfRule type="containsText" dxfId="1286" priority="1369" operator="containsText" text="Fri">
      <formula>NOT(ISERROR(SEARCH("Fri",D514)))</formula>
    </cfRule>
    <cfRule type="containsText" dxfId="1285" priority="1370" operator="containsText" text="Thu">
      <formula>NOT(ISERROR(SEARCH("Thu",D514)))</formula>
    </cfRule>
    <cfRule type="containsText" dxfId="1284" priority="1371" operator="containsText" text="Wed">
      <formula>NOT(ISERROR(SEARCH("Wed",D514)))</formula>
    </cfRule>
    <cfRule type="containsText" dxfId="1283" priority="1372" operator="containsText" text="Tue">
      <formula>NOT(ISERROR(SEARCH("Tue",D514)))</formula>
    </cfRule>
    <cfRule type="containsText" dxfId="1282" priority="1373" operator="containsText" text="Mon">
      <formula>NOT(ISERROR(SEARCH("Mon",D514)))</formula>
    </cfRule>
  </conditionalFormatting>
  <conditionalFormatting sqref="D515:D519">
    <cfRule type="containsText" dxfId="1281" priority="1364" operator="containsText" text="Fri">
      <formula>NOT(ISERROR(SEARCH("Fri",D515)))</formula>
    </cfRule>
    <cfRule type="containsText" dxfId="1280" priority="1365" operator="containsText" text="Thu">
      <formula>NOT(ISERROR(SEARCH("Thu",D515)))</formula>
    </cfRule>
    <cfRule type="containsText" dxfId="1279" priority="1366" operator="containsText" text="Wed">
      <formula>NOT(ISERROR(SEARCH("Wed",D515)))</formula>
    </cfRule>
    <cfRule type="containsText" dxfId="1278" priority="1367" operator="containsText" text="Tue">
      <formula>NOT(ISERROR(SEARCH("Tue",D515)))</formula>
    </cfRule>
    <cfRule type="containsText" dxfId="1277" priority="1368" operator="containsText" text="Mon">
      <formula>NOT(ISERROR(SEARCH("Mon",D515)))</formula>
    </cfRule>
  </conditionalFormatting>
  <conditionalFormatting sqref="D520">
    <cfRule type="containsText" dxfId="1276" priority="1359" operator="containsText" text="Fri">
      <formula>NOT(ISERROR(SEARCH("Fri",D520)))</formula>
    </cfRule>
    <cfRule type="containsText" dxfId="1275" priority="1360" operator="containsText" text="Thu">
      <formula>NOT(ISERROR(SEARCH("Thu",D520)))</formula>
    </cfRule>
    <cfRule type="containsText" dxfId="1274" priority="1361" operator="containsText" text="Wed">
      <formula>NOT(ISERROR(SEARCH("Wed",D520)))</formula>
    </cfRule>
    <cfRule type="containsText" dxfId="1273" priority="1362" operator="containsText" text="Tue">
      <formula>NOT(ISERROR(SEARCH("Tue",D520)))</formula>
    </cfRule>
    <cfRule type="containsText" dxfId="1272" priority="1363" operator="containsText" text="Mon">
      <formula>NOT(ISERROR(SEARCH("Mon",D520)))</formula>
    </cfRule>
  </conditionalFormatting>
  <conditionalFormatting sqref="D521:D526">
    <cfRule type="containsText" dxfId="1271" priority="1354" operator="containsText" text="Fri">
      <formula>NOT(ISERROR(SEARCH("Fri",D521)))</formula>
    </cfRule>
    <cfRule type="containsText" dxfId="1270" priority="1355" operator="containsText" text="Thu">
      <formula>NOT(ISERROR(SEARCH("Thu",D521)))</formula>
    </cfRule>
    <cfRule type="containsText" dxfId="1269" priority="1356" operator="containsText" text="Wed">
      <formula>NOT(ISERROR(SEARCH("Wed",D521)))</formula>
    </cfRule>
    <cfRule type="containsText" dxfId="1268" priority="1357" operator="containsText" text="Tue">
      <formula>NOT(ISERROR(SEARCH("Tue",D521)))</formula>
    </cfRule>
    <cfRule type="containsText" dxfId="1267" priority="1358" operator="containsText" text="Mon">
      <formula>NOT(ISERROR(SEARCH("Mon",D521)))</formula>
    </cfRule>
  </conditionalFormatting>
  <conditionalFormatting sqref="D527:D534">
    <cfRule type="containsText" dxfId="1266" priority="1349" operator="containsText" text="Fri">
      <formula>NOT(ISERROR(SEARCH("Fri",D527)))</formula>
    </cfRule>
    <cfRule type="containsText" dxfId="1265" priority="1350" operator="containsText" text="Thu">
      <formula>NOT(ISERROR(SEARCH("Thu",D527)))</formula>
    </cfRule>
    <cfRule type="containsText" dxfId="1264" priority="1351" operator="containsText" text="Wed">
      <formula>NOT(ISERROR(SEARCH("Wed",D527)))</formula>
    </cfRule>
    <cfRule type="containsText" dxfId="1263" priority="1352" operator="containsText" text="Tue">
      <formula>NOT(ISERROR(SEARCH("Tue",D527)))</formula>
    </cfRule>
    <cfRule type="containsText" dxfId="1262" priority="1353" operator="containsText" text="Mon">
      <formula>NOT(ISERROR(SEARCH("Mon",D527)))</formula>
    </cfRule>
  </conditionalFormatting>
  <conditionalFormatting sqref="D535:D543">
    <cfRule type="containsText" dxfId="1261" priority="1344" operator="containsText" text="Fri">
      <formula>NOT(ISERROR(SEARCH("Fri",D535)))</formula>
    </cfRule>
    <cfRule type="containsText" dxfId="1260" priority="1345" operator="containsText" text="Thu">
      <formula>NOT(ISERROR(SEARCH("Thu",D535)))</formula>
    </cfRule>
    <cfRule type="containsText" dxfId="1259" priority="1346" operator="containsText" text="Wed">
      <formula>NOT(ISERROR(SEARCH("Wed",D535)))</formula>
    </cfRule>
    <cfRule type="containsText" dxfId="1258" priority="1347" operator="containsText" text="Tue">
      <formula>NOT(ISERROR(SEARCH("Tue",D535)))</formula>
    </cfRule>
    <cfRule type="containsText" dxfId="1257" priority="1348" operator="containsText" text="Mon">
      <formula>NOT(ISERROR(SEARCH("Mon",D535)))</formula>
    </cfRule>
  </conditionalFormatting>
  <conditionalFormatting sqref="D544:D551">
    <cfRule type="containsText" dxfId="1256" priority="1339" operator="containsText" text="Fri">
      <formula>NOT(ISERROR(SEARCH("Fri",D544)))</formula>
    </cfRule>
    <cfRule type="containsText" dxfId="1255" priority="1340" operator="containsText" text="Thu">
      <formula>NOT(ISERROR(SEARCH("Thu",D544)))</formula>
    </cfRule>
    <cfRule type="containsText" dxfId="1254" priority="1341" operator="containsText" text="Wed">
      <formula>NOT(ISERROR(SEARCH("Wed",D544)))</formula>
    </cfRule>
    <cfRule type="containsText" dxfId="1253" priority="1342" operator="containsText" text="Tue">
      <formula>NOT(ISERROR(SEARCH("Tue",D544)))</formula>
    </cfRule>
    <cfRule type="containsText" dxfId="1252" priority="1343" operator="containsText" text="Mon">
      <formula>NOT(ISERROR(SEARCH("Mon",D544)))</formula>
    </cfRule>
  </conditionalFormatting>
  <conditionalFormatting sqref="D552:D567">
    <cfRule type="containsText" dxfId="1251" priority="1334" operator="containsText" text="Fri">
      <formula>NOT(ISERROR(SEARCH("Fri",D552)))</formula>
    </cfRule>
    <cfRule type="containsText" dxfId="1250" priority="1335" operator="containsText" text="Thu">
      <formula>NOT(ISERROR(SEARCH("Thu",D552)))</formula>
    </cfRule>
    <cfRule type="containsText" dxfId="1249" priority="1336" operator="containsText" text="Wed">
      <formula>NOT(ISERROR(SEARCH("Wed",D552)))</formula>
    </cfRule>
    <cfRule type="containsText" dxfId="1248" priority="1337" operator="containsText" text="Tue">
      <formula>NOT(ISERROR(SEARCH("Tue",D552)))</formula>
    </cfRule>
    <cfRule type="containsText" dxfId="1247" priority="1338" operator="containsText" text="Mon">
      <formula>NOT(ISERROR(SEARCH("Mon",D552)))</formula>
    </cfRule>
  </conditionalFormatting>
  <conditionalFormatting sqref="E552:K662">
    <cfRule type="cellIs" dxfId="1246" priority="1333" operator="equal">
      <formula>0</formula>
    </cfRule>
  </conditionalFormatting>
  <conditionalFormatting sqref="A552:B662">
    <cfRule type="cellIs" dxfId="1245" priority="1332" operator="equal">
      <formula>0</formula>
    </cfRule>
  </conditionalFormatting>
  <conditionalFormatting sqref="D568:D574">
    <cfRule type="containsText" dxfId="1244" priority="1327" operator="containsText" text="Fri">
      <formula>NOT(ISERROR(SEARCH("Fri",D568)))</formula>
    </cfRule>
    <cfRule type="containsText" dxfId="1243" priority="1328" operator="containsText" text="Thu">
      <formula>NOT(ISERROR(SEARCH("Thu",D568)))</formula>
    </cfRule>
    <cfRule type="containsText" dxfId="1242" priority="1329" operator="containsText" text="Wed">
      <formula>NOT(ISERROR(SEARCH("Wed",D568)))</formula>
    </cfRule>
    <cfRule type="containsText" dxfId="1241" priority="1330" operator="containsText" text="Tue">
      <formula>NOT(ISERROR(SEARCH("Tue",D568)))</formula>
    </cfRule>
    <cfRule type="containsText" dxfId="1240" priority="1331" operator="containsText" text="Mon">
      <formula>NOT(ISERROR(SEARCH("Mon",D568)))</formula>
    </cfRule>
  </conditionalFormatting>
  <conditionalFormatting sqref="D575:D583">
    <cfRule type="containsText" dxfId="1239" priority="1322" operator="containsText" text="Fri">
      <formula>NOT(ISERROR(SEARCH("Fri",D575)))</formula>
    </cfRule>
    <cfRule type="containsText" dxfId="1238" priority="1323" operator="containsText" text="Thu">
      <formula>NOT(ISERROR(SEARCH("Thu",D575)))</formula>
    </cfRule>
    <cfRule type="containsText" dxfId="1237" priority="1324" operator="containsText" text="Wed">
      <formula>NOT(ISERROR(SEARCH("Wed",D575)))</formula>
    </cfRule>
    <cfRule type="containsText" dxfId="1236" priority="1325" operator="containsText" text="Tue">
      <formula>NOT(ISERROR(SEARCH("Tue",D575)))</formula>
    </cfRule>
    <cfRule type="containsText" dxfId="1235" priority="1326" operator="containsText" text="Mon">
      <formula>NOT(ISERROR(SEARCH("Mon",D575)))</formula>
    </cfRule>
  </conditionalFormatting>
  <conditionalFormatting sqref="D584:D591">
    <cfRule type="containsText" dxfId="1234" priority="1317" operator="containsText" text="Fri">
      <formula>NOT(ISERROR(SEARCH("Fri",D584)))</formula>
    </cfRule>
    <cfRule type="containsText" dxfId="1233" priority="1318" operator="containsText" text="Thu">
      <formula>NOT(ISERROR(SEARCH("Thu",D584)))</formula>
    </cfRule>
    <cfRule type="containsText" dxfId="1232" priority="1319" operator="containsText" text="Wed">
      <formula>NOT(ISERROR(SEARCH("Wed",D584)))</formula>
    </cfRule>
    <cfRule type="containsText" dxfId="1231" priority="1320" operator="containsText" text="Tue">
      <formula>NOT(ISERROR(SEARCH("Tue",D584)))</formula>
    </cfRule>
    <cfRule type="containsText" dxfId="1230" priority="1321" operator="containsText" text="Mon">
      <formula>NOT(ISERROR(SEARCH("Mon",D584)))</formula>
    </cfRule>
  </conditionalFormatting>
  <conditionalFormatting sqref="D592">
    <cfRule type="containsText" dxfId="1229" priority="1312" operator="containsText" text="Fri">
      <formula>NOT(ISERROR(SEARCH("Fri",D592)))</formula>
    </cfRule>
    <cfRule type="containsText" dxfId="1228" priority="1313" operator="containsText" text="Thu">
      <formula>NOT(ISERROR(SEARCH("Thu",D592)))</formula>
    </cfRule>
    <cfRule type="containsText" dxfId="1227" priority="1314" operator="containsText" text="Wed">
      <formula>NOT(ISERROR(SEARCH("Wed",D592)))</formula>
    </cfRule>
    <cfRule type="containsText" dxfId="1226" priority="1315" operator="containsText" text="Tue">
      <formula>NOT(ISERROR(SEARCH("Tue",D592)))</formula>
    </cfRule>
    <cfRule type="containsText" dxfId="1225" priority="1316" operator="containsText" text="Mon">
      <formula>NOT(ISERROR(SEARCH("Mon",D592)))</formula>
    </cfRule>
  </conditionalFormatting>
  <conditionalFormatting sqref="D593:D594">
    <cfRule type="containsText" dxfId="1224" priority="1307" operator="containsText" text="Fri">
      <formula>NOT(ISERROR(SEARCH("Fri",D593)))</formula>
    </cfRule>
    <cfRule type="containsText" dxfId="1223" priority="1308" operator="containsText" text="Thu">
      <formula>NOT(ISERROR(SEARCH("Thu",D593)))</formula>
    </cfRule>
    <cfRule type="containsText" dxfId="1222" priority="1309" operator="containsText" text="Wed">
      <formula>NOT(ISERROR(SEARCH("Wed",D593)))</formula>
    </cfRule>
    <cfRule type="containsText" dxfId="1221" priority="1310" operator="containsText" text="Tue">
      <formula>NOT(ISERROR(SEARCH("Tue",D593)))</formula>
    </cfRule>
    <cfRule type="containsText" dxfId="1220" priority="1311" operator="containsText" text="Mon">
      <formula>NOT(ISERROR(SEARCH("Mon",D593)))</formula>
    </cfRule>
  </conditionalFormatting>
  <conditionalFormatting sqref="D595">
    <cfRule type="containsText" dxfId="1219" priority="1302" operator="containsText" text="Fri">
      <formula>NOT(ISERROR(SEARCH("Fri",D595)))</formula>
    </cfRule>
    <cfRule type="containsText" dxfId="1218" priority="1303" operator="containsText" text="Thu">
      <formula>NOT(ISERROR(SEARCH("Thu",D595)))</formula>
    </cfRule>
    <cfRule type="containsText" dxfId="1217" priority="1304" operator="containsText" text="Wed">
      <formula>NOT(ISERROR(SEARCH("Wed",D595)))</formula>
    </cfRule>
    <cfRule type="containsText" dxfId="1216" priority="1305" operator="containsText" text="Tue">
      <formula>NOT(ISERROR(SEARCH("Tue",D595)))</formula>
    </cfRule>
    <cfRule type="containsText" dxfId="1215" priority="1306" operator="containsText" text="Mon">
      <formula>NOT(ISERROR(SEARCH("Mon",D595)))</formula>
    </cfRule>
  </conditionalFormatting>
  <conditionalFormatting sqref="D596">
    <cfRule type="containsText" dxfId="1214" priority="1297" operator="containsText" text="Fri">
      <formula>NOT(ISERROR(SEARCH("Fri",D596)))</formula>
    </cfRule>
    <cfRule type="containsText" dxfId="1213" priority="1298" operator="containsText" text="Thu">
      <formula>NOT(ISERROR(SEARCH("Thu",D596)))</formula>
    </cfRule>
    <cfRule type="containsText" dxfId="1212" priority="1299" operator="containsText" text="Wed">
      <formula>NOT(ISERROR(SEARCH("Wed",D596)))</formula>
    </cfRule>
    <cfRule type="containsText" dxfId="1211" priority="1300" operator="containsText" text="Tue">
      <formula>NOT(ISERROR(SEARCH("Tue",D596)))</formula>
    </cfRule>
    <cfRule type="containsText" dxfId="1210" priority="1301" operator="containsText" text="Mon">
      <formula>NOT(ISERROR(SEARCH("Mon",D596)))</formula>
    </cfRule>
  </conditionalFormatting>
  <conditionalFormatting sqref="D597">
    <cfRule type="containsText" dxfId="1209" priority="1292" operator="containsText" text="Fri">
      <formula>NOT(ISERROR(SEARCH("Fri",D597)))</formula>
    </cfRule>
    <cfRule type="containsText" dxfId="1208" priority="1293" operator="containsText" text="Thu">
      <formula>NOT(ISERROR(SEARCH("Thu",D597)))</formula>
    </cfRule>
    <cfRule type="containsText" dxfId="1207" priority="1294" operator="containsText" text="Wed">
      <formula>NOT(ISERROR(SEARCH("Wed",D597)))</formula>
    </cfRule>
    <cfRule type="containsText" dxfId="1206" priority="1295" operator="containsText" text="Tue">
      <formula>NOT(ISERROR(SEARCH("Tue",D597)))</formula>
    </cfRule>
    <cfRule type="containsText" dxfId="1205" priority="1296" operator="containsText" text="Mon">
      <formula>NOT(ISERROR(SEARCH("Mon",D597)))</formula>
    </cfRule>
  </conditionalFormatting>
  <conditionalFormatting sqref="D598">
    <cfRule type="containsText" dxfId="1204" priority="1287" operator="containsText" text="Fri">
      <formula>NOT(ISERROR(SEARCH("Fri",D598)))</formula>
    </cfRule>
    <cfRule type="containsText" dxfId="1203" priority="1288" operator="containsText" text="Thu">
      <formula>NOT(ISERROR(SEARCH("Thu",D598)))</formula>
    </cfRule>
    <cfRule type="containsText" dxfId="1202" priority="1289" operator="containsText" text="Wed">
      <formula>NOT(ISERROR(SEARCH("Wed",D598)))</formula>
    </cfRule>
    <cfRule type="containsText" dxfId="1201" priority="1290" operator="containsText" text="Tue">
      <formula>NOT(ISERROR(SEARCH("Tue",D598)))</formula>
    </cfRule>
    <cfRule type="containsText" dxfId="1200" priority="1291" operator="containsText" text="Mon">
      <formula>NOT(ISERROR(SEARCH("Mon",D598)))</formula>
    </cfRule>
  </conditionalFormatting>
  <conditionalFormatting sqref="D599">
    <cfRule type="containsText" dxfId="1199" priority="1282" operator="containsText" text="Fri">
      <formula>NOT(ISERROR(SEARCH("Fri",D599)))</formula>
    </cfRule>
    <cfRule type="containsText" dxfId="1198" priority="1283" operator="containsText" text="Thu">
      <formula>NOT(ISERROR(SEARCH("Thu",D599)))</formula>
    </cfRule>
    <cfRule type="containsText" dxfId="1197" priority="1284" operator="containsText" text="Wed">
      <formula>NOT(ISERROR(SEARCH("Wed",D599)))</formula>
    </cfRule>
    <cfRule type="containsText" dxfId="1196" priority="1285" operator="containsText" text="Tue">
      <formula>NOT(ISERROR(SEARCH("Tue",D599)))</formula>
    </cfRule>
    <cfRule type="containsText" dxfId="1195" priority="1286" operator="containsText" text="Mon">
      <formula>NOT(ISERROR(SEARCH("Mon",D599)))</formula>
    </cfRule>
  </conditionalFormatting>
  <conditionalFormatting sqref="D600:D605">
    <cfRule type="containsText" dxfId="1194" priority="1277" operator="containsText" text="Fri">
      <formula>NOT(ISERROR(SEARCH("Fri",D600)))</formula>
    </cfRule>
    <cfRule type="containsText" dxfId="1193" priority="1278" operator="containsText" text="Thu">
      <formula>NOT(ISERROR(SEARCH("Thu",D600)))</formula>
    </cfRule>
    <cfRule type="containsText" dxfId="1192" priority="1279" operator="containsText" text="Wed">
      <formula>NOT(ISERROR(SEARCH("Wed",D600)))</formula>
    </cfRule>
    <cfRule type="containsText" dxfId="1191" priority="1280" operator="containsText" text="Tue">
      <formula>NOT(ISERROR(SEARCH("Tue",D600)))</formula>
    </cfRule>
    <cfRule type="containsText" dxfId="1190" priority="1281" operator="containsText" text="Mon">
      <formula>NOT(ISERROR(SEARCH("Mon",D600)))</formula>
    </cfRule>
  </conditionalFormatting>
  <conditionalFormatting sqref="D606">
    <cfRule type="containsText" dxfId="1189" priority="1272" operator="containsText" text="Fri">
      <formula>NOT(ISERROR(SEARCH("Fri",D606)))</formula>
    </cfRule>
    <cfRule type="containsText" dxfId="1188" priority="1273" operator="containsText" text="Thu">
      <formula>NOT(ISERROR(SEARCH("Thu",D606)))</formula>
    </cfRule>
    <cfRule type="containsText" dxfId="1187" priority="1274" operator="containsText" text="Wed">
      <formula>NOT(ISERROR(SEARCH("Wed",D606)))</formula>
    </cfRule>
    <cfRule type="containsText" dxfId="1186" priority="1275" operator="containsText" text="Tue">
      <formula>NOT(ISERROR(SEARCH("Tue",D606)))</formula>
    </cfRule>
    <cfRule type="containsText" dxfId="1185" priority="1276" operator="containsText" text="Mon">
      <formula>NOT(ISERROR(SEARCH("Mon",D606)))</formula>
    </cfRule>
  </conditionalFormatting>
  <conditionalFormatting sqref="D607">
    <cfRule type="containsText" dxfId="1184" priority="1267" operator="containsText" text="Fri">
      <formula>NOT(ISERROR(SEARCH("Fri",D607)))</formula>
    </cfRule>
    <cfRule type="containsText" dxfId="1183" priority="1268" operator="containsText" text="Thu">
      <formula>NOT(ISERROR(SEARCH("Thu",D607)))</formula>
    </cfRule>
    <cfRule type="containsText" dxfId="1182" priority="1269" operator="containsText" text="Wed">
      <formula>NOT(ISERROR(SEARCH("Wed",D607)))</formula>
    </cfRule>
    <cfRule type="containsText" dxfId="1181" priority="1270" operator="containsText" text="Tue">
      <formula>NOT(ISERROR(SEARCH("Tue",D607)))</formula>
    </cfRule>
    <cfRule type="containsText" dxfId="1180" priority="1271" operator="containsText" text="Mon">
      <formula>NOT(ISERROR(SEARCH("Mon",D607)))</formula>
    </cfRule>
  </conditionalFormatting>
  <conditionalFormatting sqref="D608">
    <cfRule type="containsText" dxfId="1179" priority="1262" operator="containsText" text="Fri">
      <formula>NOT(ISERROR(SEARCH("Fri",D608)))</formula>
    </cfRule>
    <cfRule type="containsText" dxfId="1178" priority="1263" operator="containsText" text="Thu">
      <formula>NOT(ISERROR(SEARCH("Thu",D608)))</formula>
    </cfRule>
    <cfRule type="containsText" dxfId="1177" priority="1264" operator="containsText" text="Wed">
      <formula>NOT(ISERROR(SEARCH("Wed",D608)))</formula>
    </cfRule>
    <cfRule type="containsText" dxfId="1176" priority="1265" operator="containsText" text="Tue">
      <formula>NOT(ISERROR(SEARCH("Tue",D608)))</formula>
    </cfRule>
    <cfRule type="containsText" dxfId="1175" priority="1266" operator="containsText" text="Mon">
      <formula>NOT(ISERROR(SEARCH("Mon",D608)))</formula>
    </cfRule>
  </conditionalFormatting>
  <conditionalFormatting sqref="D609">
    <cfRule type="containsText" dxfId="1174" priority="1257" operator="containsText" text="Fri">
      <formula>NOT(ISERROR(SEARCH("Fri",D609)))</formula>
    </cfRule>
    <cfRule type="containsText" dxfId="1173" priority="1258" operator="containsText" text="Thu">
      <formula>NOT(ISERROR(SEARCH("Thu",D609)))</formula>
    </cfRule>
    <cfRule type="containsText" dxfId="1172" priority="1259" operator="containsText" text="Wed">
      <formula>NOT(ISERROR(SEARCH("Wed",D609)))</formula>
    </cfRule>
    <cfRule type="containsText" dxfId="1171" priority="1260" operator="containsText" text="Tue">
      <formula>NOT(ISERROR(SEARCH("Tue",D609)))</formula>
    </cfRule>
    <cfRule type="containsText" dxfId="1170" priority="1261" operator="containsText" text="Mon">
      <formula>NOT(ISERROR(SEARCH("Mon",D609)))</formula>
    </cfRule>
  </conditionalFormatting>
  <conditionalFormatting sqref="D610">
    <cfRule type="containsText" dxfId="1169" priority="1252" operator="containsText" text="Fri">
      <formula>NOT(ISERROR(SEARCH("Fri",D610)))</formula>
    </cfRule>
    <cfRule type="containsText" dxfId="1168" priority="1253" operator="containsText" text="Thu">
      <formula>NOT(ISERROR(SEARCH("Thu",D610)))</formula>
    </cfRule>
    <cfRule type="containsText" dxfId="1167" priority="1254" operator="containsText" text="Wed">
      <formula>NOT(ISERROR(SEARCH("Wed",D610)))</formula>
    </cfRule>
    <cfRule type="containsText" dxfId="1166" priority="1255" operator="containsText" text="Tue">
      <formula>NOT(ISERROR(SEARCH("Tue",D610)))</formula>
    </cfRule>
    <cfRule type="containsText" dxfId="1165" priority="1256" operator="containsText" text="Mon">
      <formula>NOT(ISERROR(SEARCH("Mon",D610)))</formula>
    </cfRule>
  </conditionalFormatting>
  <conditionalFormatting sqref="D611:D618">
    <cfRule type="containsText" dxfId="1164" priority="1247" operator="containsText" text="Fri">
      <formula>NOT(ISERROR(SEARCH("Fri",D611)))</formula>
    </cfRule>
    <cfRule type="containsText" dxfId="1163" priority="1248" operator="containsText" text="Thu">
      <formula>NOT(ISERROR(SEARCH("Thu",D611)))</formula>
    </cfRule>
    <cfRule type="containsText" dxfId="1162" priority="1249" operator="containsText" text="Wed">
      <formula>NOT(ISERROR(SEARCH("Wed",D611)))</formula>
    </cfRule>
    <cfRule type="containsText" dxfId="1161" priority="1250" operator="containsText" text="Tue">
      <formula>NOT(ISERROR(SEARCH("Tue",D611)))</formula>
    </cfRule>
    <cfRule type="containsText" dxfId="1160" priority="1251" operator="containsText" text="Mon">
      <formula>NOT(ISERROR(SEARCH("Mon",D611)))</formula>
    </cfRule>
  </conditionalFormatting>
  <conditionalFormatting sqref="D619:D626">
    <cfRule type="containsText" dxfId="1159" priority="1242" operator="containsText" text="Fri">
      <formula>NOT(ISERROR(SEARCH("Fri",D619)))</formula>
    </cfRule>
    <cfRule type="containsText" dxfId="1158" priority="1243" operator="containsText" text="Thu">
      <formula>NOT(ISERROR(SEARCH("Thu",D619)))</formula>
    </cfRule>
    <cfRule type="containsText" dxfId="1157" priority="1244" operator="containsText" text="Wed">
      <formula>NOT(ISERROR(SEARCH("Wed",D619)))</formula>
    </cfRule>
    <cfRule type="containsText" dxfId="1156" priority="1245" operator="containsText" text="Tue">
      <formula>NOT(ISERROR(SEARCH("Tue",D619)))</formula>
    </cfRule>
    <cfRule type="containsText" dxfId="1155" priority="1246" operator="containsText" text="Mon">
      <formula>NOT(ISERROR(SEARCH("Mon",D619)))</formula>
    </cfRule>
  </conditionalFormatting>
  <conditionalFormatting sqref="D627:D635">
    <cfRule type="containsText" dxfId="1154" priority="1237" operator="containsText" text="Fri">
      <formula>NOT(ISERROR(SEARCH("Fri",D627)))</formula>
    </cfRule>
    <cfRule type="containsText" dxfId="1153" priority="1238" operator="containsText" text="Thu">
      <formula>NOT(ISERROR(SEARCH("Thu",D627)))</formula>
    </cfRule>
    <cfRule type="containsText" dxfId="1152" priority="1239" operator="containsText" text="Wed">
      <formula>NOT(ISERROR(SEARCH("Wed",D627)))</formula>
    </cfRule>
    <cfRule type="containsText" dxfId="1151" priority="1240" operator="containsText" text="Tue">
      <formula>NOT(ISERROR(SEARCH("Tue",D627)))</formula>
    </cfRule>
    <cfRule type="containsText" dxfId="1150" priority="1241" operator="containsText" text="Mon">
      <formula>NOT(ISERROR(SEARCH("Mon",D627)))</formula>
    </cfRule>
  </conditionalFormatting>
  <conditionalFormatting sqref="D636:D643">
    <cfRule type="containsText" dxfId="1149" priority="1232" operator="containsText" text="Fri">
      <formula>NOT(ISERROR(SEARCH("Fri",D636)))</formula>
    </cfRule>
    <cfRule type="containsText" dxfId="1148" priority="1233" operator="containsText" text="Thu">
      <formula>NOT(ISERROR(SEARCH("Thu",D636)))</formula>
    </cfRule>
    <cfRule type="containsText" dxfId="1147" priority="1234" operator="containsText" text="Wed">
      <formula>NOT(ISERROR(SEARCH("Wed",D636)))</formula>
    </cfRule>
    <cfRule type="containsText" dxfId="1146" priority="1235" operator="containsText" text="Tue">
      <formula>NOT(ISERROR(SEARCH("Tue",D636)))</formula>
    </cfRule>
    <cfRule type="containsText" dxfId="1145" priority="1236" operator="containsText" text="Mon">
      <formula>NOT(ISERROR(SEARCH("Mon",D636)))</formula>
    </cfRule>
  </conditionalFormatting>
  <conditionalFormatting sqref="D644:D646">
    <cfRule type="containsText" dxfId="1144" priority="1227" operator="containsText" text="Fri">
      <formula>NOT(ISERROR(SEARCH("Fri",D644)))</formula>
    </cfRule>
    <cfRule type="containsText" dxfId="1143" priority="1228" operator="containsText" text="Thu">
      <formula>NOT(ISERROR(SEARCH("Thu",D644)))</formula>
    </cfRule>
    <cfRule type="containsText" dxfId="1142" priority="1229" operator="containsText" text="Wed">
      <formula>NOT(ISERROR(SEARCH("Wed",D644)))</formula>
    </cfRule>
    <cfRule type="containsText" dxfId="1141" priority="1230" operator="containsText" text="Tue">
      <formula>NOT(ISERROR(SEARCH("Tue",D644)))</formula>
    </cfRule>
    <cfRule type="containsText" dxfId="1140" priority="1231" operator="containsText" text="Mon">
      <formula>NOT(ISERROR(SEARCH("Mon",D644)))</formula>
    </cfRule>
  </conditionalFormatting>
  <conditionalFormatting sqref="D647:D654">
    <cfRule type="containsText" dxfId="1139" priority="1222" operator="containsText" text="Fri">
      <formula>NOT(ISERROR(SEARCH("Fri",D647)))</formula>
    </cfRule>
    <cfRule type="containsText" dxfId="1138" priority="1223" operator="containsText" text="Thu">
      <formula>NOT(ISERROR(SEARCH("Thu",D647)))</formula>
    </cfRule>
    <cfRule type="containsText" dxfId="1137" priority="1224" operator="containsText" text="Wed">
      <formula>NOT(ISERROR(SEARCH("Wed",D647)))</formula>
    </cfRule>
    <cfRule type="containsText" dxfId="1136" priority="1225" operator="containsText" text="Tue">
      <formula>NOT(ISERROR(SEARCH("Tue",D647)))</formula>
    </cfRule>
    <cfRule type="containsText" dxfId="1135" priority="1226" operator="containsText" text="Mon">
      <formula>NOT(ISERROR(SEARCH("Mon",D647)))</formula>
    </cfRule>
  </conditionalFormatting>
  <conditionalFormatting sqref="D655:D662">
    <cfRule type="containsText" dxfId="1134" priority="1217" operator="containsText" text="Fri">
      <formula>NOT(ISERROR(SEARCH("Fri",D655)))</formula>
    </cfRule>
    <cfRule type="containsText" dxfId="1133" priority="1218" operator="containsText" text="Thu">
      <formula>NOT(ISERROR(SEARCH("Thu",D655)))</formula>
    </cfRule>
    <cfRule type="containsText" dxfId="1132" priority="1219" operator="containsText" text="Wed">
      <formula>NOT(ISERROR(SEARCH("Wed",D655)))</formula>
    </cfRule>
    <cfRule type="containsText" dxfId="1131" priority="1220" operator="containsText" text="Tue">
      <formula>NOT(ISERROR(SEARCH("Tue",D655)))</formula>
    </cfRule>
    <cfRule type="containsText" dxfId="1130" priority="1221" operator="containsText" text="Mon">
      <formula>NOT(ISERROR(SEARCH("Mon",D655)))</formula>
    </cfRule>
  </conditionalFormatting>
  <conditionalFormatting sqref="D745:D748">
    <cfRule type="containsText" dxfId="1129" priority="1212" operator="containsText" text="Fri">
      <formula>NOT(ISERROR(SEARCH("Fri",D745)))</formula>
    </cfRule>
    <cfRule type="containsText" dxfId="1128" priority="1213" operator="containsText" text="Thu">
      <formula>NOT(ISERROR(SEARCH("Thu",D745)))</formula>
    </cfRule>
    <cfRule type="containsText" dxfId="1127" priority="1214" operator="containsText" text="Wed">
      <formula>NOT(ISERROR(SEARCH("Wed",D745)))</formula>
    </cfRule>
    <cfRule type="containsText" dxfId="1126" priority="1215" operator="containsText" text="Tue">
      <formula>NOT(ISERROR(SEARCH("Tue",D745)))</formula>
    </cfRule>
    <cfRule type="containsText" dxfId="1125" priority="1216" operator="containsText" text="Mon">
      <formula>NOT(ISERROR(SEARCH("Mon",D745)))</formula>
    </cfRule>
  </conditionalFormatting>
  <conditionalFormatting sqref="E745:K806">
    <cfRule type="cellIs" dxfId="1124" priority="1211" operator="equal">
      <formula>0</formula>
    </cfRule>
  </conditionalFormatting>
  <conditionalFormatting sqref="A745:B806">
    <cfRule type="cellIs" dxfId="1123" priority="1210" operator="equal">
      <formula>0</formula>
    </cfRule>
  </conditionalFormatting>
  <conditionalFormatting sqref="D749:D755">
    <cfRule type="containsText" dxfId="1122" priority="1205" operator="containsText" text="Fri">
      <formula>NOT(ISERROR(SEARCH("Fri",D749)))</formula>
    </cfRule>
    <cfRule type="containsText" dxfId="1121" priority="1206" operator="containsText" text="Thu">
      <formula>NOT(ISERROR(SEARCH("Thu",D749)))</formula>
    </cfRule>
    <cfRule type="containsText" dxfId="1120" priority="1207" operator="containsText" text="Wed">
      <formula>NOT(ISERROR(SEARCH("Wed",D749)))</formula>
    </cfRule>
    <cfRule type="containsText" dxfId="1119" priority="1208" operator="containsText" text="Tue">
      <formula>NOT(ISERROR(SEARCH("Tue",D749)))</formula>
    </cfRule>
    <cfRule type="containsText" dxfId="1118" priority="1209" operator="containsText" text="Mon">
      <formula>NOT(ISERROR(SEARCH("Mon",D749)))</formula>
    </cfRule>
  </conditionalFormatting>
  <conditionalFormatting sqref="D756">
    <cfRule type="containsText" dxfId="1117" priority="1200" operator="containsText" text="Fri">
      <formula>NOT(ISERROR(SEARCH("Fri",D756)))</formula>
    </cfRule>
    <cfRule type="containsText" dxfId="1116" priority="1201" operator="containsText" text="Thu">
      <formula>NOT(ISERROR(SEARCH("Thu",D756)))</formula>
    </cfRule>
    <cfRule type="containsText" dxfId="1115" priority="1202" operator="containsText" text="Wed">
      <formula>NOT(ISERROR(SEARCH("Wed",D756)))</formula>
    </cfRule>
    <cfRule type="containsText" dxfId="1114" priority="1203" operator="containsText" text="Tue">
      <formula>NOT(ISERROR(SEARCH("Tue",D756)))</formula>
    </cfRule>
    <cfRule type="containsText" dxfId="1113" priority="1204" operator="containsText" text="Mon">
      <formula>NOT(ISERROR(SEARCH("Mon",D756)))</formula>
    </cfRule>
  </conditionalFormatting>
  <conditionalFormatting sqref="D757">
    <cfRule type="containsText" dxfId="1112" priority="1195" operator="containsText" text="Fri">
      <formula>NOT(ISERROR(SEARCH("Fri",D757)))</formula>
    </cfRule>
    <cfRule type="containsText" dxfId="1111" priority="1196" operator="containsText" text="Thu">
      <formula>NOT(ISERROR(SEARCH("Thu",D757)))</formula>
    </cfRule>
    <cfRule type="containsText" dxfId="1110" priority="1197" operator="containsText" text="Wed">
      <formula>NOT(ISERROR(SEARCH("Wed",D757)))</formula>
    </cfRule>
    <cfRule type="containsText" dxfId="1109" priority="1198" operator="containsText" text="Tue">
      <formula>NOT(ISERROR(SEARCH("Tue",D757)))</formula>
    </cfRule>
    <cfRule type="containsText" dxfId="1108" priority="1199" operator="containsText" text="Mon">
      <formula>NOT(ISERROR(SEARCH("Mon",D757)))</formula>
    </cfRule>
  </conditionalFormatting>
  <conditionalFormatting sqref="D758">
    <cfRule type="containsText" dxfId="1107" priority="1190" operator="containsText" text="Fri">
      <formula>NOT(ISERROR(SEARCH("Fri",D758)))</formula>
    </cfRule>
    <cfRule type="containsText" dxfId="1106" priority="1191" operator="containsText" text="Thu">
      <formula>NOT(ISERROR(SEARCH("Thu",D758)))</formula>
    </cfRule>
    <cfRule type="containsText" dxfId="1105" priority="1192" operator="containsText" text="Wed">
      <formula>NOT(ISERROR(SEARCH("Wed",D758)))</formula>
    </cfRule>
    <cfRule type="containsText" dxfId="1104" priority="1193" operator="containsText" text="Tue">
      <formula>NOT(ISERROR(SEARCH("Tue",D758)))</formula>
    </cfRule>
    <cfRule type="containsText" dxfId="1103" priority="1194" operator="containsText" text="Mon">
      <formula>NOT(ISERROR(SEARCH("Mon",D758)))</formula>
    </cfRule>
  </conditionalFormatting>
  <conditionalFormatting sqref="D759">
    <cfRule type="containsText" dxfId="1102" priority="1185" operator="containsText" text="Fri">
      <formula>NOT(ISERROR(SEARCH("Fri",D759)))</formula>
    </cfRule>
    <cfRule type="containsText" dxfId="1101" priority="1186" operator="containsText" text="Thu">
      <formula>NOT(ISERROR(SEARCH("Thu",D759)))</formula>
    </cfRule>
    <cfRule type="containsText" dxfId="1100" priority="1187" operator="containsText" text="Wed">
      <formula>NOT(ISERROR(SEARCH("Wed",D759)))</formula>
    </cfRule>
    <cfRule type="containsText" dxfId="1099" priority="1188" operator="containsText" text="Tue">
      <formula>NOT(ISERROR(SEARCH("Tue",D759)))</formula>
    </cfRule>
    <cfRule type="containsText" dxfId="1098" priority="1189" operator="containsText" text="Mon">
      <formula>NOT(ISERROR(SEARCH("Mon",D759)))</formula>
    </cfRule>
  </conditionalFormatting>
  <conditionalFormatting sqref="D760">
    <cfRule type="containsText" dxfId="1097" priority="1180" operator="containsText" text="Fri">
      <formula>NOT(ISERROR(SEARCH("Fri",D760)))</formula>
    </cfRule>
    <cfRule type="containsText" dxfId="1096" priority="1181" operator="containsText" text="Thu">
      <formula>NOT(ISERROR(SEARCH("Thu",D760)))</formula>
    </cfRule>
    <cfRule type="containsText" dxfId="1095" priority="1182" operator="containsText" text="Wed">
      <formula>NOT(ISERROR(SEARCH("Wed",D760)))</formula>
    </cfRule>
    <cfRule type="containsText" dxfId="1094" priority="1183" operator="containsText" text="Tue">
      <formula>NOT(ISERROR(SEARCH("Tue",D760)))</formula>
    </cfRule>
    <cfRule type="containsText" dxfId="1093" priority="1184" operator="containsText" text="Mon">
      <formula>NOT(ISERROR(SEARCH("Mon",D760)))</formula>
    </cfRule>
  </conditionalFormatting>
  <conditionalFormatting sqref="D761">
    <cfRule type="containsText" dxfId="1092" priority="1175" operator="containsText" text="Fri">
      <formula>NOT(ISERROR(SEARCH("Fri",D761)))</formula>
    </cfRule>
    <cfRule type="containsText" dxfId="1091" priority="1176" operator="containsText" text="Thu">
      <formula>NOT(ISERROR(SEARCH("Thu",D761)))</formula>
    </cfRule>
    <cfRule type="containsText" dxfId="1090" priority="1177" operator="containsText" text="Wed">
      <formula>NOT(ISERROR(SEARCH("Wed",D761)))</formula>
    </cfRule>
    <cfRule type="containsText" dxfId="1089" priority="1178" operator="containsText" text="Tue">
      <formula>NOT(ISERROR(SEARCH("Tue",D761)))</formula>
    </cfRule>
    <cfRule type="containsText" dxfId="1088" priority="1179" operator="containsText" text="Mon">
      <formula>NOT(ISERROR(SEARCH("Mon",D761)))</formula>
    </cfRule>
  </conditionalFormatting>
  <conditionalFormatting sqref="D762:D763">
    <cfRule type="containsText" dxfId="1087" priority="1170" operator="containsText" text="Fri">
      <formula>NOT(ISERROR(SEARCH("Fri",D762)))</formula>
    </cfRule>
    <cfRule type="containsText" dxfId="1086" priority="1171" operator="containsText" text="Thu">
      <formula>NOT(ISERROR(SEARCH("Thu",D762)))</formula>
    </cfRule>
    <cfRule type="containsText" dxfId="1085" priority="1172" operator="containsText" text="Wed">
      <formula>NOT(ISERROR(SEARCH("Wed",D762)))</formula>
    </cfRule>
    <cfRule type="containsText" dxfId="1084" priority="1173" operator="containsText" text="Tue">
      <formula>NOT(ISERROR(SEARCH("Tue",D762)))</formula>
    </cfRule>
    <cfRule type="containsText" dxfId="1083" priority="1174" operator="containsText" text="Mon">
      <formula>NOT(ISERROR(SEARCH("Mon",D762)))</formula>
    </cfRule>
  </conditionalFormatting>
  <conditionalFormatting sqref="D764:D767">
    <cfRule type="containsText" dxfId="1082" priority="1165" operator="containsText" text="Fri">
      <formula>NOT(ISERROR(SEARCH("Fri",D764)))</formula>
    </cfRule>
    <cfRule type="containsText" dxfId="1081" priority="1166" operator="containsText" text="Thu">
      <formula>NOT(ISERROR(SEARCH("Thu",D764)))</formula>
    </cfRule>
    <cfRule type="containsText" dxfId="1080" priority="1167" operator="containsText" text="Wed">
      <formula>NOT(ISERROR(SEARCH("Wed",D764)))</formula>
    </cfRule>
    <cfRule type="containsText" dxfId="1079" priority="1168" operator="containsText" text="Tue">
      <formula>NOT(ISERROR(SEARCH("Tue",D764)))</formula>
    </cfRule>
    <cfRule type="containsText" dxfId="1078" priority="1169" operator="containsText" text="Mon">
      <formula>NOT(ISERROR(SEARCH("Mon",D764)))</formula>
    </cfRule>
  </conditionalFormatting>
  <conditionalFormatting sqref="D768:D774">
    <cfRule type="containsText" dxfId="1077" priority="1160" operator="containsText" text="Fri">
      <formula>NOT(ISERROR(SEARCH("Fri",D768)))</formula>
    </cfRule>
    <cfRule type="containsText" dxfId="1076" priority="1161" operator="containsText" text="Thu">
      <formula>NOT(ISERROR(SEARCH("Thu",D768)))</formula>
    </cfRule>
    <cfRule type="containsText" dxfId="1075" priority="1162" operator="containsText" text="Wed">
      <formula>NOT(ISERROR(SEARCH("Wed",D768)))</formula>
    </cfRule>
    <cfRule type="containsText" dxfId="1074" priority="1163" operator="containsText" text="Tue">
      <formula>NOT(ISERROR(SEARCH("Tue",D768)))</formula>
    </cfRule>
    <cfRule type="containsText" dxfId="1073" priority="1164" operator="containsText" text="Mon">
      <formula>NOT(ISERROR(SEARCH("Mon",D768)))</formula>
    </cfRule>
  </conditionalFormatting>
  <conditionalFormatting sqref="D775:D777">
    <cfRule type="containsText" dxfId="1072" priority="1155" operator="containsText" text="Fri">
      <formula>NOT(ISERROR(SEARCH("Fri",D775)))</formula>
    </cfRule>
    <cfRule type="containsText" dxfId="1071" priority="1156" operator="containsText" text="Thu">
      <formula>NOT(ISERROR(SEARCH("Thu",D775)))</formula>
    </cfRule>
    <cfRule type="containsText" dxfId="1070" priority="1157" operator="containsText" text="Wed">
      <formula>NOT(ISERROR(SEARCH("Wed",D775)))</formula>
    </cfRule>
    <cfRule type="containsText" dxfId="1069" priority="1158" operator="containsText" text="Tue">
      <formula>NOT(ISERROR(SEARCH("Tue",D775)))</formula>
    </cfRule>
    <cfRule type="containsText" dxfId="1068" priority="1159" operator="containsText" text="Mon">
      <formula>NOT(ISERROR(SEARCH("Mon",D775)))</formula>
    </cfRule>
  </conditionalFormatting>
  <conditionalFormatting sqref="D778:D780">
    <cfRule type="containsText" dxfId="1067" priority="1150" operator="containsText" text="Fri">
      <formula>NOT(ISERROR(SEARCH("Fri",D778)))</formula>
    </cfRule>
    <cfRule type="containsText" dxfId="1066" priority="1151" operator="containsText" text="Thu">
      <formula>NOT(ISERROR(SEARCH("Thu",D778)))</formula>
    </cfRule>
    <cfRule type="containsText" dxfId="1065" priority="1152" operator="containsText" text="Wed">
      <formula>NOT(ISERROR(SEARCH("Wed",D778)))</formula>
    </cfRule>
    <cfRule type="containsText" dxfId="1064" priority="1153" operator="containsText" text="Tue">
      <formula>NOT(ISERROR(SEARCH("Tue",D778)))</formula>
    </cfRule>
    <cfRule type="containsText" dxfId="1063" priority="1154" operator="containsText" text="Mon">
      <formula>NOT(ISERROR(SEARCH("Mon",D778)))</formula>
    </cfRule>
  </conditionalFormatting>
  <conditionalFormatting sqref="D781">
    <cfRule type="containsText" dxfId="1062" priority="1145" operator="containsText" text="Fri">
      <formula>NOT(ISERROR(SEARCH("Fri",D781)))</formula>
    </cfRule>
    <cfRule type="containsText" dxfId="1061" priority="1146" operator="containsText" text="Thu">
      <formula>NOT(ISERROR(SEARCH("Thu",D781)))</formula>
    </cfRule>
    <cfRule type="containsText" dxfId="1060" priority="1147" operator="containsText" text="Wed">
      <formula>NOT(ISERROR(SEARCH("Wed",D781)))</formula>
    </cfRule>
    <cfRule type="containsText" dxfId="1059" priority="1148" operator="containsText" text="Tue">
      <formula>NOT(ISERROR(SEARCH("Tue",D781)))</formula>
    </cfRule>
    <cfRule type="containsText" dxfId="1058" priority="1149" operator="containsText" text="Mon">
      <formula>NOT(ISERROR(SEARCH("Mon",D781)))</formula>
    </cfRule>
  </conditionalFormatting>
  <conditionalFormatting sqref="D782:D788">
    <cfRule type="containsText" dxfId="1057" priority="1140" operator="containsText" text="Fri">
      <formula>NOT(ISERROR(SEARCH("Fri",D782)))</formula>
    </cfRule>
    <cfRule type="containsText" dxfId="1056" priority="1141" operator="containsText" text="Thu">
      <formula>NOT(ISERROR(SEARCH("Thu",D782)))</formula>
    </cfRule>
    <cfRule type="containsText" dxfId="1055" priority="1142" operator="containsText" text="Wed">
      <formula>NOT(ISERROR(SEARCH("Wed",D782)))</formula>
    </cfRule>
    <cfRule type="containsText" dxfId="1054" priority="1143" operator="containsText" text="Tue">
      <formula>NOT(ISERROR(SEARCH("Tue",D782)))</formula>
    </cfRule>
    <cfRule type="containsText" dxfId="1053" priority="1144" operator="containsText" text="Mon">
      <formula>NOT(ISERROR(SEARCH("Mon",D782)))</formula>
    </cfRule>
  </conditionalFormatting>
  <conditionalFormatting sqref="D789:D797">
    <cfRule type="containsText" dxfId="1052" priority="1135" operator="containsText" text="Fri">
      <formula>NOT(ISERROR(SEARCH("Fri",D789)))</formula>
    </cfRule>
    <cfRule type="containsText" dxfId="1051" priority="1136" operator="containsText" text="Thu">
      <formula>NOT(ISERROR(SEARCH("Thu",D789)))</formula>
    </cfRule>
    <cfRule type="containsText" dxfId="1050" priority="1137" operator="containsText" text="Wed">
      <formula>NOT(ISERROR(SEARCH("Wed",D789)))</formula>
    </cfRule>
    <cfRule type="containsText" dxfId="1049" priority="1138" operator="containsText" text="Tue">
      <formula>NOT(ISERROR(SEARCH("Tue",D789)))</formula>
    </cfRule>
    <cfRule type="containsText" dxfId="1048" priority="1139" operator="containsText" text="Mon">
      <formula>NOT(ISERROR(SEARCH("Mon",D789)))</formula>
    </cfRule>
  </conditionalFormatting>
  <conditionalFormatting sqref="D798:D805">
    <cfRule type="containsText" dxfId="1047" priority="1130" operator="containsText" text="Fri">
      <formula>NOT(ISERROR(SEARCH("Fri",D798)))</formula>
    </cfRule>
    <cfRule type="containsText" dxfId="1046" priority="1131" operator="containsText" text="Thu">
      <formula>NOT(ISERROR(SEARCH("Thu",D798)))</formula>
    </cfRule>
    <cfRule type="containsText" dxfId="1045" priority="1132" operator="containsText" text="Wed">
      <formula>NOT(ISERROR(SEARCH("Wed",D798)))</formula>
    </cfRule>
    <cfRule type="containsText" dxfId="1044" priority="1133" operator="containsText" text="Tue">
      <formula>NOT(ISERROR(SEARCH("Tue",D798)))</formula>
    </cfRule>
    <cfRule type="containsText" dxfId="1043" priority="1134" operator="containsText" text="Mon">
      <formula>NOT(ISERROR(SEARCH("Mon",D798)))</formula>
    </cfRule>
  </conditionalFormatting>
  <conditionalFormatting sqref="D806">
    <cfRule type="containsText" dxfId="1042" priority="1125" operator="containsText" text="Fri">
      <formula>NOT(ISERROR(SEARCH("Fri",D806)))</formula>
    </cfRule>
    <cfRule type="containsText" dxfId="1041" priority="1126" operator="containsText" text="Thu">
      <formula>NOT(ISERROR(SEARCH("Thu",D806)))</formula>
    </cfRule>
    <cfRule type="containsText" dxfId="1040" priority="1127" operator="containsText" text="Wed">
      <formula>NOT(ISERROR(SEARCH("Wed",D806)))</formula>
    </cfRule>
    <cfRule type="containsText" dxfId="1039" priority="1128" operator="containsText" text="Tue">
      <formula>NOT(ISERROR(SEARCH("Tue",D806)))</formula>
    </cfRule>
    <cfRule type="containsText" dxfId="1038" priority="1129" operator="containsText" text="Mon">
      <formula>NOT(ISERROR(SEARCH("Mon",D806)))</formula>
    </cfRule>
  </conditionalFormatting>
  <conditionalFormatting sqref="D736:D744">
    <cfRule type="containsText" dxfId="1037" priority="1120" operator="containsText" text="Fri">
      <formula>NOT(ISERROR(SEARCH("Fri",D736)))</formula>
    </cfRule>
    <cfRule type="containsText" dxfId="1036" priority="1121" operator="containsText" text="Thu">
      <formula>NOT(ISERROR(SEARCH("Thu",D736)))</formula>
    </cfRule>
    <cfRule type="containsText" dxfId="1035" priority="1122" operator="containsText" text="Wed">
      <formula>NOT(ISERROR(SEARCH("Wed",D736)))</formula>
    </cfRule>
    <cfRule type="containsText" dxfId="1034" priority="1123" operator="containsText" text="Tue">
      <formula>NOT(ISERROR(SEARCH("Tue",D736)))</formula>
    </cfRule>
    <cfRule type="containsText" dxfId="1033" priority="1124" operator="containsText" text="Mon">
      <formula>NOT(ISERROR(SEARCH("Mon",D736)))</formula>
    </cfRule>
  </conditionalFormatting>
  <conditionalFormatting sqref="E736:K744">
    <cfRule type="cellIs" dxfId="1032" priority="1119" operator="equal">
      <formula>0</formula>
    </cfRule>
  </conditionalFormatting>
  <conditionalFormatting sqref="A736:B744">
    <cfRule type="cellIs" dxfId="1031" priority="1118" operator="equal">
      <formula>0</formula>
    </cfRule>
  </conditionalFormatting>
  <conditionalFormatting sqref="C736:C756">
    <cfRule type="cellIs" dxfId="1030" priority="1117" operator="equal">
      <formula>0</formula>
    </cfRule>
  </conditionalFormatting>
  <conditionalFormatting sqref="C2:C806">
    <cfRule type="cellIs" dxfId="1029" priority="1116" operator="equal">
      <formula>0</formula>
    </cfRule>
  </conditionalFormatting>
  <conditionalFormatting sqref="D663:D675">
    <cfRule type="containsText" dxfId="1028" priority="1111" operator="containsText" text="Fri">
      <formula>NOT(ISERROR(SEARCH("Fri",D663)))</formula>
    </cfRule>
    <cfRule type="containsText" dxfId="1027" priority="1112" operator="containsText" text="Thu">
      <formula>NOT(ISERROR(SEARCH("Thu",D663)))</formula>
    </cfRule>
    <cfRule type="containsText" dxfId="1026" priority="1113" operator="containsText" text="Wed">
      <formula>NOT(ISERROR(SEARCH("Wed",D663)))</formula>
    </cfRule>
    <cfRule type="containsText" dxfId="1025" priority="1114" operator="containsText" text="Tue">
      <formula>NOT(ISERROR(SEARCH("Tue",D663)))</formula>
    </cfRule>
    <cfRule type="containsText" dxfId="1024" priority="1115" operator="containsText" text="Mon">
      <formula>NOT(ISERROR(SEARCH("Mon",D663)))</formula>
    </cfRule>
  </conditionalFormatting>
  <conditionalFormatting sqref="E663:K735">
    <cfRule type="cellIs" dxfId="1023" priority="1110" operator="equal">
      <formula>0</formula>
    </cfRule>
  </conditionalFormatting>
  <conditionalFormatting sqref="A663:B735">
    <cfRule type="cellIs" dxfId="1022" priority="1109" operator="equal">
      <formula>0</formula>
    </cfRule>
  </conditionalFormatting>
  <conditionalFormatting sqref="D676:D682">
    <cfRule type="containsText" dxfId="1021" priority="1104" operator="containsText" text="Fri">
      <formula>NOT(ISERROR(SEARCH("Fri",D676)))</formula>
    </cfRule>
    <cfRule type="containsText" dxfId="1020" priority="1105" operator="containsText" text="Thu">
      <formula>NOT(ISERROR(SEARCH("Thu",D676)))</formula>
    </cfRule>
    <cfRule type="containsText" dxfId="1019" priority="1106" operator="containsText" text="Wed">
      <formula>NOT(ISERROR(SEARCH("Wed",D676)))</formula>
    </cfRule>
    <cfRule type="containsText" dxfId="1018" priority="1107" operator="containsText" text="Tue">
      <formula>NOT(ISERROR(SEARCH("Tue",D676)))</formula>
    </cfRule>
    <cfRule type="containsText" dxfId="1017" priority="1108" operator="containsText" text="Mon">
      <formula>NOT(ISERROR(SEARCH("Mon",D676)))</formula>
    </cfRule>
  </conditionalFormatting>
  <conditionalFormatting sqref="D683">
    <cfRule type="containsText" dxfId="1016" priority="1099" operator="containsText" text="Fri">
      <formula>NOT(ISERROR(SEARCH("Fri",D683)))</formula>
    </cfRule>
    <cfRule type="containsText" dxfId="1015" priority="1100" operator="containsText" text="Thu">
      <formula>NOT(ISERROR(SEARCH("Thu",D683)))</formula>
    </cfRule>
    <cfRule type="containsText" dxfId="1014" priority="1101" operator="containsText" text="Wed">
      <formula>NOT(ISERROR(SEARCH("Wed",D683)))</formula>
    </cfRule>
    <cfRule type="containsText" dxfId="1013" priority="1102" operator="containsText" text="Tue">
      <formula>NOT(ISERROR(SEARCH("Tue",D683)))</formula>
    </cfRule>
    <cfRule type="containsText" dxfId="1012" priority="1103" operator="containsText" text="Mon">
      <formula>NOT(ISERROR(SEARCH("Mon",D683)))</formula>
    </cfRule>
  </conditionalFormatting>
  <conditionalFormatting sqref="D684">
    <cfRule type="containsText" dxfId="1011" priority="1094" operator="containsText" text="Fri">
      <formula>NOT(ISERROR(SEARCH("Fri",D684)))</formula>
    </cfRule>
    <cfRule type="containsText" dxfId="1010" priority="1095" operator="containsText" text="Thu">
      <formula>NOT(ISERROR(SEARCH("Thu",D684)))</formula>
    </cfRule>
    <cfRule type="containsText" dxfId="1009" priority="1096" operator="containsText" text="Wed">
      <formula>NOT(ISERROR(SEARCH("Wed",D684)))</formula>
    </cfRule>
    <cfRule type="containsText" dxfId="1008" priority="1097" operator="containsText" text="Tue">
      <formula>NOT(ISERROR(SEARCH("Tue",D684)))</formula>
    </cfRule>
    <cfRule type="containsText" dxfId="1007" priority="1098" operator="containsText" text="Mon">
      <formula>NOT(ISERROR(SEARCH("Mon",D684)))</formula>
    </cfRule>
  </conditionalFormatting>
  <conditionalFormatting sqref="D685">
    <cfRule type="containsText" dxfId="1006" priority="1089" operator="containsText" text="Fri">
      <formula>NOT(ISERROR(SEARCH("Fri",D685)))</formula>
    </cfRule>
    <cfRule type="containsText" dxfId="1005" priority="1090" operator="containsText" text="Thu">
      <formula>NOT(ISERROR(SEARCH("Thu",D685)))</formula>
    </cfRule>
    <cfRule type="containsText" dxfId="1004" priority="1091" operator="containsText" text="Wed">
      <formula>NOT(ISERROR(SEARCH("Wed",D685)))</formula>
    </cfRule>
    <cfRule type="containsText" dxfId="1003" priority="1092" operator="containsText" text="Tue">
      <formula>NOT(ISERROR(SEARCH("Tue",D685)))</formula>
    </cfRule>
    <cfRule type="containsText" dxfId="1002" priority="1093" operator="containsText" text="Mon">
      <formula>NOT(ISERROR(SEARCH("Mon",D685)))</formula>
    </cfRule>
  </conditionalFormatting>
  <conditionalFormatting sqref="D686">
    <cfRule type="containsText" dxfId="1001" priority="1084" operator="containsText" text="Fri">
      <formula>NOT(ISERROR(SEARCH("Fri",D686)))</formula>
    </cfRule>
    <cfRule type="containsText" dxfId="1000" priority="1085" operator="containsText" text="Thu">
      <formula>NOT(ISERROR(SEARCH("Thu",D686)))</formula>
    </cfRule>
    <cfRule type="containsText" dxfId="999" priority="1086" operator="containsText" text="Wed">
      <formula>NOT(ISERROR(SEARCH("Wed",D686)))</formula>
    </cfRule>
    <cfRule type="containsText" dxfId="998" priority="1087" operator="containsText" text="Tue">
      <formula>NOT(ISERROR(SEARCH("Tue",D686)))</formula>
    </cfRule>
    <cfRule type="containsText" dxfId="997" priority="1088" operator="containsText" text="Mon">
      <formula>NOT(ISERROR(SEARCH("Mon",D686)))</formula>
    </cfRule>
  </conditionalFormatting>
  <conditionalFormatting sqref="D687">
    <cfRule type="containsText" dxfId="996" priority="1079" operator="containsText" text="Fri">
      <formula>NOT(ISERROR(SEARCH("Fri",D687)))</formula>
    </cfRule>
    <cfRule type="containsText" dxfId="995" priority="1080" operator="containsText" text="Thu">
      <formula>NOT(ISERROR(SEARCH("Thu",D687)))</formula>
    </cfRule>
    <cfRule type="containsText" dxfId="994" priority="1081" operator="containsText" text="Wed">
      <formula>NOT(ISERROR(SEARCH("Wed",D687)))</formula>
    </cfRule>
    <cfRule type="containsText" dxfId="993" priority="1082" operator="containsText" text="Tue">
      <formula>NOT(ISERROR(SEARCH("Tue",D687)))</formula>
    </cfRule>
    <cfRule type="containsText" dxfId="992" priority="1083" operator="containsText" text="Mon">
      <formula>NOT(ISERROR(SEARCH("Mon",D687)))</formula>
    </cfRule>
  </conditionalFormatting>
  <conditionalFormatting sqref="D688">
    <cfRule type="containsText" dxfId="991" priority="1074" operator="containsText" text="Fri">
      <formula>NOT(ISERROR(SEARCH("Fri",D688)))</formula>
    </cfRule>
    <cfRule type="containsText" dxfId="990" priority="1075" operator="containsText" text="Thu">
      <formula>NOT(ISERROR(SEARCH("Thu",D688)))</formula>
    </cfRule>
    <cfRule type="containsText" dxfId="989" priority="1076" operator="containsText" text="Wed">
      <formula>NOT(ISERROR(SEARCH("Wed",D688)))</formula>
    </cfRule>
    <cfRule type="containsText" dxfId="988" priority="1077" operator="containsText" text="Tue">
      <formula>NOT(ISERROR(SEARCH("Tue",D688)))</formula>
    </cfRule>
    <cfRule type="containsText" dxfId="987" priority="1078" operator="containsText" text="Mon">
      <formula>NOT(ISERROR(SEARCH("Mon",D688)))</formula>
    </cfRule>
  </conditionalFormatting>
  <conditionalFormatting sqref="D689:D690">
    <cfRule type="containsText" dxfId="986" priority="1069" operator="containsText" text="Fri">
      <formula>NOT(ISERROR(SEARCH("Fri",D689)))</formula>
    </cfRule>
    <cfRule type="containsText" dxfId="985" priority="1070" operator="containsText" text="Thu">
      <formula>NOT(ISERROR(SEARCH("Thu",D689)))</formula>
    </cfRule>
    <cfRule type="containsText" dxfId="984" priority="1071" operator="containsText" text="Wed">
      <formula>NOT(ISERROR(SEARCH("Wed",D689)))</formula>
    </cfRule>
    <cfRule type="containsText" dxfId="983" priority="1072" operator="containsText" text="Tue">
      <formula>NOT(ISERROR(SEARCH("Tue",D689)))</formula>
    </cfRule>
    <cfRule type="containsText" dxfId="982" priority="1073" operator="containsText" text="Mon">
      <formula>NOT(ISERROR(SEARCH("Mon",D689)))</formula>
    </cfRule>
  </conditionalFormatting>
  <conditionalFormatting sqref="D691:D694">
    <cfRule type="containsText" dxfId="981" priority="1064" operator="containsText" text="Fri">
      <formula>NOT(ISERROR(SEARCH("Fri",D691)))</formula>
    </cfRule>
    <cfRule type="containsText" dxfId="980" priority="1065" operator="containsText" text="Thu">
      <formula>NOT(ISERROR(SEARCH("Thu",D691)))</formula>
    </cfRule>
    <cfRule type="containsText" dxfId="979" priority="1066" operator="containsText" text="Wed">
      <formula>NOT(ISERROR(SEARCH("Wed",D691)))</formula>
    </cfRule>
    <cfRule type="containsText" dxfId="978" priority="1067" operator="containsText" text="Tue">
      <formula>NOT(ISERROR(SEARCH("Tue",D691)))</formula>
    </cfRule>
    <cfRule type="containsText" dxfId="977" priority="1068" operator="containsText" text="Mon">
      <formula>NOT(ISERROR(SEARCH("Mon",D691)))</formula>
    </cfRule>
  </conditionalFormatting>
  <conditionalFormatting sqref="D695:D701">
    <cfRule type="containsText" dxfId="976" priority="1059" operator="containsText" text="Fri">
      <formula>NOT(ISERROR(SEARCH("Fri",D695)))</formula>
    </cfRule>
    <cfRule type="containsText" dxfId="975" priority="1060" operator="containsText" text="Thu">
      <formula>NOT(ISERROR(SEARCH("Thu",D695)))</formula>
    </cfRule>
    <cfRule type="containsText" dxfId="974" priority="1061" operator="containsText" text="Wed">
      <formula>NOT(ISERROR(SEARCH("Wed",D695)))</formula>
    </cfRule>
    <cfRule type="containsText" dxfId="973" priority="1062" operator="containsText" text="Tue">
      <formula>NOT(ISERROR(SEARCH("Tue",D695)))</formula>
    </cfRule>
    <cfRule type="containsText" dxfId="972" priority="1063" operator="containsText" text="Mon">
      <formula>NOT(ISERROR(SEARCH("Mon",D695)))</formula>
    </cfRule>
  </conditionalFormatting>
  <conditionalFormatting sqref="D702:D704">
    <cfRule type="containsText" dxfId="971" priority="1054" operator="containsText" text="Fri">
      <formula>NOT(ISERROR(SEARCH("Fri",D702)))</formula>
    </cfRule>
    <cfRule type="containsText" dxfId="970" priority="1055" operator="containsText" text="Thu">
      <formula>NOT(ISERROR(SEARCH("Thu",D702)))</formula>
    </cfRule>
    <cfRule type="containsText" dxfId="969" priority="1056" operator="containsText" text="Wed">
      <formula>NOT(ISERROR(SEARCH("Wed",D702)))</formula>
    </cfRule>
    <cfRule type="containsText" dxfId="968" priority="1057" operator="containsText" text="Tue">
      <formula>NOT(ISERROR(SEARCH("Tue",D702)))</formula>
    </cfRule>
    <cfRule type="containsText" dxfId="967" priority="1058" operator="containsText" text="Mon">
      <formula>NOT(ISERROR(SEARCH("Mon",D702)))</formula>
    </cfRule>
  </conditionalFormatting>
  <conditionalFormatting sqref="D705:D707">
    <cfRule type="containsText" dxfId="966" priority="1049" operator="containsText" text="Fri">
      <formula>NOT(ISERROR(SEARCH("Fri",D705)))</formula>
    </cfRule>
    <cfRule type="containsText" dxfId="965" priority="1050" operator="containsText" text="Thu">
      <formula>NOT(ISERROR(SEARCH("Thu",D705)))</formula>
    </cfRule>
    <cfRule type="containsText" dxfId="964" priority="1051" operator="containsText" text="Wed">
      <formula>NOT(ISERROR(SEARCH("Wed",D705)))</formula>
    </cfRule>
    <cfRule type="containsText" dxfId="963" priority="1052" operator="containsText" text="Tue">
      <formula>NOT(ISERROR(SEARCH("Tue",D705)))</formula>
    </cfRule>
    <cfRule type="containsText" dxfId="962" priority="1053" operator="containsText" text="Mon">
      <formula>NOT(ISERROR(SEARCH("Mon",D705)))</formula>
    </cfRule>
  </conditionalFormatting>
  <conditionalFormatting sqref="D708">
    <cfRule type="containsText" dxfId="961" priority="1044" operator="containsText" text="Fri">
      <formula>NOT(ISERROR(SEARCH("Fri",D708)))</formula>
    </cfRule>
    <cfRule type="containsText" dxfId="960" priority="1045" operator="containsText" text="Thu">
      <formula>NOT(ISERROR(SEARCH("Thu",D708)))</formula>
    </cfRule>
    <cfRule type="containsText" dxfId="959" priority="1046" operator="containsText" text="Wed">
      <formula>NOT(ISERROR(SEARCH("Wed",D708)))</formula>
    </cfRule>
    <cfRule type="containsText" dxfId="958" priority="1047" operator="containsText" text="Tue">
      <formula>NOT(ISERROR(SEARCH("Tue",D708)))</formula>
    </cfRule>
    <cfRule type="containsText" dxfId="957" priority="1048" operator="containsText" text="Mon">
      <formula>NOT(ISERROR(SEARCH("Mon",D708)))</formula>
    </cfRule>
  </conditionalFormatting>
  <conditionalFormatting sqref="D709:D715">
    <cfRule type="containsText" dxfId="956" priority="1039" operator="containsText" text="Fri">
      <formula>NOT(ISERROR(SEARCH("Fri",D709)))</formula>
    </cfRule>
    <cfRule type="containsText" dxfId="955" priority="1040" operator="containsText" text="Thu">
      <formula>NOT(ISERROR(SEARCH("Thu",D709)))</formula>
    </cfRule>
    <cfRule type="containsText" dxfId="954" priority="1041" operator="containsText" text="Wed">
      <formula>NOT(ISERROR(SEARCH("Wed",D709)))</formula>
    </cfRule>
    <cfRule type="containsText" dxfId="953" priority="1042" operator="containsText" text="Tue">
      <formula>NOT(ISERROR(SEARCH("Tue",D709)))</formula>
    </cfRule>
    <cfRule type="containsText" dxfId="952" priority="1043" operator="containsText" text="Mon">
      <formula>NOT(ISERROR(SEARCH("Mon",D709)))</formula>
    </cfRule>
  </conditionalFormatting>
  <conditionalFormatting sqref="D716:D724">
    <cfRule type="containsText" dxfId="951" priority="1034" operator="containsText" text="Fri">
      <formula>NOT(ISERROR(SEARCH("Fri",D716)))</formula>
    </cfRule>
    <cfRule type="containsText" dxfId="950" priority="1035" operator="containsText" text="Thu">
      <formula>NOT(ISERROR(SEARCH("Thu",D716)))</formula>
    </cfRule>
    <cfRule type="containsText" dxfId="949" priority="1036" operator="containsText" text="Wed">
      <formula>NOT(ISERROR(SEARCH("Wed",D716)))</formula>
    </cfRule>
    <cfRule type="containsText" dxfId="948" priority="1037" operator="containsText" text="Tue">
      <formula>NOT(ISERROR(SEARCH("Tue",D716)))</formula>
    </cfRule>
    <cfRule type="containsText" dxfId="947" priority="1038" operator="containsText" text="Mon">
      <formula>NOT(ISERROR(SEARCH("Mon",D716)))</formula>
    </cfRule>
  </conditionalFormatting>
  <conditionalFormatting sqref="D725:D732">
    <cfRule type="containsText" dxfId="946" priority="1029" operator="containsText" text="Fri">
      <formula>NOT(ISERROR(SEARCH("Fri",D725)))</formula>
    </cfRule>
    <cfRule type="containsText" dxfId="945" priority="1030" operator="containsText" text="Thu">
      <formula>NOT(ISERROR(SEARCH("Thu",D725)))</formula>
    </cfRule>
    <cfRule type="containsText" dxfId="944" priority="1031" operator="containsText" text="Wed">
      <formula>NOT(ISERROR(SEARCH("Wed",D725)))</formula>
    </cfRule>
    <cfRule type="containsText" dxfId="943" priority="1032" operator="containsText" text="Tue">
      <formula>NOT(ISERROR(SEARCH("Tue",D725)))</formula>
    </cfRule>
    <cfRule type="containsText" dxfId="942" priority="1033" operator="containsText" text="Mon">
      <formula>NOT(ISERROR(SEARCH("Mon",D725)))</formula>
    </cfRule>
  </conditionalFormatting>
  <conditionalFormatting sqref="D733:D735">
    <cfRule type="containsText" dxfId="941" priority="1024" operator="containsText" text="Fri">
      <formula>NOT(ISERROR(SEARCH("Fri",D733)))</formula>
    </cfRule>
    <cfRule type="containsText" dxfId="940" priority="1025" operator="containsText" text="Thu">
      <formula>NOT(ISERROR(SEARCH("Thu",D733)))</formula>
    </cfRule>
    <cfRule type="containsText" dxfId="939" priority="1026" operator="containsText" text="Wed">
      <formula>NOT(ISERROR(SEARCH("Wed",D733)))</formula>
    </cfRule>
    <cfRule type="containsText" dxfId="938" priority="1027" operator="containsText" text="Tue">
      <formula>NOT(ISERROR(SEARCH("Tue",D733)))</formula>
    </cfRule>
    <cfRule type="containsText" dxfId="937" priority="1028" operator="containsText" text="Mon">
      <formula>NOT(ISERROR(SEARCH("Mon",D733)))</formula>
    </cfRule>
  </conditionalFormatting>
  <conditionalFormatting sqref="E807:K845">
    <cfRule type="cellIs" dxfId="936" priority="1023" operator="equal">
      <formula>0</formula>
    </cfRule>
  </conditionalFormatting>
  <conditionalFormatting sqref="A807:B845">
    <cfRule type="cellIs" dxfId="935" priority="1022" operator="equal">
      <formula>0</formula>
    </cfRule>
  </conditionalFormatting>
  <conditionalFormatting sqref="D807:D809">
    <cfRule type="containsText" dxfId="934" priority="1017" operator="containsText" text="Fri">
      <formula>NOT(ISERROR(SEARCH("Fri",D807)))</formula>
    </cfRule>
    <cfRule type="containsText" dxfId="933" priority="1018" operator="containsText" text="Thu">
      <formula>NOT(ISERROR(SEARCH("Thu",D807)))</formula>
    </cfRule>
    <cfRule type="containsText" dxfId="932" priority="1019" operator="containsText" text="Wed">
      <formula>NOT(ISERROR(SEARCH("Wed",D807)))</formula>
    </cfRule>
    <cfRule type="containsText" dxfId="931" priority="1020" operator="containsText" text="Tue">
      <formula>NOT(ISERROR(SEARCH("Tue",D807)))</formula>
    </cfRule>
    <cfRule type="containsText" dxfId="930" priority="1021" operator="containsText" text="Mon">
      <formula>NOT(ISERROR(SEARCH("Mon",D807)))</formula>
    </cfRule>
  </conditionalFormatting>
  <conditionalFormatting sqref="D810:D813">
    <cfRule type="containsText" dxfId="929" priority="1012" operator="containsText" text="Fri">
      <formula>NOT(ISERROR(SEARCH("Fri",D810)))</formula>
    </cfRule>
    <cfRule type="containsText" dxfId="928" priority="1013" operator="containsText" text="Thu">
      <formula>NOT(ISERROR(SEARCH("Thu",D810)))</formula>
    </cfRule>
    <cfRule type="containsText" dxfId="927" priority="1014" operator="containsText" text="Wed">
      <formula>NOT(ISERROR(SEARCH("Wed",D810)))</formula>
    </cfRule>
    <cfRule type="containsText" dxfId="926" priority="1015" operator="containsText" text="Tue">
      <formula>NOT(ISERROR(SEARCH("Tue",D810)))</formula>
    </cfRule>
    <cfRule type="containsText" dxfId="925" priority="1016" operator="containsText" text="Mon">
      <formula>NOT(ISERROR(SEARCH("Mon",D810)))</formula>
    </cfRule>
  </conditionalFormatting>
  <conditionalFormatting sqref="D814:D818">
    <cfRule type="containsText" dxfId="924" priority="1007" operator="containsText" text="Fri">
      <formula>NOT(ISERROR(SEARCH("Fri",D814)))</formula>
    </cfRule>
    <cfRule type="containsText" dxfId="923" priority="1008" operator="containsText" text="Thu">
      <formula>NOT(ISERROR(SEARCH("Thu",D814)))</formula>
    </cfRule>
    <cfRule type="containsText" dxfId="922" priority="1009" operator="containsText" text="Wed">
      <formula>NOT(ISERROR(SEARCH("Wed",D814)))</formula>
    </cfRule>
    <cfRule type="containsText" dxfId="921" priority="1010" operator="containsText" text="Tue">
      <formula>NOT(ISERROR(SEARCH("Tue",D814)))</formula>
    </cfRule>
    <cfRule type="containsText" dxfId="920" priority="1011" operator="containsText" text="Mon">
      <formula>NOT(ISERROR(SEARCH("Mon",D814)))</formula>
    </cfRule>
  </conditionalFormatting>
  <conditionalFormatting sqref="D819:D823">
    <cfRule type="containsText" dxfId="919" priority="1002" operator="containsText" text="Fri">
      <formula>NOT(ISERROR(SEARCH("Fri",D819)))</formula>
    </cfRule>
    <cfRule type="containsText" dxfId="918" priority="1003" operator="containsText" text="Thu">
      <formula>NOT(ISERROR(SEARCH("Thu",D819)))</formula>
    </cfRule>
    <cfRule type="containsText" dxfId="917" priority="1004" operator="containsText" text="Wed">
      <formula>NOT(ISERROR(SEARCH("Wed",D819)))</formula>
    </cfRule>
    <cfRule type="containsText" dxfId="916" priority="1005" operator="containsText" text="Tue">
      <formula>NOT(ISERROR(SEARCH("Tue",D819)))</formula>
    </cfRule>
    <cfRule type="containsText" dxfId="915" priority="1006" operator="containsText" text="Mon">
      <formula>NOT(ISERROR(SEARCH("Mon",D819)))</formula>
    </cfRule>
  </conditionalFormatting>
  <conditionalFormatting sqref="D824:D828">
    <cfRule type="containsText" dxfId="914" priority="997" operator="containsText" text="Fri">
      <formula>NOT(ISERROR(SEARCH("Fri",D824)))</formula>
    </cfRule>
    <cfRule type="containsText" dxfId="913" priority="998" operator="containsText" text="Thu">
      <formula>NOT(ISERROR(SEARCH("Thu",D824)))</formula>
    </cfRule>
    <cfRule type="containsText" dxfId="912" priority="999" operator="containsText" text="Wed">
      <formula>NOT(ISERROR(SEARCH("Wed",D824)))</formula>
    </cfRule>
    <cfRule type="containsText" dxfId="911" priority="1000" operator="containsText" text="Tue">
      <formula>NOT(ISERROR(SEARCH("Tue",D824)))</formula>
    </cfRule>
    <cfRule type="containsText" dxfId="910" priority="1001" operator="containsText" text="Mon">
      <formula>NOT(ISERROR(SEARCH("Mon",D824)))</formula>
    </cfRule>
  </conditionalFormatting>
  <conditionalFormatting sqref="D829:D833">
    <cfRule type="containsText" dxfId="909" priority="992" operator="containsText" text="Fri">
      <formula>NOT(ISERROR(SEARCH("Fri",D829)))</formula>
    </cfRule>
    <cfRule type="containsText" dxfId="908" priority="993" operator="containsText" text="Thu">
      <formula>NOT(ISERROR(SEARCH("Thu",D829)))</formula>
    </cfRule>
    <cfRule type="containsText" dxfId="907" priority="994" operator="containsText" text="Wed">
      <formula>NOT(ISERROR(SEARCH("Wed",D829)))</formula>
    </cfRule>
    <cfRule type="containsText" dxfId="906" priority="995" operator="containsText" text="Tue">
      <formula>NOT(ISERROR(SEARCH("Tue",D829)))</formula>
    </cfRule>
    <cfRule type="containsText" dxfId="905" priority="996" operator="containsText" text="Mon">
      <formula>NOT(ISERROR(SEARCH("Mon",D829)))</formula>
    </cfRule>
  </conditionalFormatting>
  <conditionalFormatting sqref="D834:D837">
    <cfRule type="containsText" dxfId="904" priority="987" operator="containsText" text="Fri">
      <formula>NOT(ISERROR(SEARCH("Fri",D834)))</formula>
    </cfRule>
    <cfRule type="containsText" dxfId="903" priority="988" operator="containsText" text="Thu">
      <formula>NOT(ISERROR(SEARCH("Thu",D834)))</formula>
    </cfRule>
    <cfRule type="containsText" dxfId="902" priority="989" operator="containsText" text="Wed">
      <formula>NOT(ISERROR(SEARCH("Wed",D834)))</formula>
    </cfRule>
    <cfRule type="containsText" dxfId="901" priority="990" operator="containsText" text="Tue">
      <formula>NOT(ISERROR(SEARCH("Tue",D834)))</formula>
    </cfRule>
    <cfRule type="containsText" dxfId="900" priority="991" operator="containsText" text="Mon">
      <formula>NOT(ISERROR(SEARCH("Mon",D834)))</formula>
    </cfRule>
  </conditionalFormatting>
  <conditionalFormatting sqref="D838:D841">
    <cfRule type="containsText" dxfId="899" priority="982" operator="containsText" text="Fri">
      <formula>NOT(ISERROR(SEARCH("Fri",D838)))</formula>
    </cfRule>
    <cfRule type="containsText" dxfId="898" priority="983" operator="containsText" text="Thu">
      <formula>NOT(ISERROR(SEARCH("Thu",D838)))</formula>
    </cfRule>
    <cfRule type="containsText" dxfId="897" priority="984" operator="containsText" text="Wed">
      <formula>NOT(ISERROR(SEARCH("Wed",D838)))</formula>
    </cfRule>
    <cfRule type="containsText" dxfId="896" priority="985" operator="containsText" text="Tue">
      <formula>NOT(ISERROR(SEARCH("Tue",D838)))</formula>
    </cfRule>
    <cfRule type="containsText" dxfId="895" priority="986" operator="containsText" text="Mon">
      <formula>NOT(ISERROR(SEARCH("Mon",D838)))</formula>
    </cfRule>
  </conditionalFormatting>
  <conditionalFormatting sqref="D842:D845">
    <cfRule type="containsText" dxfId="894" priority="977" operator="containsText" text="Fri">
      <formula>NOT(ISERROR(SEARCH("Fri",D842)))</formula>
    </cfRule>
    <cfRule type="containsText" dxfId="893" priority="978" operator="containsText" text="Thu">
      <formula>NOT(ISERROR(SEARCH("Thu",D842)))</formula>
    </cfRule>
    <cfRule type="containsText" dxfId="892" priority="979" operator="containsText" text="Wed">
      <formula>NOT(ISERROR(SEARCH("Wed",D842)))</formula>
    </cfRule>
    <cfRule type="containsText" dxfId="891" priority="980" operator="containsText" text="Tue">
      <formula>NOT(ISERROR(SEARCH("Tue",D842)))</formula>
    </cfRule>
    <cfRule type="containsText" dxfId="890" priority="981" operator="containsText" text="Mon">
      <formula>NOT(ISERROR(SEARCH("Mon",D842)))</formula>
    </cfRule>
  </conditionalFormatting>
  <conditionalFormatting sqref="D846:D854">
    <cfRule type="containsText" dxfId="889" priority="972" operator="containsText" text="Fri">
      <formula>NOT(ISERROR(SEARCH("Fri",D846)))</formula>
    </cfRule>
    <cfRule type="containsText" dxfId="888" priority="973" operator="containsText" text="Thu">
      <formula>NOT(ISERROR(SEARCH("Thu",D846)))</formula>
    </cfRule>
    <cfRule type="containsText" dxfId="887" priority="974" operator="containsText" text="Wed">
      <formula>NOT(ISERROR(SEARCH("Wed",D846)))</formula>
    </cfRule>
    <cfRule type="containsText" dxfId="886" priority="975" operator="containsText" text="Tue">
      <formula>NOT(ISERROR(SEARCH("Tue",D846)))</formula>
    </cfRule>
    <cfRule type="containsText" dxfId="885" priority="976" operator="containsText" text="Mon">
      <formula>NOT(ISERROR(SEARCH("Mon",D846)))</formula>
    </cfRule>
  </conditionalFormatting>
  <conditionalFormatting sqref="E846:K887">
    <cfRule type="cellIs" dxfId="884" priority="971" operator="equal">
      <formula>0</formula>
    </cfRule>
  </conditionalFormatting>
  <conditionalFormatting sqref="A846:B887">
    <cfRule type="cellIs" dxfId="883" priority="970" operator="equal">
      <formula>0</formula>
    </cfRule>
  </conditionalFormatting>
  <conditionalFormatting sqref="D855:D858">
    <cfRule type="containsText" dxfId="882" priority="965" operator="containsText" text="Fri">
      <formula>NOT(ISERROR(SEARCH("Fri",D855)))</formula>
    </cfRule>
    <cfRule type="containsText" dxfId="881" priority="966" operator="containsText" text="Thu">
      <formula>NOT(ISERROR(SEARCH("Thu",D855)))</formula>
    </cfRule>
    <cfRule type="containsText" dxfId="880" priority="967" operator="containsText" text="Wed">
      <formula>NOT(ISERROR(SEARCH("Wed",D855)))</formula>
    </cfRule>
    <cfRule type="containsText" dxfId="879" priority="968" operator="containsText" text="Tue">
      <formula>NOT(ISERROR(SEARCH("Tue",D855)))</formula>
    </cfRule>
    <cfRule type="containsText" dxfId="878" priority="969" operator="containsText" text="Mon">
      <formula>NOT(ISERROR(SEARCH("Mon",D855)))</formula>
    </cfRule>
  </conditionalFormatting>
  <conditionalFormatting sqref="D859">
    <cfRule type="containsText" dxfId="877" priority="960" operator="containsText" text="Fri">
      <formula>NOT(ISERROR(SEARCH("Fri",D859)))</formula>
    </cfRule>
    <cfRule type="containsText" dxfId="876" priority="961" operator="containsText" text="Thu">
      <formula>NOT(ISERROR(SEARCH("Thu",D859)))</formula>
    </cfRule>
    <cfRule type="containsText" dxfId="875" priority="962" operator="containsText" text="Wed">
      <formula>NOT(ISERROR(SEARCH("Wed",D859)))</formula>
    </cfRule>
    <cfRule type="containsText" dxfId="874" priority="963" operator="containsText" text="Tue">
      <formula>NOT(ISERROR(SEARCH("Tue",D859)))</formula>
    </cfRule>
    <cfRule type="containsText" dxfId="873" priority="964" operator="containsText" text="Mon">
      <formula>NOT(ISERROR(SEARCH("Mon",D859)))</formula>
    </cfRule>
  </conditionalFormatting>
  <conditionalFormatting sqref="D860">
    <cfRule type="containsText" dxfId="872" priority="955" operator="containsText" text="Fri">
      <formula>NOT(ISERROR(SEARCH("Fri",D860)))</formula>
    </cfRule>
    <cfRule type="containsText" dxfId="871" priority="956" operator="containsText" text="Thu">
      <formula>NOT(ISERROR(SEARCH("Thu",D860)))</formula>
    </cfRule>
    <cfRule type="containsText" dxfId="870" priority="957" operator="containsText" text="Wed">
      <formula>NOT(ISERROR(SEARCH("Wed",D860)))</formula>
    </cfRule>
    <cfRule type="containsText" dxfId="869" priority="958" operator="containsText" text="Tue">
      <formula>NOT(ISERROR(SEARCH("Tue",D860)))</formula>
    </cfRule>
    <cfRule type="containsText" dxfId="868" priority="959" operator="containsText" text="Mon">
      <formula>NOT(ISERROR(SEARCH("Mon",D860)))</formula>
    </cfRule>
  </conditionalFormatting>
  <conditionalFormatting sqref="D861:D864">
    <cfRule type="containsText" dxfId="867" priority="950" operator="containsText" text="Fri">
      <formula>NOT(ISERROR(SEARCH("Fri",D861)))</formula>
    </cfRule>
    <cfRule type="containsText" dxfId="866" priority="951" operator="containsText" text="Thu">
      <formula>NOT(ISERROR(SEARCH("Thu",D861)))</formula>
    </cfRule>
    <cfRule type="containsText" dxfId="865" priority="952" operator="containsText" text="Wed">
      <formula>NOT(ISERROR(SEARCH("Wed",D861)))</formula>
    </cfRule>
    <cfRule type="containsText" dxfId="864" priority="953" operator="containsText" text="Tue">
      <formula>NOT(ISERROR(SEARCH("Tue",D861)))</formula>
    </cfRule>
    <cfRule type="containsText" dxfId="863" priority="954" operator="containsText" text="Mon">
      <formula>NOT(ISERROR(SEARCH("Mon",D861)))</formula>
    </cfRule>
  </conditionalFormatting>
  <conditionalFormatting sqref="D865:D868">
    <cfRule type="containsText" dxfId="862" priority="945" operator="containsText" text="Fri">
      <formula>NOT(ISERROR(SEARCH("Fri",D865)))</formula>
    </cfRule>
    <cfRule type="containsText" dxfId="861" priority="946" operator="containsText" text="Thu">
      <formula>NOT(ISERROR(SEARCH("Thu",D865)))</formula>
    </cfRule>
    <cfRule type="containsText" dxfId="860" priority="947" operator="containsText" text="Wed">
      <formula>NOT(ISERROR(SEARCH("Wed",D865)))</formula>
    </cfRule>
    <cfRule type="containsText" dxfId="859" priority="948" operator="containsText" text="Tue">
      <formula>NOT(ISERROR(SEARCH("Tue",D865)))</formula>
    </cfRule>
    <cfRule type="containsText" dxfId="858" priority="949" operator="containsText" text="Mon">
      <formula>NOT(ISERROR(SEARCH("Mon",D865)))</formula>
    </cfRule>
  </conditionalFormatting>
  <conditionalFormatting sqref="D869:D872">
    <cfRule type="containsText" dxfId="857" priority="940" operator="containsText" text="Fri">
      <formula>NOT(ISERROR(SEARCH("Fri",D869)))</formula>
    </cfRule>
    <cfRule type="containsText" dxfId="856" priority="941" operator="containsText" text="Thu">
      <formula>NOT(ISERROR(SEARCH("Thu",D869)))</formula>
    </cfRule>
    <cfRule type="containsText" dxfId="855" priority="942" operator="containsText" text="Wed">
      <formula>NOT(ISERROR(SEARCH("Wed",D869)))</formula>
    </cfRule>
    <cfRule type="containsText" dxfId="854" priority="943" operator="containsText" text="Tue">
      <formula>NOT(ISERROR(SEARCH("Tue",D869)))</formula>
    </cfRule>
    <cfRule type="containsText" dxfId="853" priority="944" operator="containsText" text="Mon">
      <formula>NOT(ISERROR(SEARCH("Mon",D869)))</formula>
    </cfRule>
  </conditionalFormatting>
  <conditionalFormatting sqref="D873:D876">
    <cfRule type="containsText" dxfId="852" priority="935" operator="containsText" text="Fri">
      <formula>NOT(ISERROR(SEARCH("Fri",D873)))</formula>
    </cfRule>
    <cfRule type="containsText" dxfId="851" priority="936" operator="containsText" text="Thu">
      <formula>NOT(ISERROR(SEARCH("Thu",D873)))</formula>
    </cfRule>
    <cfRule type="containsText" dxfId="850" priority="937" operator="containsText" text="Wed">
      <formula>NOT(ISERROR(SEARCH("Wed",D873)))</formula>
    </cfRule>
    <cfRule type="containsText" dxfId="849" priority="938" operator="containsText" text="Tue">
      <formula>NOT(ISERROR(SEARCH("Tue",D873)))</formula>
    </cfRule>
    <cfRule type="containsText" dxfId="848" priority="939" operator="containsText" text="Mon">
      <formula>NOT(ISERROR(SEARCH("Mon",D873)))</formula>
    </cfRule>
  </conditionalFormatting>
  <conditionalFormatting sqref="D877:D879">
    <cfRule type="containsText" dxfId="847" priority="930" operator="containsText" text="Fri">
      <formula>NOT(ISERROR(SEARCH("Fri",D877)))</formula>
    </cfRule>
    <cfRule type="containsText" dxfId="846" priority="931" operator="containsText" text="Thu">
      <formula>NOT(ISERROR(SEARCH("Thu",D877)))</formula>
    </cfRule>
    <cfRule type="containsText" dxfId="845" priority="932" operator="containsText" text="Wed">
      <formula>NOT(ISERROR(SEARCH("Wed",D877)))</formula>
    </cfRule>
    <cfRule type="containsText" dxfId="844" priority="933" operator="containsText" text="Tue">
      <formula>NOT(ISERROR(SEARCH("Tue",D877)))</formula>
    </cfRule>
    <cfRule type="containsText" dxfId="843" priority="934" operator="containsText" text="Mon">
      <formula>NOT(ISERROR(SEARCH("Mon",D877)))</formula>
    </cfRule>
  </conditionalFormatting>
  <conditionalFormatting sqref="D880:D883">
    <cfRule type="containsText" dxfId="842" priority="925" operator="containsText" text="Fri">
      <formula>NOT(ISERROR(SEARCH("Fri",D880)))</formula>
    </cfRule>
    <cfRule type="containsText" dxfId="841" priority="926" operator="containsText" text="Thu">
      <formula>NOT(ISERROR(SEARCH("Thu",D880)))</formula>
    </cfRule>
    <cfRule type="containsText" dxfId="840" priority="927" operator="containsText" text="Wed">
      <formula>NOT(ISERROR(SEARCH("Wed",D880)))</formula>
    </cfRule>
    <cfRule type="containsText" dxfId="839" priority="928" operator="containsText" text="Tue">
      <formula>NOT(ISERROR(SEARCH("Tue",D880)))</formula>
    </cfRule>
    <cfRule type="containsText" dxfId="838" priority="929" operator="containsText" text="Mon">
      <formula>NOT(ISERROR(SEARCH("Mon",D880)))</formula>
    </cfRule>
  </conditionalFormatting>
  <conditionalFormatting sqref="D884:D887">
    <cfRule type="containsText" dxfId="837" priority="920" operator="containsText" text="Fri">
      <formula>NOT(ISERROR(SEARCH("Fri",D884)))</formula>
    </cfRule>
    <cfRule type="containsText" dxfId="836" priority="921" operator="containsText" text="Thu">
      <formula>NOT(ISERROR(SEARCH("Thu",D884)))</formula>
    </cfRule>
    <cfRule type="containsText" dxfId="835" priority="922" operator="containsText" text="Wed">
      <formula>NOT(ISERROR(SEARCH("Wed",D884)))</formula>
    </cfRule>
    <cfRule type="containsText" dxfId="834" priority="923" operator="containsText" text="Tue">
      <formula>NOT(ISERROR(SEARCH("Tue",D884)))</formula>
    </cfRule>
    <cfRule type="containsText" dxfId="833" priority="924" operator="containsText" text="Mon">
      <formula>NOT(ISERROR(SEARCH("Mon",D884)))</formula>
    </cfRule>
  </conditionalFormatting>
  <conditionalFormatting sqref="E888:K916">
    <cfRule type="cellIs" dxfId="832" priority="919" operator="equal">
      <formula>0</formula>
    </cfRule>
  </conditionalFormatting>
  <conditionalFormatting sqref="A888:B916">
    <cfRule type="cellIs" dxfId="831" priority="918" operator="equal">
      <formula>0</formula>
    </cfRule>
  </conditionalFormatting>
  <conditionalFormatting sqref="D888:D916">
    <cfRule type="containsText" dxfId="830" priority="913" operator="containsText" text="Fri">
      <formula>NOT(ISERROR(SEARCH("Fri",D888)))</formula>
    </cfRule>
    <cfRule type="containsText" dxfId="829" priority="914" operator="containsText" text="Thu">
      <formula>NOT(ISERROR(SEARCH("Thu",D888)))</formula>
    </cfRule>
    <cfRule type="containsText" dxfId="828" priority="915" operator="containsText" text="Wed">
      <formula>NOT(ISERROR(SEARCH("Wed",D888)))</formula>
    </cfRule>
    <cfRule type="containsText" dxfId="827" priority="916" operator="containsText" text="Tue">
      <formula>NOT(ISERROR(SEARCH("Tue",D888)))</formula>
    </cfRule>
    <cfRule type="containsText" dxfId="826" priority="917" operator="containsText" text="Mon">
      <formula>NOT(ISERROR(SEARCH("Mon",D888)))</formula>
    </cfRule>
  </conditionalFormatting>
  <conditionalFormatting sqref="E917:K924">
    <cfRule type="cellIs" dxfId="825" priority="912" operator="equal">
      <formula>0</formula>
    </cfRule>
  </conditionalFormatting>
  <conditionalFormatting sqref="D917:D920">
    <cfRule type="containsText" dxfId="824" priority="907" operator="containsText" text="Fri">
      <formula>NOT(ISERROR(SEARCH("Fri",D917)))</formula>
    </cfRule>
    <cfRule type="containsText" dxfId="823" priority="908" operator="containsText" text="Thu">
      <formula>NOT(ISERROR(SEARCH("Thu",D917)))</formula>
    </cfRule>
    <cfRule type="containsText" dxfId="822" priority="909" operator="containsText" text="Wed">
      <formula>NOT(ISERROR(SEARCH("Wed",D917)))</formula>
    </cfRule>
    <cfRule type="containsText" dxfId="821" priority="910" operator="containsText" text="Tue">
      <formula>NOT(ISERROR(SEARCH("Tue",D917)))</formula>
    </cfRule>
    <cfRule type="containsText" dxfId="820" priority="911" operator="containsText" text="Mon">
      <formula>NOT(ISERROR(SEARCH("Mon",D917)))</formula>
    </cfRule>
  </conditionalFormatting>
  <conditionalFormatting sqref="A917:B920">
    <cfRule type="cellIs" dxfId="819" priority="906" operator="equal">
      <formula>0</formula>
    </cfRule>
  </conditionalFormatting>
  <conditionalFormatting sqref="D921:D924">
    <cfRule type="containsText" dxfId="818" priority="901" operator="containsText" text="Fri">
      <formula>NOT(ISERROR(SEARCH("Fri",D921)))</formula>
    </cfRule>
    <cfRule type="containsText" dxfId="817" priority="902" operator="containsText" text="Thu">
      <formula>NOT(ISERROR(SEARCH("Thu",D921)))</formula>
    </cfRule>
    <cfRule type="containsText" dxfId="816" priority="903" operator="containsText" text="Wed">
      <formula>NOT(ISERROR(SEARCH("Wed",D921)))</formula>
    </cfRule>
    <cfRule type="containsText" dxfId="815" priority="904" operator="containsText" text="Tue">
      <formula>NOT(ISERROR(SEARCH("Tue",D921)))</formula>
    </cfRule>
    <cfRule type="containsText" dxfId="814" priority="905" operator="containsText" text="Mon">
      <formula>NOT(ISERROR(SEARCH("Mon",D921)))</formula>
    </cfRule>
  </conditionalFormatting>
  <conditionalFormatting sqref="A921:B924">
    <cfRule type="cellIs" dxfId="813" priority="900" operator="equal">
      <formula>0</formula>
    </cfRule>
  </conditionalFormatting>
  <conditionalFormatting sqref="E925:K926">
    <cfRule type="cellIs" dxfId="812" priority="899" operator="equal">
      <formula>0</formula>
    </cfRule>
  </conditionalFormatting>
  <conditionalFormatting sqref="D925:D926">
    <cfRule type="containsText" dxfId="811" priority="894" operator="containsText" text="Fri">
      <formula>NOT(ISERROR(SEARCH("Fri",D925)))</formula>
    </cfRule>
    <cfRule type="containsText" dxfId="810" priority="895" operator="containsText" text="Thu">
      <formula>NOT(ISERROR(SEARCH("Thu",D925)))</formula>
    </cfRule>
    <cfRule type="containsText" dxfId="809" priority="896" operator="containsText" text="Wed">
      <formula>NOT(ISERROR(SEARCH("Wed",D925)))</formula>
    </cfRule>
    <cfRule type="containsText" dxfId="808" priority="897" operator="containsText" text="Tue">
      <formula>NOT(ISERROR(SEARCH("Tue",D925)))</formula>
    </cfRule>
    <cfRule type="containsText" dxfId="807" priority="898" operator="containsText" text="Mon">
      <formula>NOT(ISERROR(SEARCH("Mon",D925)))</formula>
    </cfRule>
  </conditionalFormatting>
  <conditionalFormatting sqref="A925:B926">
    <cfRule type="cellIs" dxfId="806" priority="893" operator="equal">
      <formula>0</formula>
    </cfRule>
  </conditionalFormatting>
  <conditionalFormatting sqref="E927:K929">
    <cfRule type="cellIs" dxfId="805" priority="892" operator="equal">
      <formula>0</formula>
    </cfRule>
  </conditionalFormatting>
  <conditionalFormatting sqref="D927:D929">
    <cfRule type="containsText" dxfId="804" priority="887" operator="containsText" text="Fri">
      <formula>NOT(ISERROR(SEARCH("Fri",D927)))</formula>
    </cfRule>
    <cfRule type="containsText" dxfId="803" priority="888" operator="containsText" text="Thu">
      <formula>NOT(ISERROR(SEARCH("Thu",D927)))</formula>
    </cfRule>
    <cfRule type="containsText" dxfId="802" priority="889" operator="containsText" text="Wed">
      <formula>NOT(ISERROR(SEARCH("Wed",D927)))</formula>
    </cfRule>
    <cfRule type="containsText" dxfId="801" priority="890" operator="containsText" text="Tue">
      <formula>NOT(ISERROR(SEARCH("Tue",D927)))</formula>
    </cfRule>
    <cfRule type="containsText" dxfId="800" priority="891" operator="containsText" text="Mon">
      <formula>NOT(ISERROR(SEARCH("Mon",D927)))</formula>
    </cfRule>
  </conditionalFormatting>
  <conditionalFormatting sqref="A927:B929">
    <cfRule type="cellIs" dxfId="799" priority="886" operator="equal">
      <formula>0</formula>
    </cfRule>
  </conditionalFormatting>
  <conditionalFormatting sqref="E930:K932">
    <cfRule type="cellIs" dxfId="798" priority="885" operator="equal">
      <formula>0</formula>
    </cfRule>
  </conditionalFormatting>
  <conditionalFormatting sqref="D930:D932">
    <cfRule type="containsText" dxfId="797" priority="880" operator="containsText" text="Fri">
      <formula>NOT(ISERROR(SEARCH("Fri",D930)))</formula>
    </cfRule>
    <cfRule type="containsText" dxfId="796" priority="881" operator="containsText" text="Thu">
      <formula>NOT(ISERROR(SEARCH("Thu",D930)))</formula>
    </cfRule>
    <cfRule type="containsText" dxfId="795" priority="882" operator="containsText" text="Wed">
      <formula>NOT(ISERROR(SEARCH("Wed",D930)))</formula>
    </cfRule>
    <cfRule type="containsText" dxfId="794" priority="883" operator="containsText" text="Tue">
      <formula>NOT(ISERROR(SEARCH("Tue",D930)))</formula>
    </cfRule>
    <cfRule type="containsText" dxfId="793" priority="884" operator="containsText" text="Mon">
      <formula>NOT(ISERROR(SEARCH("Mon",D930)))</formula>
    </cfRule>
  </conditionalFormatting>
  <conditionalFormatting sqref="A930:B932">
    <cfRule type="cellIs" dxfId="792" priority="879" operator="equal">
      <formula>0</formula>
    </cfRule>
  </conditionalFormatting>
  <conditionalFormatting sqref="E933:K951">
    <cfRule type="cellIs" dxfId="791" priority="878" operator="equal">
      <formula>0</formula>
    </cfRule>
  </conditionalFormatting>
  <conditionalFormatting sqref="D933:D951">
    <cfRule type="containsText" dxfId="790" priority="873" operator="containsText" text="Fri">
      <formula>NOT(ISERROR(SEARCH("Fri",D933)))</formula>
    </cfRule>
    <cfRule type="containsText" dxfId="789" priority="874" operator="containsText" text="Thu">
      <formula>NOT(ISERROR(SEARCH("Thu",D933)))</formula>
    </cfRule>
    <cfRule type="containsText" dxfId="788" priority="875" operator="containsText" text="Wed">
      <formula>NOT(ISERROR(SEARCH("Wed",D933)))</formula>
    </cfRule>
    <cfRule type="containsText" dxfId="787" priority="876" operator="containsText" text="Tue">
      <formula>NOT(ISERROR(SEARCH("Tue",D933)))</formula>
    </cfRule>
    <cfRule type="containsText" dxfId="786" priority="877" operator="containsText" text="Mon">
      <formula>NOT(ISERROR(SEARCH("Mon",D933)))</formula>
    </cfRule>
  </conditionalFormatting>
  <conditionalFormatting sqref="A933:B951">
    <cfRule type="cellIs" dxfId="785" priority="872" operator="equal">
      <formula>0</formula>
    </cfRule>
  </conditionalFormatting>
  <conditionalFormatting sqref="E952:K952">
    <cfRule type="cellIs" dxfId="784" priority="871" operator="equal">
      <formula>0</formula>
    </cfRule>
  </conditionalFormatting>
  <conditionalFormatting sqref="D952">
    <cfRule type="containsText" dxfId="783" priority="866" operator="containsText" text="Fri">
      <formula>NOT(ISERROR(SEARCH("Fri",D952)))</formula>
    </cfRule>
    <cfRule type="containsText" dxfId="782" priority="867" operator="containsText" text="Thu">
      <formula>NOT(ISERROR(SEARCH("Thu",D952)))</formula>
    </cfRule>
    <cfRule type="containsText" dxfId="781" priority="868" operator="containsText" text="Wed">
      <formula>NOT(ISERROR(SEARCH("Wed",D952)))</formula>
    </cfRule>
    <cfRule type="containsText" dxfId="780" priority="869" operator="containsText" text="Tue">
      <formula>NOT(ISERROR(SEARCH("Tue",D952)))</formula>
    </cfRule>
    <cfRule type="containsText" dxfId="779" priority="870" operator="containsText" text="Mon">
      <formula>NOT(ISERROR(SEARCH("Mon",D952)))</formula>
    </cfRule>
  </conditionalFormatting>
  <conditionalFormatting sqref="A952:B952">
    <cfRule type="cellIs" dxfId="778" priority="865" operator="equal">
      <formula>0</formula>
    </cfRule>
  </conditionalFormatting>
  <conditionalFormatting sqref="D953:D956">
    <cfRule type="containsText" dxfId="777" priority="860" operator="containsText" text="Fri">
      <formula>NOT(ISERROR(SEARCH("Fri",D953)))</formula>
    </cfRule>
    <cfRule type="containsText" dxfId="776" priority="861" operator="containsText" text="Thu">
      <formula>NOT(ISERROR(SEARCH("Thu",D953)))</formula>
    </cfRule>
    <cfRule type="containsText" dxfId="775" priority="862" operator="containsText" text="Wed">
      <formula>NOT(ISERROR(SEARCH("Wed",D953)))</formula>
    </cfRule>
    <cfRule type="containsText" dxfId="774" priority="863" operator="containsText" text="Tue">
      <formula>NOT(ISERROR(SEARCH("Tue",D953)))</formula>
    </cfRule>
    <cfRule type="containsText" dxfId="773" priority="864" operator="containsText" text="Mon">
      <formula>NOT(ISERROR(SEARCH("Mon",D953)))</formula>
    </cfRule>
  </conditionalFormatting>
  <conditionalFormatting sqref="J1002:J1020 E1002:E1020 E953:K1001">
    <cfRule type="cellIs" dxfId="772" priority="859" operator="equal">
      <formula>0</formula>
    </cfRule>
  </conditionalFormatting>
  <conditionalFormatting sqref="A953:B956">
    <cfRule type="cellIs" dxfId="771" priority="858" operator="equal">
      <formula>0</formula>
    </cfRule>
  </conditionalFormatting>
  <conditionalFormatting sqref="D957">
    <cfRule type="containsText" dxfId="770" priority="853" operator="containsText" text="Fri">
      <formula>NOT(ISERROR(SEARCH("Fri",D957)))</formula>
    </cfRule>
    <cfRule type="containsText" dxfId="769" priority="854" operator="containsText" text="Thu">
      <formula>NOT(ISERROR(SEARCH("Thu",D957)))</formula>
    </cfRule>
    <cfRule type="containsText" dxfId="768" priority="855" operator="containsText" text="Wed">
      <formula>NOT(ISERROR(SEARCH("Wed",D957)))</formula>
    </cfRule>
    <cfRule type="containsText" dxfId="767" priority="856" operator="containsText" text="Tue">
      <formula>NOT(ISERROR(SEARCH("Tue",D957)))</formula>
    </cfRule>
    <cfRule type="containsText" dxfId="766" priority="857" operator="containsText" text="Mon">
      <formula>NOT(ISERROR(SEARCH("Mon",D957)))</formula>
    </cfRule>
  </conditionalFormatting>
  <conditionalFormatting sqref="A957:B957">
    <cfRule type="cellIs" dxfId="765" priority="852" operator="equal">
      <formula>0</formula>
    </cfRule>
  </conditionalFormatting>
  <conditionalFormatting sqref="D958">
    <cfRule type="containsText" dxfId="764" priority="847" operator="containsText" text="Fri">
      <formula>NOT(ISERROR(SEARCH("Fri",D958)))</formula>
    </cfRule>
    <cfRule type="containsText" dxfId="763" priority="848" operator="containsText" text="Thu">
      <formula>NOT(ISERROR(SEARCH("Thu",D958)))</formula>
    </cfRule>
    <cfRule type="containsText" dxfId="762" priority="849" operator="containsText" text="Wed">
      <formula>NOT(ISERROR(SEARCH("Wed",D958)))</formula>
    </cfRule>
    <cfRule type="containsText" dxfId="761" priority="850" operator="containsText" text="Tue">
      <formula>NOT(ISERROR(SEARCH("Tue",D958)))</formula>
    </cfRule>
    <cfRule type="containsText" dxfId="760" priority="851" operator="containsText" text="Mon">
      <formula>NOT(ISERROR(SEARCH("Mon",D958)))</formula>
    </cfRule>
  </conditionalFormatting>
  <conditionalFormatting sqref="A958:B958">
    <cfRule type="cellIs" dxfId="759" priority="846" operator="equal">
      <formula>0</formula>
    </cfRule>
  </conditionalFormatting>
  <conditionalFormatting sqref="D959:D962">
    <cfRule type="containsText" dxfId="758" priority="841" operator="containsText" text="Fri">
      <formula>NOT(ISERROR(SEARCH("Fri",D959)))</formula>
    </cfRule>
    <cfRule type="containsText" dxfId="757" priority="842" operator="containsText" text="Thu">
      <formula>NOT(ISERROR(SEARCH("Thu",D959)))</formula>
    </cfRule>
    <cfRule type="containsText" dxfId="756" priority="843" operator="containsText" text="Wed">
      <formula>NOT(ISERROR(SEARCH("Wed",D959)))</formula>
    </cfRule>
    <cfRule type="containsText" dxfId="755" priority="844" operator="containsText" text="Tue">
      <formula>NOT(ISERROR(SEARCH("Tue",D959)))</formula>
    </cfRule>
    <cfRule type="containsText" dxfId="754" priority="845" operator="containsText" text="Mon">
      <formula>NOT(ISERROR(SEARCH("Mon",D959)))</formula>
    </cfRule>
  </conditionalFormatting>
  <conditionalFormatting sqref="A959:B962">
    <cfRule type="cellIs" dxfId="753" priority="840" operator="equal">
      <formula>0</formula>
    </cfRule>
  </conditionalFormatting>
  <conditionalFormatting sqref="D963">
    <cfRule type="containsText" dxfId="752" priority="835" operator="containsText" text="Fri">
      <formula>NOT(ISERROR(SEARCH("Fri",D963)))</formula>
    </cfRule>
    <cfRule type="containsText" dxfId="751" priority="836" operator="containsText" text="Thu">
      <formula>NOT(ISERROR(SEARCH("Thu",D963)))</formula>
    </cfRule>
    <cfRule type="containsText" dxfId="750" priority="837" operator="containsText" text="Wed">
      <formula>NOT(ISERROR(SEARCH("Wed",D963)))</formula>
    </cfRule>
    <cfRule type="containsText" dxfId="749" priority="838" operator="containsText" text="Tue">
      <formula>NOT(ISERROR(SEARCH("Tue",D963)))</formula>
    </cfRule>
    <cfRule type="containsText" dxfId="748" priority="839" operator="containsText" text="Mon">
      <formula>NOT(ISERROR(SEARCH("Mon",D963)))</formula>
    </cfRule>
  </conditionalFormatting>
  <conditionalFormatting sqref="A963:B963">
    <cfRule type="cellIs" dxfId="747" priority="834" operator="equal">
      <formula>0</formula>
    </cfRule>
  </conditionalFormatting>
  <conditionalFormatting sqref="D964:D967">
    <cfRule type="containsText" dxfId="746" priority="829" operator="containsText" text="Fri">
      <formula>NOT(ISERROR(SEARCH("Fri",D964)))</formula>
    </cfRule>
    <cfRule type="containsText" dxfId="745" priority="830" operator="containsText" text="Thu">
      <formula>NOT(ISERROR(SEARCH("Thu",D964)))</formula>
    </cfRule>
    <cfRule type="containsText" dxfId="744" priority="831" operator="containsText" text="Wed">
      <formula>NOT(ISERROR(SEARCH("Wed",D964)))</formula>
    </cfRule>
    <cfRule type="containsText" dxfId="743" priority="832" operator="containsText" text="Tue">
      <formula>NOT(ISERROR(SEARCH("Tue",D964)))</formula>
    </cfRule>
    <cfRule type="containsText" dxfId="742" priority="833" operator="containsText" text="Mon">
      <formula>NOT(ISERROR(SEARCH("Mon",D964)))</formula>
    </cfRule>
  </conditionalFormatting>
  <conditionalFormatting sqref="A964:B967">
    <cfRule type="cellIs" dxfId="741" priority="828" operator="equal">
      <formula>0</formula>
    </cfRule>
  </conditionalFormatting>
  <conditionalFormatting sqref="D968:D972">
    <cfRule type="containsText" dxfId="740" priority="823" operator="containsText" text="Fri">
      <formula>NOT(ISERROR(SEARCH("Fri",D968)))</formula>
    </cfRule>
    <cfRule type="containsText" dxfId="739" priority="824" operator="containsText" text="Thu">
      <formula>NOT(ISERROR(SEARCH("Thu",D968)))</formula>
    </cfRule>
    <cfRule type="containsText" dxfId="738" priority="825" operator="containsText" text="Wed">
      <formula>NOT(ISERROR(SEARCH("Wed",D968)))</formula>
    </cfRule>
    <cfRule type="containsText" dxfId="737" priority="826" operator="containsText" text="Tue">
      <formula>NOT(ISERROR(SEARCH("Tue",D968)))</formula>
    </cfRule>
    <cfRule type="containsText" dxfId="736" priority="827" operator="containsText" text="Mon">
      <formula>NOT(ISERROR(SEARCH("Mon",D968)))</formula>
    </cfRule>
  </conditionalFormatting>
  <conditionalFormatting sqref="A968:B972">
    <cfRule type="cellIs" dxfId="735" priority="822" operator="equal">
      <formula>0</formula>
    </cfRule>
  </conditionalFormatting>
  <conditionalFormatting sqref="D973:D977">
    <cfRule type="containsText" dxfId="734" priority="817" operator="containsText" text="Fri">
      <formula>NOT(ISERROR(SEARCH("Fri",D973)))</formula>
    </cfRule>
    <cfRule type="containsText" dxfId="733" priority="818" operator="containsText" text="Thu">
      <formula>NOT(ISERROR(SEARCH("Thu",D973)))</formula>
    </cfRule>
    <cfRule type="containsText" dxfId="732" priority="819" operator="containsText" text="Wed">
      <formula>NOT(ISERROR(SEARCH("Wed",D973)))</formula>
    </cfRule>
    <cfRule type="containsText" dxfId="731" priority="820" operator="containsText" text="Tue">
      <formula>NOT(ISERROR(SEARCH("Tue",D973)))</formula>
    </cfRule>
    <cfRule type="containsText" dxfId="730" priority="821" operator="containsText" text="Mon">
      <formula>NOT(ISERROR(SEARCH("Mon",D973)))</formula>
    </cfRule>
  </conditionalFormatting>
  <conditionalFormatting sqref="A973:B977">
    <cfRule type="cellIs" dxfId="729" priority="816" operator="equal">
      <formula>0</formula>
    </cfRule>
  </conditionalFormatting>
  <conditionalFormatting sqref="D978:D981">
    <cfRule type="containsText" dxfId="728" priority="811" operator="containsText" text="Fri">
      <formula>NOT(ISERROR(SEARCH("Fri",D978)))</formula>
    </cfRule>
    <cfRule type="containsText" dxfId="727" priority="812" operator="containsText" text="Thu">
      <formula>NOT(ISERROR(SEARCH("Thu",D978)))</formula>
    </cfRule>
    <cfRule type="containsText" dxfId="726" priority="813" operator="containsText" text="Wed">
      <formula>NOT(ISERROR(SEARCH("Wed",D978)))</formula>
    </cfRule>
    <cfRule type="containsText" dxfId="725" priority="814" operator="containsText" text="Tue">
      <formula>NOT(ISERROR(SEARCH("Tue",D978)))</formula>
    </cfRule>
    <cfRule type="containsText" dxfId="724" priority="815" operator="containsText" text="Mon">
      <formula>NOT(ISERROR(SEARCH("Mon",D978)))</formula>
    </cfRule>
  </conditionalFormatting>
  <conditionalFormatting sqref="A978:B981">
    <cfRule type="cellIs" dxfId="723" priority="810" operator="equal">
      <formula>0</formula>
    </cfRule>
  </conditionalFormatting>
  <conditionalFormatting sqref="D982:D985">
    <cfRule type="containsText" dxfId="722" priority="805" operator="containsText" text="Fri">
      <formula>NOT(ISERROR(SEARCH("Fri",D982)))</formula>
    </cfRule>
    <cfRule type="containsText" dxfId="721" priority="806" operator="containsText" text="Thu">
      <formula>NOT(ISERROR(SEARCH("Thu",D982)))</formula>
    </cfRule>
    <cfRule type="containsText" dxfId="720" priority="807" operator="containsText" text="Wed">
      <formula>NOT(ISERROR(SEARCH("Wed",D982)))</formula>
    </cfRule>
    <cfRule type="containsText" dxfId="719" priority="808" operator="containsText" text="Tue">
      <formula>NOT(ISERROR(SEARCH("Tue",D982)))</formula>
    </cfRule>
    <cfRule type="containsText" dxfId="718" priority="809" operator="containsText" text="Mon">
      <formula>NOT(ISERROR(SEARCH("Mon",D982)))</formula>
    </cfRule>
  </conditionalFormatting>
  <conditionalFormatting sqref="A982:B985">
    <cfRule type="cellIs" dxfId="717" priority="804" operator="equal">
      <formula>0</formula>
    </cfRule>
  </conditionalFormatting>
  <conditionalFormatting sqref="D986:D989">
    <cfRule type="containsText" dxfId="716" priority="799" operator="containsText" text="Fri">
      <formula>NOT(ISERROR(SEARCH("Fri",D986)))</formula>
    </cfRule>
    <cfRule type="containsText" dxfId="715" priority="800" operator="containsText" text="Thu">
      <formula>NOT(ISERROR(SEARCH("Thu",D986)))</formula>
    </cfRule>
    <cfRule type="containsText" dxfId="714" priority="801" operator="containsText" text="Wed">
      <formula>NOT(ISERROR(SEARCH("Wed",D986)))</formula>
    </cfRule>
    <cfRule type="containsText" dxfId="713" priority="802" operator="containsText" text="Tue">
      <formula>NOT(ISERROR(SEARCH("Tue",D986)))</formula>
    </cfRule>
    <cfRule type="containsText" dxfId="712" priority="803" operator="containsText" text="Mon">
      <formula>NOT(ISERROR(SEARCH("Mon",D986)))</formula>
    </cfRule>
  </conditionalFormatting>
  <conditionalFormatting sqref="A986:B989">
    <cfRule type="cellIs" dxfId="711" priority="798" operator="equal">
      <formula>0</formula>
    </cfRule>
  </conditionalFormatting>
  <conditionalFormatting sqref="D990:D993">
    <cfRule type="containsText" dxfId="710" priority="793" operator="containsText" text="Fri">
      <formula>NOT(ISERROR(SEARCH("Fri",D990)))</formula>
    </cfRule>
    <cfRule type="containsText" dxfId="709" priority="794" operator="containsText" text="Thu">
      <formula>NOT(ISERROR(SEARCH("Thu",D990)))</formula>
    </cfRule>
    <cfRule type="containsText" dxfId="708" priority="795" operator="containsText" text="Wed">
      <formula>NOT(ISERROR(SEARCH("Wed",D990)))</formula>
    </cfRule>
    <cfRule type="containsText" dxfId="707" priority="796" operator="containsText" text="Tue">
      <formula>NOT(ISERROR(SEARCH("Tue",D990)))</formula>
    </cfRule>
    <cfRule type="containsText" dxfId="706" priority="797" operator="containsText" text="Mon">
      <formula>NOT(ISERROR(SEARCH("Mon",D990)))</formula>
    </cfRule>
  </conditionalFormatting>
  <conditionalFormatting sqref="A990:B993">
    <cfRule type="cellIs" dxfId="705" priority="792" operator="equal">
      <formula>0</formula>
    </cfRule>
  </conditionalFormatting>
  <conditionalFormatting sqref="D994:D998">
    <cfRule type="containsText" dxfId="704" priority="787" operator="containsText" text="Fri">
      <formula>NOT(ISERROR(SEARCH("Fri",D994)))</formula>
    </cfRule>
    <cfRule type="containsText" dxfId="703" priority="788" operator="containsText" text="Thu">
      <formula>NOT(ISERROR(SEARCH("Thu",D994)))</formula>
    </cfRule>
    <cfRule type="containsText" dxfId="702" priority="789" operator="containsText" text="Wed">
      <formula>NOT(ISERROR(SEARCH("Wed",D994)))</formula>
    </cfRule>
    <cfRule type="containsText" dxfId="701" priority="790" operator="containsText" text="Tue">
      <formula>NOT(ISERROR(SEARCH("Tue",D994)))</formula>
    </cfRule>
    <cfRule type="containsText" dxfId="700" priority="791" operator="containsText" text="Mon">
      <formula>NOT(ISERROR(SEARCH("Mon",D994)))</formula>
    </cfRule>
  </conditionalFormatting>
  <conditionalFormatting sqref="A994:B998">
    <cfRule type="cellIs" dxfId="699" priority="786" operator="equal">
      <formula>0</formula>
    </cfRule>
  </conditionalFormatting>
  <conditionalFormatting sqref="D999:D1001">
    <cfRule type="containsText" dxfId="698" priority="781" operator="containsText" text="Fri">
      <formula>NOT(ISERROR(SEARCH("Fri",D999)))</formula>
    </cfRule>
    <cfRule type="containsText" dxfId="697" priority="782" operator="containsText" text="Thu">
      <formula>NOT(ISERROR(SEARCH("Thu",D999)))</formula>
    </cfRule>
    <cfRule type="containsText" dxfId="696" priority="783" operator="containsText" text="Wed">
      <formula>NOT(ISERROR(SEARCH("Wed",D999)))</formula>
    </cfRule>
    <cfRule type="containsText" dxfId="695" priority="784" operator="containsText" text="Tue">
      <formula>NOT(ISERROR(SEARCH("Tue",D999)))</formula>
    </cfRule>
    <cfRule type="containsText" dxfId="694" priority="785" operator="containsText" text="Mon">
      <formula>NOT(ISERROR(SEARCH("Mon",D999)))</formula>
    </cfRule>
  </conditionalFormatting>
  <conditionalFormatting sqref="A999:B1001">
    <cfRule type="cellIs" dxfId="693" priority="780" operator="equal">
      <formula>0</formula>
    </cfRule>
  </conditionalFormatting>
  <conditionalFormatting sqref="K1002:K1006 F1002:I1006">
    <cfRule type="cellIs" dxfId="692" priority="779" operator="equal">
      <formula>0</formula>
    </cfRule>
  </conditionalFormatting>
  <conditionalFormatting sqref="D1002:D1006">
    <cfRule type="containsText" dxfId="691" priority="774" operator="containsText" text="Fri">
      <formula>NOT(ISERROR(SEARCH("Fri",D1002)))</formula>
    </cfRule>
    <cfRule type="containsText" dxfId="690" priority="775" operator="containsText" text="Thu">
      <formula>NOT(ISERROR(SEARCH("Thu",D1002)))</formula>
    </cfRule>
    <cfRule type="containsText" dxfId="689" priority="776" operator="containsText" text="Wed">
      <formula>NOT(ISERROR(SEARCH("Wed",D1002)))</formula>
    </cfRule>
    <cfRule type="containsText" dxfId="688" priority="777" operator="containsText" text="Tue">
      <formula>NOT(ISERROR(SEARCH("Tue",D1002)))</formula>
    </cfRule>
    <cfRule type="containsText" dxfId="687" priority="778" operator="containsText" text="Mon">
      <formula>NOT(ISERROR(SEARCH("Mon",D1002)))</formula>
    </cfRule>
  </conditionalFormatting>
  <conditionalFormatting sqref="A1002:B1006">
    <cfRule type="cellIs" dxfId="686" priority="773" operator="equal">
      <formula>0</formula>
    </cfRule>
  </conditionalFormatting>
  <conditionalFormatting sqref="K1007:K1011 F1007:I1011">
    <cfRule type="cellIs" dxfId="685" priority="772" operator="equal">
      <formula>0</formula>
    </cfRule>
  </conditionalFormatting>
  <conditionalFormatting sqref="D1007:D1011">
    <cfRule type="containsText" dxfId="684" priority="767" operator="containsText" text="Fri">
      <formula>NOT(ISERROR(SEARCH("Fri",D1007)))</formula>
    </cfRule>
    <cfRule type="containsText" dxfId="683" priority="768" operator="containsText" text="Thu">
      <formula>NOT(ISERROR(SEARCH("Thu",D1007)))</formula>
    </cfRule>
    <cfRule type="containsText" dxfId="682" priority="769" operator="containsText" text="Wed">
      <formula>NOT(ISERROR(SEARCH("Wed",D1007)))</formula>
    </cfRule>
    <cfRule type="containsText" dxfId="681" priority="770" operator="containsText" text="Tue">
      <formula>NOT(ISERROR(SEARCH("Tue",D1007)))</formula>
    </cfRule>
    <cfRule type="containsText" dxfId="680" priority="771" operator="containsText" text="Mon">
      <formula>NOT(ISERROR(SEARCH("Mon",D1007)))</formula>
    </cfRule>
  </conditionalFormatting>
  <conditionalFormatting sqref="A1007:B1011">
    <cfRule type="cellIs" dxfId="679" priority="766" operator="equal">
      <formula>0</formula>
    </cfRule>
  </conditionalFormatting>
  <conditionalFormatting sqref="K1012:K1016 F1012:I1016">
    <cfRule type="cellIs" dxfId="678" priority="765" operator="equal">
      <formula>0</formula>
    </cfRule>
  </conditionalFormatting>
  <conditionalFormatting sqref="D1012:D1016">
    <cfRule type="containsText" dxfId="677" priority="760" operator="containsText" text="Fri">
      <formula>NOT(ISERROR(SEARCH("Fri",D1012)))</formula>
    </cfRule>
    <cfRule type="containsText" dxfId="676" priority="761" operator="containsText" text="Thu">
      <formula>NOT(ISERROR(SEARCH("Thu",D1012)))</formula>
    </cfRule>
    <cfRule type="containsText" dxfId="675" priority="762" operator="containsText" text="Wed">
      <formula>NOT(ISERROR(SEARCH("Wed",D1012)))</formula>
    </cfRule>
    <cfRule type="containsText" dxfId="674" priority="763" operator="containsText" text="Tue">
      <formula>NOT(ISERROR(SEARCH("Tue",D1012)))</formula>
    </cfRule>
    <cfRule type="containsText" dxfId="673" priority="764" operator="containsText" text="Mon">
      <formula>NOT(ISERROR(SEARCH("Mon",D1012)))</formula>
    </cfRule>
  </conditionalFormatting>
  <conditionalFormatting sqref="A1012:B1016">
    <cfRule type="cellIs" dxfId="672" priority="759" operator="equal">
      <formula>0</formula>
    </cfRule>
  </conditionalFormatting>
  <conditionalFormatting sqref="K1017:K1020 F1017:I1020">
    <cfRule type="cellIs" dxfId="671" priority="758" operator="equal">
      <formula>0</formula>
    </cfRule>
  </conditionalFormatting>
  <conditionalFormatting sqref="D1017:D1020">
    <cfRule type="containsText" dxfId="670" priority="753" operator="containsText" text="Fri">
      <formula>NOT(ISERROR(SEARCH("Fri",D1017)))</formula>
    </cfRule>
    <cfRule type="containsText" dxfId="669" priority="754" operator="containsText" text="Thu">
      <formula>NOT(ISERROR(SEARCH("Thu",D1017)))</formula>
    </cfRule>
    <cfRule type="containsText" dxfId="668" priority="755" operator="containsText" text="Wed">
      <formula>NOT(ISERROR(SEARCH("Wed",D1017)))</formula>
    </cfRule>
    <cfRule type="containsText" dxfId="667" priority="756" operator="containsText" text="Tue">
      <formula>NOT(ISERROR(SEARCH("Tue",D1017)))</formula>
    </cfRule>
    <cfRule type="containsText" dxfId="666" priority="757" operator="containsText" text="Mon">
      <formula>NOT(ISERROR(SEARCH("Mon",D1017)))</formula>
    </cfRule>
  </conditionalFormatting>
  <conditionalFormatting sqref="A1017:B1020">
    <cfRule type="cellIs" dxfId="665" priority="752" operator="equal">
      <formula>0</formula>
    </cfRule>
  </conditionalFormatting>
  <conditionalFormatting sqref="D1021:D1025">
    <cfRule type="containsText" dxfId="664" priority="747" operator="containsText" text="Fri">
      <formula>NOT(ISERROR(SEARCH("Fri",D1021)))</formula>
    </cfRule>
    <cfRule type="containsText" dxfId="663" priority="748" operator="containsText" text="Thu">
      <formula>NOT(ISERROR(SEARCH("Thu",D1021)))</formula>
    </cfRule>
    <cfRule type="containsText" dxfId="662" priority="749" operator="containsText" text="Wed">
      <formula>NOT(ISERROR(SEARCH("Wed",D1021)))</formula>
    </cfRule>
    <cfRule type="containsText" dxfId="661" priority="750" operator="containsText" text="Tue">
      <formula>NOT(ISERROR(SEARCH("Tue",D1021)))</formula>
    </cfRule>
    <cfRule type="containsText" dxfId="660" priority="751" operator="containsText" text="Mon">
      <formula>NOT(ISERROR(SEARCH("Mon",D1021)))</formula>
    </cfRule>
  </conditionalFormatting>
  <conditionalFormatting sqref="E1021:K1055">
    <cfRule type="cellIs" dxfId="659" priority="746" operator="equal">
      <formula>0</formula>
    </cfRule>
  </conditionalFormatting>
  <conditionalFormatting sqref="A1021:B1025">
    <cfRule type="cellIs" dxfId="658" priority="745" operator="equal">
      <formula>0</formula>
    </cfRule>
  </conditionalFormatting>
  <conditionalFormatting sqref="D1026:D1029">
    <cfRule type="containsText" dxfId="657" priority="740" operator="containsText" text="Fri">
      <formula>NOT(ISERROR(SEARCH("Fri",D1026)))</formula>
    </cfRule>
    <cfRule type="containsText" dxfId="656" priority="741" operator="containsText" text="Thu">
      <formula>NOT(ISERROR(SEARCH("Thu",D1026)))</formula>
    </cfRule>
    <cfRule type="containsText" dxfId="655" priority="742" operator="containsText" text="Wed">
      <formula>NOT(ISERROR(SEARCH("Wed",D1026)))</formula>
    </cfRule>
    <cfRule type="containsText" dxfId="654" priority="743" operator="containsText" text="Tue">
      <formula>NOT(ISERROR(SEARCH("Tue",D1026)))</formula>
    </cfRule>
    <cfRule type="containsText" dxfId="653" priority="744" operator="containsText" text="Mon">
      <formula>NOT(ISERROR(SEARCH("Mon",D1026)))</formula>
    </cfRule>
  </conditionalFormatting>
  <conditionalFormatting sqref="A1026:B1029">
    <cfRule type="cellIs" dxfId="652" priority="739" operator="equal">
      <formula>0</formula>
    </cfRule>
  </conditionalFormatting>
  <conditionalFormatting sqref="D1030:D1033">
    <cfRule type="containsText" dxfId="651" priority="734" operator="containsText" text="Fri">
      <formula>NOT(ISERROR(SEARCH("Fri",D1030)))</formula>
    </cfRule>
    <cfRule type="containsText" dxfId="650" priority="735" operator="containsText" text="Thu">
      <formula>NOT(ISERROR(SEARCH("Thu",D1030)))</formula>
    </cfRule>
    <cfRule type="containsText" dxfId="649" priority="736" operator="containsText" text="Wed">
      <formula>NOT(ISERROR(SEARCH("Wed",D1030)))</formula>
    </cfRule>
    <cfRule type="containsText" dxfId="648" priority="737" operator="containsText" text="Tue">
      <formula>NOT(ISERROR(SEARCH("Tue",D1030)))</formula>
    </cfRule>
    <cfRule type="containsText" dxfId="647" priority="738" operator="containsText" text="Mon">
      <formula>NOT(ISERROR(SEARCH("Mon",D1030)))</formula>
    </cfRule>
  </conditionalFormatting>
  <conditionalFormatting sqref="A1030:B1033">
    <cfRule type="cellIs" dxfId="646" priority="733" operator="equal">
      <formula>0</formula>
    </cfRule>
  </conditionalFormatting>
  <conditionalFormatting sqref="D1034:D1036">
    <cfRule type="containsText" dxfId="645" priority="728" operator="containsText" text="Fri">
      <formula>NOT(ISERROR(SEARCH("Fri",D1034)))</formula>
    </cfRule>
    <cfRule type="containsText" dxfId="644" priority="729" operator="containsText" text="Thu">
      <formula>NOT(ISERROR(SEARCH("Thu",D1034)))</formula>
    </cfRule>
    <cfRule type="containsText" dxfId="643" priority="730" operator="containsText" text="Wed">
      <formula>NOT(ISERROR(SEARCH("Wed",D1034)))</formula>
    </cfRule>
    <cfRule type="containsText" dxfId="642" priority="731" operator="containsText" text="Tue">
      <formula>NOT(ISERROR(SEARCH("Tue",D1034)))</formula>
    </cfRule>
    <cfRule type="containsText" dxfId="641" priority="732" operator="containsText" text="Mon">
      <formula>NOT(ISERROR(SEARCH("Mon",D1034)))</formula>
    </cfRule>
  </conditionalFormatting>
  <conditionalFormatting sqref="A1034:B1036">
    <cfRule type="cellIs" dxfId="640" priority="727" operator="equal">
      <formula>0</formula>
    </cfRule>
  </conditionalFormatting>
  <conditionalFormatting sqref="D1037:D1041">
    <cfRule type="containsText" dxfId="639" priority="722" operator="containsText" text="Fri">
      <formula>NOT(ISERROR(SEARCH("Fri",D1037)))</formula>
    </cfRule>
    <cfRule type="containsText" dxfId="638" priority="723" operator="containsText" text="Thu">
      <formula>NOT(ISERROR(SEARCH("Thu",D1037)))</formula>
    </cfRule>
    <cfRule type="containsText" dxfId="637" priority="724" operator="containsText" text="Wed">
      <formula>NOT(ISERROR(SEARCH("Wed",D1037)))</formula>
    </cfRule>
    <cfRule type="containsText" dxfId="636" priority="725" operator="containsText" text="Tue">
      <formula>NOT(ISERROR(SEARCH("Tue",D1037)))</formula>
    </cfRule>
    <cfRule type="containsText" dxfId="635" priority="726" operator="containsText" text="Mon">
      <formula>NOT(ISERROR(SEARCH("Mon",D1037)))</formula>
    </cfRule>
  </conditionalFormatting>
  <conditionalFormatting sqref="A1037:B1041">
    <cfRule type="cellIs" dxfId="634" priority="721" operator="equal">
      <formula>0</formula>
    </cfRule>
  </conditionalFormatting>
  <conditionalFormatting sqref="D1042:D1045">
    <cfRule type="containsText" dxfId="633" priority="716" operator="containsText" text="Fri">
      <formula>NOT(ISERROR(SEARCH("Fri",D1042)))</formula>
    </cfRule>
    <cfRule type="containsText" dxfId="632" priority="717" operator="containsText" text="Thu">
      <formula>NOT(ISERROR(SEARCH("Thu",D1042)))</formula>
    </cfRule>
    <cfRule type="containsText" dxfId="631" priority="718" operator="containsText" text="Wed">
      <formula>NOT(ISERROR(SEARCH("Wed",D1042)))</formula>
    </cfRule>
    <cfRule type="containsText" dxfId="630" priority="719" operator="containsText" text="Tue">
      <formula>NOT(ISERROR(SEARCH("Tue",D1042)))</formula>
    </cfRule>
    <cfRule type="containsText" dxfId="629" priority="720" operator="containsText" text="Mon">
      <formula>NOT(ISERROR(SEARCH("Mon",D1042)))</formula>
    </cfRule>
  </conditionalFormatting>
  <conditionalFormatting sqref="A1042:B1045">
    <cfRule type="cellIs" dxfId="628" priority="715" operator="equal">
      <formula>0</formula>
    </cfRule>
  </conditionalFormatting>
  <conditionalFormatting sqref="D1046:D1048">
    <cfRule type="containsText" dxfId="627" priority="710" operator="containsText" text="Fri">
      <formula>NOT(ISERROR(SEARCH("Fri",D1046)))</formula>
    </cfRule>
    <cfRule type="containsText" dxfId="626" priority="711" operator="containsText" text="Thu">
      <formula>NOT(ISERROR(SEARCH("Thu",D1046)))</formula>
    </cfRule>
    <cfRule type="containsText" dxfId="625" priority="712" operator="containsText" text="Wed">
      <formula>NOT(ISERROR(SEARCH("Wed",D1046)))</formula>
    </cfRule>
    <cfRule type="containsText" dxfId="624" priority="713" operator="containsText" text="Tue">
      <formula>NOT(ISERROR(SEARCH("Tue",D1046)))</formula>
    </cfRule>
    <cfRule type="containsText" dxfId="623" priority="714" operator="containsText" text="Mon">
      <formula>NOT(ISERROR(SEARCH("Mon",D1046)))</formula>
    </cfRule>
  </conditionalFormatting>
  <conditionalFormatting sqref="A1046:B1048">
    <cfRule type="cellIs" dxfId="622" priority="709" operator="equal">
      <formula>0</formula>
    </cfRule>
  </conditionalFormatting>
  <conditionalFormatting sqref="D1049">
    <cfRule type="containsText" dxfId="621" priority="704" operator="containsText" text="Fri">
      <formula>NOT(ISERROR(SEARCH("Fri",D1049)))</formula>
    </cfRule>
    <cfRule type="containsText" dxfId="620" priority="705" operator="containsText" text="Thu">
      <formula>NOT(ISERROR(SEARCH("Thu",D1049)))</formula>
    </cfRule>
    <cfRule type="containsText" dxfId="619" priority="706" operator="containsText" text="Wed">
      <formula>NOT(ISERROR(SEARCH("Wed",D1049)))</formula>
    </cfRule>
    <cfRule type="containsText" dxfId="618" priority="707" operator="containsText" text="Tue">
      <formula>NOT(ISERROR(SEARCH("Tue",D1049)))</formula>
    </cfRule>
    <cfRule type="containsText" dxfId="617" priority="708" operator="containsText" text="Mon">
      <formula>NOT(ISERROR(SEARCH("Mon",D1049)))</formula>
    </cfRule>
  </conditionalFormatting>
  <conditionalFormatting sqref="A1049:B1049">
    <cfRule type="cellIs" dxfId="616" priority="703" operator="equal">
      <formula>0</formula>
    </cfRule>
  </conditionalFormatting>
  <conditionalFormatting sqref="D1050:D1052">
    <cfRule type="containsText" dxfId="615" priority="698" operator="containsText" text="Fri">
      <formula>NOT(ISERROR(SEARCH("Fri",D1050)))</formula>
    </cfRule>
    <cfRule type="containsText" dxfId="614" priority="699" operator="containsText" text="Thu">
      <formula>NOT(ISERROR(SEARCH("Thu",D1050)))</formula>
    </cfRule>
    <cfRule type="containsText" dxfId="613" priority="700" operator="containsText" text="Wed">
      <formula>NOT(ISERROR(SEARCH("Wed",D1050)))</formula>
    </cfRule>
    <cfRule type="containsText" dxfId="612" priority="701" operator="containsText" text="Tue">
      <formula>NOT(ISERROR(SEARCH("Tue",D1050)))</formula>
    </cfRule>
    <cfRule type="containsText" dxfId="611" priority="702" operator="containsText" text="Mon">
      <formula>NOT(ISERROR(SEARCH("Mon",D1050)))</formula>
    </cfRule>
  </conditionalFormatting>
  <conditionalFormatting sqref="A1050:B1052">
    <cfRule type="cellIs" dxfId="610" priority="697" operator="equal">
      <formula>0</formula>
    </cfRule>
  </conditionalFormatting>
  <conditionalFormatting sqref="D1053:D1055">
    <cfRule type="containsText" dxfId="609" priority="692" operator="containsText" text="Fri">
      <formula>NOT(ISERROR(SEARCH("Fri",D1053)))</formula>
    </cfRule>
    <cfRule type="containsText" dxfId="608" priority="693" operator="containsText" text="Thu">
      <formula>NOT(ISERROR(SEARCH("Thu",D1053)))</formula>
    </cfRule>
    <cfRule type="containsText" dxfId="607" priority="694" operator="containsText" text="Wed">
      <formula>NOT(ISERROR(SEARCH("Wed",D1053)))</formula>
    </cfRule>
    <cfRule type="containsText" dxfId="606" priority="695" operator="containsText" text="Tue">
      <formula>NOT(ISERROR(SEARCH("Tue",D1053)))</formula>
    </cfRule>
    <cfRule type="containsText" dxfId="605" priority="696" operator="containsText" text="Mon">
      <formula>NOT(ISERROR(SEARCH("Mon",D1053)))</formula>
    </cfRule>
  </conditionalFormatting>
  <conditionalFormatting sqref="A1053:B1055">
    <cfRule type="cellIs" dxfId="604" priority="691" operator="equal">
      <formula>0</formula>
    </cfRule>
  </conditionalFormatting>
  <conditionalFormatting sqref="D1056:D1058">
    <cfRule type="containsText" dxfId="603" priority="686" operator="containsText" text="Fri">
      <formula>NOT(ISERROR(SEARCH("Fri",D1056)))</formula>
    </cfRule>
    <cfRule type="containsText" dxfId="602" priority="687" operator="containsText" text="Thu">
      <formula>NOT(ISERROR(SEARCH("Thu",D1056)))</formula>
    </cfRule>
    <cfRule type="containsText" dxfId="601" priority="688" operator="containsText" text="Wed">
      <formula>NOT(ISERROR(SEARCH("Wed",D1056)))</formula>
    </cfRule>
    <cfRule type="containsText" dxfId="600" priority="689" operator="containsText" text="Tue">
      <formula>NOT(ISERROR(SEARCH("Tue",D1056)))</formula>
    </cfRule>
    <cfRule type="containsText" dxfId="599" priority="690" operator="containsText" text="Mon">
      <formula>NOT(ISERROR(SEARCH("Mon",D1056)))</formula>
    </cfRule>
  </conditionalFormatting>
  <conditionalFormatting sqref="E1056:K1120">
    <cfRule type="cellIs" dxfId="598" priority="685" operator="equal">
      <formula>0</formula>
    </cfRule>
  </conditionalFormatting>
  <conditionalFormatting sqref="A1056:B1058">
    <cfRule type="cellIs" dxfId="597" priority="684" operator="equal">
      <formula>0</formula>
    </cfRule>
  </conditionalFormatting>
  <conditionalFormatting sqref="D1059:D1062">
    <cfRule type="containsText" dxfId="596" priority="679" operator="containsText" text="Fri">
      <formula>NOT(ISERROR(SEARCH("Fri",D1059)))</formula>
    </cfRule>
    <cfRule type="containsText" dxfId="595" priority="680" operator="containsText" text="Thu">
      <formula>NOT(ISERROR(SEARCH("Thu",D1059)))</formula>
    </cfRule>
    <cfRule type="containsText" dxfId="594" priority="681" operator="containsText" text="Wed">
      <formula>NOT(ISERROR(SEARCH("Wed",D1059)))</formula>
    </cfRule>
    <cfRule type="containsText" dxfId="593" priority="682" operator="containsText" text="Tue">
      <formula>NOT(ISERROR(SEARCH("Tue",D1059)))</formula>
    </cfRule>
    <cfRule type="containsText" dxfId="592" priority="683" operator="containsText" text="Mon">
      <formula>NOT(ISERROR(SEARCH("Mon",D1059)))</formula>
    </cfRule>
  </conditionalFormatting>
  <conditionalFormatting sqref="A1059:B1062">
    <cfRule type="cellIs" dxfId="591" priority="678" operator="equal">
      <formula>0</formula>
    </cfRule>
  </conditionalFormatting>
  <conditionalFormatting sqref="D1063:D1066">
    <cfRule type="containsText" dxfId="590" priority="673" operator="containsText" text="Fri">
      <formula>NOT(ISERROR(SEARCH("Fri",D1063)))</formula>
    </cfRule>
    <cfRule type="containsText" dxfId="589" priority="674" operator="containsText" text="Thu">
      <formula>NOT(ISERROR(SEARCH("Thu",D1063)))</formula>
    </cfRule>
    <cfRule type="containsText" dxfId="588" priority="675" operator="containsText" text="Wed">
      <formula>NOT(ISERROR(SEARCH("Wed",D1063)))</formula>
    </cfRule>
    <cfRule type="containsText" dxfId="587" priority="676" operator="containsText" text="Tue">
      <formula>NOT(ISERROR(SEARCH("Tue",D1063)))</formula>
    </cfRule>
    <cfRule type="containsText" dxfId="586" priority="677" operator="containsText" text="Mon">
      <formula>NOT(ISERROR(SEARCH("Mon",D1063)))</formula>
    </cfRule>
  </conditionalFormatting>
  <conditionalFormatting sqref="A1063:B1066">
    <cfRule type="cellIs" dxfId="585" priority="672" operator="equal">
      <formula>0</formula>
    </cfRule>
  </conditionalFormatting>
  <conditionalFormatting sqref="D1067:D1069">
    <cfRule type="containsText" dxfId="584" priority="667" operator="containsText" text="Fri">
      <formula>NOT(ISERROR(SEARCH("Fri",D1067)))</formula>
    </cfRule>
    <cfRule type="containsText" dxfId="583" priority="668" operator="containsText" text="Thu">
      <formula>NOT(ISERROR(SEARCH("Thu",D1067)))</formula>
    </cfRule>
    <cfRule type="containsText" dxfId="582" priority="669" operator="containsText" text="Wed">
      <formula>NOT(ISERROR(SEARCH("Wed",D1067)))</formula>
    </cfRule>
    <cfRule type="containsText" dxfId="581" priority="670" operator="containsText" text="Tue">
      <formula>NOT(ISERROR(SEARCH("Tue",D1067)))</formula>
    </cfRule>
    <cfRule type="containsText" dxfId="580" priority="671" operator="containsText" text="Mon">
      <formula>NOT(ISERROR(SEARCH("Mon",D1067)))</formula>
    </cfRule>
  </conditionalFormatting>
  <conditionalFormatting sqref="A1067:B1072">
    <cfRule type="cellIs" dxfId="579" priority="666" operator="equal">
      <formula>0</formula>
    </cfRule>
  </conditionalFormatting>
  <conditionalFormatting sqref="D1070:D1072">
    <cfRule type="containsText" dxfId="578" priority="661" operator="containsText" text="Fri">
      <formula>NOT(ISERROR(SEARCH("Fri",D1070)))</formula>
    </cfRule>
    <cfRule type="containsText" dxfId="577" priority="662" operator="containsText" text="Thu">
      <formula>NOT(ISERROR(SEARCH("Thu",D1070)))</formula>
    </cfRule>
    <cfRule type="containsText" dxfId="576" priority="663" operator="containsText" text="Wed">
      <formula>NOT(ISERROR(SEARCH("Wed",D1070)))</formula>
    </cfRule>
    <cfRule type="containsText" dxfId="575" priority="664" operator="containsText" text="Tue">
      <formula>NOT(ISERROR(SEARCH("Tue",D1070)))</formula>
    </cfRule>
    <cfRule type="containsText" dxfId="574" priority="665" operator="containsText" text="Mon">
      <formula>NOT(ISERROR(SEARCH("Mon",D1070)))</formula>
    </cfRule>
  </conditionalFormatting>
  <conditionalFormatting sqref="D1073:D1076">
    <cfRule type="containsText" dxfId="573" priority="656" operator="containsText" text="Fri">
      <formula>NOT(ISERROR(SEARCH("Fri",D1073)))</formula>
    </cfRule>
    <cfRule type="containsText" dxfId="572" priority="657" operator="containsText" text="Thu">
      <formula>NOT(ISERROR(SEARCH("Thu",D1073)))</formula>
    </cfRule>
    <cfRule type="containsText" dxfId="571" priority="658" operator="containsText" text="Wed">
      <formula>NOT(ISERROR(SEARCH("Wed",D1073)))</formula>
    </cfRule>
    <cfRule type="containsText" dxfId="570" priority="659" operator="containsText" text="Tue">
      <formula>NOT(ISERROR(SEARCH("Tue",D1073)))</formula>
    </cfRule>
    <cfRule type="containsText" dxfId="569" priority="660" operator="containsText" text="Mon">
      <formula>NOT(ISERROR(SEARCH("Mon",D1073)))</formula>
    </cfRule>
  </conditionalFormatting>
  <conditionalFormatting sqref="A1073:B1079">
    <cfRule type="cellIs" dxfId="568" priority="655" operator="equal">
      <formula>0</formula>
    </cfRule>
  </conditionalFormatting>
  <conditionalFormatting sqref="D1077:D1079">
    <cfRule type="containsText" dxfId="567" priority="650" operator="containsText" text="Fri">
      <formula>NOT(ISERROR(SEARCH("Fri",D1077)))</formula>
    </cfRule>
    <cfRule type="containsText" dxfId="566" priority="651" operator="containsText" text="Thu">
      <formula>NOT(ISERROR(SEARCH("Thu",D1077)))</formula>
    </cfRule>
    <cfRule type="containsText" dxfId="565" priority="652" operator="containsText" text="Wed">
      <formula>NOT(ISERROR(SEARCH("Wed",D1077)))</formula>
    </cfRule>
    <cfRule type="containsText" dxfId="564" priority="653" operator="containsText" text="Tue">
      <formula>NOT(ISERROR(SEARCH("Tue",D1077)))</formula>
    </cfRule>
    <cfRule type="containsText" dxfId="563" priority="654" operator="containsText" text="Mon">
      <formula>NOT(ISERROR(SEARCH("Mon",D1077)))</formula>
    </cfRule>
  </conditionalFormatting>
  <conditionalFormatting sqref="D1080:D1083">
    <cfRule type="containsText" dxfId="562" priority="645" operator="containsText" text="Fri">
      <formula>NOT(ISERROR(SEARCH("Fri",D1080)))</formula>
    </cfRule>
    <cfRule type="containsText" dxfId="561" priority="646" operator="containsText" text="Thu">
      <formula>NOT(ISERROR(SEARCH("Thu",D1080)))</formula>
    </cfRule>
    <cfRule type="containsText" dxfId="560" priority="647" operator="containsText" text="Wed">
      <formula>NOT(ISERROR(SEARCH("Wed",D1080)))</formula>
    </cfRule>
    <cfRule type="containsText" dxfId="559" priority="648" operator="containsText" text="Tue">
      <formula>NOT(ISERROR(SEARCH("Tue",D1080)))</formula>
    </cfRule>
    <cfRule type="containsText" dxfId="558" priority="649" operator="containsText" text="Mon">
      <formula>NOT(ISERROR(SEARCH("Mon",D1080)))</formula>
    </cfRule>
  </conditionalFormatting>
  <conditionalFormatting sqref="A1080:B1085">
    <cfRule type="cellIs" dxfId="557" priority="644" operator="equal">
      <formula>0</formula>
    </cfRule>
  </conditionalFormatting>
  <conditionalFormatting sqref="D1084:D1085">
    <cfRule type="containsText" dxfId="556" priority="639" operator="containsText" text="Fri">
      <formula>NOT(ISERROR(SEARCH("Fri",D1084)))</formula>
    </cfRule>
    <cfRule type="containsText" dxfId="555" priority="640" operator="containsText" text="Thu">
      <formula>NOT(ISERROR(SEARCH("Thu",D1084)))</formula>
    </cfRule>
    <cfRule type="containsText" dxfId="554" priority="641" operator="containsText" text="Wed">
      <formula>NOT(ISERROR(SEARCH("Wed",D1084)))</formula>
    </cfRule>
    <cfRule type="containsText" dxfId="553" priority="642" operator="containsText" text="Tue">
      <formula>NOT(ISERROR(SEARCH("Tue",D1084)))</formula>
    </cfRule>
    <cfRule type="containsText" dxfId="552" priority="643" operator="containsText" text="Mon">
      <formula>NOT(ISERROR(SEARCH("Mon",D1084)))</formula>
    </cfRule>
  </conditionalFormatting>
  <conditionalFormatting sqref="D1086:D1090">
    <cfRule type="containsText" dxfId="551" priority="634" operator="containsText" text="Fri">
      <formula>NOT(ISERROR(SEARCH("Fri",D1086)))</formula>
    </cfRule>
    <cfRule type="containsText" dxfId="550" priority="635" operator="containsText" text="Thu">
      <formula>NOT(ISERROR(SEARCH("Thu",D1086)))</formula>
    </cfRule>
    <cfRule type="containsText" dxfId="549" priority="636" operator="containsText" text="Wed">
      <formula>NOT(ISERROR(SEARCH("Wed",D1086)))</formula>
    </cfRule>
    <cfRule type="containsText" dxfId="548" priority="637" operator="containsText" text="Tue">
      <formula>NOT(ISERROR(SEARCH("Tue",D1086)))</formula>
    </cfRule>
    <cfRule type="containsText" dxfId="547" priority="638" operator="containsText" text="Mon">
      <formula>NOT(ISERROR(SEARCH("Mon",D1086)))</formula>
    </cfRule>
  </conditionalFormatting>
  <conditionalFormatting sqref="A1086:B1092">
    <cfRule type="cellIs" dxfId="546" priority="633" operator="equal">
      <formula>0</formula>
    </cfRule>
  </conditionalFormatting>
  <conditionalFormatting sqref="D1091:D1092">
    <cfRule type="containsText" dxfId="545" priority="628" operator="containsText" text="Fri">
      <formula>NOT(ISERROR(SEARCH("Fri",D1091)))</formula>
    </cfRule>
    <cfRule type="containsText" dxfId="544" priority="629" operator="containsText" text="Thu">
      <formula>NOT(ISERROR(SEARCH("Thu",D1091)))</formula>
    </cfRule>
    <cfRule type="containsText" dxfId="543" priority="630" operator="containsText" text="Wed">
      <formula>NOT(ISERROR(SEARCH("Wed",D1091)))</formula>
    </cfRule>
    <cfRule type="containsText" dxfId="542" priority="631" operator="containsText" text="Tue">
      <formula>NOT(ISERROR(SEARCH("Tue",D1091)))</formula>
    </cfRule>
    <cfRule type="containsText" dxfId="541" priority="632" operator="containsText" text="Mon">
      <formula>NOT(ISERROR(SEARCH("Mon",D1091)))</formula>
    </cfRule>
  </conditionalFormatting>
  <conditionalFormatting sqref="D1093">
    <cfRule type="containsText" dxfId="540" priority="623" operator="containsText" text="Fri">
      <formula>NOT(ISERROR(SEARCH("Fri",D1093)))</formula>
    </cfRule>
    <cfRule type="containsText" dxfId="539" priority="624" operator="containsText" text="Thu">
      <formula>NOT(ISERROR(SEARCH("Thu",D1093)))</formula>
    </cfRule>
    <cfRule type="containsText" dxfId="538" priority="625" operator="containsText" text="Wed">
      <formula>NOT(ISERROR(SEARCH("Wed",D1093)))</formula>
    </cfRule>
    <cfRule type="containsText" dxfId="537" priority="626" operator="containsText" text="Tue">
      <formula>NOT(ISERROR(SEARCH("Tue",D1093)))</formula>
    </cfRule>
    <cfRule type="containsText" dxfId="536" priority="627" operator="containsText" text="Mon">
      <formula>NOT(ISERROR(SEARCH("Mon",D1093)))</formula>
    </cfRule>
  </conditionalFormatting>
  <conditionalFormatting sqref="A1093:B1093">
    <cfRule type="cellIs" dxfId="535" priority="622" operator="equal">
      <formula>0</formula>
    </cfRule>
  </conditionalFormatting>
  <conditionalFormatting sqref="D1094:D1098">
    <cfRule type="containsText" dxfId="534" priority="617" operator="containsText" text="Fri">
      <formula>NOT(ISERROR(SEARCH("Fri",D1094)))</formula>
    </cfRule>
    <cfRule type="containsText" dxfId="533" priority="618" operator="containsText" text="Thu">
      <formula>NOT(ISERROR(SEARCH("Thu",D1094)))</formula>
    </cfRule>
    <cfRule type="containsText" dxfId="532" priority="619" operator="containsText" text="Wed">
      <formula>NOT(ISERROR(SEARCH("Wed",D1094)))</formula>
    </cfRule>
    <cfRule type="containsText" dxfId="531" priority="620" operator="containsText" text="Tue">
      <formula>NOT(ISERROR(SEARCH("Tue",D1094)))</formula>
    </cfRule>
    <cfRule type="containsText" dxfId="530" priority="621" operator="containsText" text="Mon">
      <formula>NOT(ISERROR(SEARCH("Mon",D1094)))</formula>
    </cfRule>
  </conditionalFormatting>
  <conditionalFormatting sqref="A1094:B1100">
    <cfRule type="cellIs" dxfId="529" priority="616" operator="equal">
      <formula>0</formula>
    </cfRule>
  </conditionalFormatting>
  <conditionalFormatting sqref="D1099:D1100">
    <cfRule type="containsText" dxfId="528" priority="611" operator="containsText" text="Fri">
      <formula>NOT(ISERROR(SEARCH("Fri",D1099)))</formula>
    </cfRule>
    <cfRule type="containsText" dxfId="527" priority="612" operator="containsText" text="Thu">
      <formula>NOT(ISERROR(SEARCH("Thu",D1099)))</formula>
    </cfRule>
    <cfRule type="containsText" dxfId="526" priority="613" operator="containsText" text="Wed">
      <formula>NOT(ISERROR(SEARCH("Wed",D1099)))</formula>
    </cfRule>
    <cfRule type="containsText" dxfId="525" priority="614" operator="containsText" text="Tue">
      <formula>NOT(ISERROR(SEARCH("Tue",D1099)))</formula>
    </cfRule>
    <cfRule type="containsText" dxfId="524" priority="615" operator="containsText" text="Mon">
      <formula>NOT(ISERROR(SEARCH("Mon",D1099)))</formula>
    </cfRule>
  </conditionalFormatting>
  <conditionalFormatting sqref="D1101:D1103">
    <cfRule type="containsText" dxfId="523" priority="606" operator="containsText" text="Fri">
      <formula>NOT(ISERROR(SEARCH("Fri",D1101)))</formula>
    </cfRule>
    <cfRule type="containsText" dxfId="522" priority="607" operator="containsText" text="Thu">
      <formula>NOT(ISERROR(SEARCH("Thu",D1101)))</formula>
    </cfRule>
    <cfRule type="containsText" dxfId="521" priority="608" operator="containsText" text="Wed">
      <formula>NOT(ISERROR(SEARCH("Wed",D1101)))</formula>
    </cfRule>
    <cfRule type="containsText" dxfId="520" priority="609" operator="containsText" text="Tue">
      <formula>NOT(ISERROR(SEARCH("Tue",D1101)))</formula>
    </cfRule>
    <cfRule type="containsText" dxfId="519" priority="610" operator="containsText" text="Mon">
      <formula>NOT(ISERROR(SEARCH("Mon",D1101)))</formula>
    </cfRule>
  </conditionalFormatting>
  <conditionalFormatting sqref="A1101:B1106">
    <cfRule type="cellIs" dxfId="518" priority="605" operator="equal">
      <formula>0</formula>
    </cfRule>
  </conditionalFormatting>
  <conditionalFormatting sqref="D1104:D1106">
    <cfRule type="containsText" dxfId="517" priority="600" operator="containsText" text="Fri">
      <formula>NOT(ISERROR(SEARCH("Fri",D1104)))</formula>
    </cfRule>
    <cfRule type="containsText" dxfId="516" priority="601" operator="containsText" text="Thu">
      <formula>NOT(ISERROR(SEARCH("Thu",D1104)))</formula>
    </cfRule>
    <cfRule type="containsText" dxfId="515" priority="602" operator="containsText" text="Wed">
      <formula>NOT(ISERROR(SEARCH("Wed",D1104)))</formula>
    </cfRule>
    <cfRule type="containsText" dxfId="514" priority="603" operator="containsText" text="Tue">
      <formula>NOT(ISERROR(SEARCH("Tue",D1104)))</formula>
    </cfRule>
    <cfRule type="containsText" dxfId="513" priority="604" operator="containsText" text="Mon">
      <formula>NOT(ISERROR(SEARCH("Mon",D1104)))</formula>
    </cfRule>
  </conditionalFormatting>
  <conditionalFormatting sqref="D1107:D1110">
    <cfRule type="containsText" dxfId="512" priority="595" operator="containsText" text="Fri">
      <formula>NOT(ISERROR(SEARCH("Fri",D1107)))</formula>
    </cfRule>
    <cfRule type="containsText" dxfId="511" priority="596" operator="containsText" text="Thu">
      <formula>NOT(ISERROR(SEARCH("Thu",D1107)))</formula>
    </cfRule>
    <cfRule type="containsText" dxfId="510" priority="597" operator="containsText" text="Wed">
      <formula>NOT(ISERROR(SEARCH("Wed",D1107)))</formula>
    </cfRule>
    <cfRule type="containsText" dxfId="509" priority="598" operator="containsText" text="Tue">
      <formula>NOT(ISERROR(SEARCH("Tue",D1107)))</formula>
    </cfRule>
    <cfRule type="containsText" dxfId="508" priority="599" operator="containsText" text="Mon">
      <formula>NOT(ISERROR(SEARCH("Mon",D1107)))</formula>
    </cfRule>
  </conditionalFormatting>
  <conditionalFormatting sqref="A1107:B1113">
    <cfRule type="cellIs" dxfId="507" priority="594" operator="equal">
      <formula>0</formula>
    </cfRule>
  </conditionalFormatting>
  <conditionalFormatting sqref="D1111:D1113">
    <cfRule type="containsText" dxfId="506" priority="589" operator="containsText" text="Fri">
      <formula>NOT(ISERROR(SEARCH("Fri",D1111)))</formula>
    </cfRule>
    <cfRule type="containsText" dxfId="505" priority="590" operator="containsText" text="Thu">
      <formula>NOT(ISERROR(SEARCH("Thu",D1111)))</formula>
    </cfRule>
    <cfRule type="containsText" dxfId="504" priority="591" operator="containsText" text="Wed">
      <formula>NOT(ISERROR(SEARCH("Wed",D1111)))</formula>
    </cfRule>
    <cfRule type="containsText" dxfId="503" priority="592" operator="containsText" text="Tue">
      <formula>NOT(ISERROR(SEARCH("Tue",D1111)))</formula>
    </cfRule>
    <cfRule type="containsText" dxfId="502" priority="593" operator="containsText" text="Mon">
      <formula>NOT(ISERROR(SEARCH("Mon",D1111)))</formula>
    </cfRule>
  </conditionalFormatting>
  <conditionalFormatting sqref="D1114:D1118">
    <cfRule type="containsText" dxfId="501" priority="584" operator="containsText" text="Fri">
      <formula>NOT(ISERROR(SEARCH("Fri",D1114)))</formula>
    </cfRule>
    <cfRule type="containsText" dxfId="500" priority="585" operator="containsText" text="Thu">
      <formula>NOT(ISERROR(SEARCH("Thu",D1114)))</formula>
    </cfRule>
    <cfRule type="containsText" dxfId="499" priority="586" operator="containsText" text="Wed">
      <formula>NOT(ISERROR(SEARCH("Wed",D1114)))</formula>
    </cfRule>
    <cfRule type="containsText" dxfId="498" priority="587" operator="containsText" text="Tue">
      <formula>NOT(ISERROR(SEARCH("Tue",D1114)))</formula>
    </cfRule>
    <cfRule type="containsText" dxfId="497" priority="588" operator="containsText" text="Mon">
      <formula>NOT(ISERROR(SEARCH("Mon",D1114)))</formula>
    </cfRule>
  </conditionalFormatting>
  <conditionalFormatting sqref="A1114:B1120">
    <cfRule type="cellIs" dxfId="496" priority="583" operator="equal">
      <formula>0</formula>
    </cfRule>
  </conditionalFormatting>
  <conditionalFormatting sqref="D1119:D1120">
    <cfRule type="containsText" dxfId="495" priority="578" operator="containsText" text="Fri">
      <formula>NOT(ISERROR(SEARCH("Fri",D1119)))</formula>
    </cfRule>
    <cfRule type="containsText" dxfId="494" priority="579" operator="containsText" text="Thu">
      <formula>NOT(ISERROR(SEARCH("Thu",D1119)))</formula>
    </cfRule>
    <cfRule type="containsText" dxfId="493" priority="580" operator="containsText" text="Wed">
      <formula>NOT(ISERROR(SEARCH("Wed",D1119)))</formula>
    </cfRule>
    <cfRule type="containsText" dxfId="492" priority="581" operator="containsText" text="Tue">
      <formula>NOT(ISERROR(SEARCH("Tue",D1119)))</formula>
    </cfRule>
    <cfRule type="containsText" dxfId="491" priority="582" operator="containsText" text="Mon">
      <formula>NOT(ISERROR(SEARCH("Mon",D1119)))</formula>
    </cfRule>
  </conditionalFormatting>
  <conditionalFormatting sqref="D1121:D1123">
    <cfRule type="containsText" dxfId="490" priority="573" operator="containsText" text="Fri">
      <formula>NOT(ISERROR(SEARCH("Fri",D1121)))</formula>
    </cfRule>
    <cfRule type="containsText" dxfId="489" priority="574" operator="containsText" text="Thu">
      <formula>NOT(ISERROR(SEARCH("Thu",D1121)))</formula>
    </cfRule>
    <cfRule type="containsText" dxfId="488" priority="575" operator="containsText" text="Wed">
      <formula>NOT(ISERROR(SEARCH("Wed",D1121)))</formula>
    </cfRule>
    <cfRule type="containsText" dxfId="487" priority="576" operator="containsText" text="Tue">
      <formula>NOT(ISERROR(SEARCH("Tue",D1121)))</formula>
    </cfRule>
    <cfRule type="containsText" dxfId="486" priority="577" operator="containsText" text="Mon">
      <formula>NOT(ISERROR(SEARCH("Mon",D1121)))</formula>
    </cfRule>
  </conditionalFormatting>
  <conditionalFormatting sqref="E1121:K1185">
    <cfRule type="cellIs" dxfId="485" priority="572" operator="equal">
      <formula>0</formula>
    </cfRule>
  </conditionalFormatting>
  <conditionalFormatting sqref="A1121:B1123">
    <cfRule type="cellIs" dxfId="484" priority="571" operator="equal">
      <formula>0</formula>
    </cfRule>
  </conditionalFormatting>
  <conditionalFormatting sqref="D1124:D1127">
    <cfRule type="containsText" dxfId="483" priority="566" operator="containsText" text="Fri">
      <formula>NOT(ISERROR(SEARCH("Fri",D1124)))</formula>
    </cfRule>
    <cfRule type="containsText" dxfId="482" priority="567" operator="containsText" text="Thu">
      <formula>NOT(ISERROR(SEARCH("Thu",D1124)))</formula>
    </cfRule>
    <cfRule type="containsText" dxfId="481" priority="568" operator="containsText" text="Wed">
      <formula>NOT(ISERROR(SEARCH("Wed",D1124)))</formula>
    </cfRule>
    <cfRule type="containsText" dxfId="480" priority="569" operator="containsText" text="Tue">
      <formula>NOT(ISERROR(SEARCH("Tue",D1124)))</formula>
    </cfRule>
    <cfRule type="containsText" dxfId="479" priority="570" operator="containsText" text="Mon">
      <formula>NOT(ISERROR(SEARCH("Mon",D1124)))</formula>
    </cfRule>
  </conditionalFormatting>
  <conditionalFormatting sqref="A1124:B1127">
    <cfRule type="cellIs" dxfId="478" priority="565" operator="equal">
      <formula>0</formula>
    </cfRule>
  </conditionalFormatting>
  <conditionalFormatting sqref="D1128:D1131">
    <cfRule type="containsText" dxfId="477" priority="560" operator="containsText" text="Fri">
      <formula>NOT(ISERROR(SEARCH("Fri",D1128)))</formula>
    </cfRule>
    <cfRule type="containsText" dxfId="476" priority="561" operator="containsText" text="Thu">
      <formula>NOT(ISERROR(SEARCH("Thu",D1128)))</formula>
    </cfRule>
    <cfRule type="containsText" dxfId="475" priority="562" operator="containsText" text="Wed">
      <formula>NOT(ISERROR(SEARCH("Wed",D1128)))</formula>
    </cfRule>
    <cfRule type="containsText" dxfId="474" priority="563" operator="containsText" text="Tue">
      <formula>NOT(ISERROR(SEARCH("Tue",D1128)))</formula>
    </cfRule>
    <cfRule type="containsText" dxfId="473" priority="564" operator="containsText" text="Mon">
      <formula>NOT(ISERROR(SEARCH("Mon",D1128)))</formula>
    </cfRule>
  </conditionalFormatting>
  <conditionalFormatting sqref="A1128:B1131">
    <cfRule type="cellIs" dxfId="472" priority="559" operator="equal">
      <formula>0</formula>
    </cfRule>
  </conditionalFormatting>
  <conditionalFormatting sqref="D1132:D1134">
    <cfRule type="containsText" dxfId="471" priority="554" operator="containsText" text="Fri">
      <formula>NOT(ISERROR(SEARCH("Fri",D1132)))</formula>
    </cfRule>
    <cfRule type="containsText" dxfId="470" priority="555" operator="containsText" text="Thu">
      <formula>NOT(ISERROR(SEARCH("Thu",D1132)))</formula>
    </cfRule>
    <cfRule type="containsText" dxfId="469" priority="556" operator="containsText" text="Wed">
      <formula>NOT(ISERROR(SEARCH("Wed",D1132)))</formula>
    </cfRule>
    <cfRule type="containsText" dxfId="468" priority="557" operator="containsText" text="Tue">
      <formula>NOT(ISERROR(SEARCH("Tue",D1132)))</formula>
    </cfRule>
    <cfRule type="containsText" dxfId="467" priority="558" operator="containsText" text="Mon">
      <formula>NOT(ISERROR(SEARCH("Mon",D1132)))</formula>
    </cfRule>
  </conditionalFormatting>
  <conditionalFormatting sqref="A1132:B1137">
    <cfRule type="cellIs" dxfId="466" priority="553" operator="equal">
      <formula>0</formula>
    </cfRule>
  </conditionalFormatting>
  <conditionalFormatting sqref="D1135:D1137">
    <cfRule type="containsText" dxfId="465" priority="548" operator="containsText" text="Fri">
      <formula>NOT(ISERROR(SEARCH("Fri",D1135)))</formula>
    </cfRule>
    <cfRule type="containsText" dxfId="464" priority="549" operator="containsText" text="Thu">
      <formula>NOT(ISERROR(SEARCH("Thu",D1135)))</formula>
    </cfRule>
    <cfRule type="containsText" dxfId="463" priority="550" operator="containsText" text="Wed">
      <formula>NOT(ISERROR(SEARCH("Wed",D1135)))</formula>
    </cfRule>
    <cfRule type="containsText" dxfId="462" priority="551" operator="containsText" text="Tue">
      <formula>NOT(ISERROR(SEARCH("Tue",D1135)))</formula>
    </cfRule>
    <cfRule type="containsText" dxfId="461" priority="552" operator="containsText" text="Mon">
      <formula>NOT(ISERROR(SEARCH("Mon",D1135)))</formula>
    </cfRule>
  </conditionalFormatting>
  <conditionalFormatting sqref="D1138:D1141">
    <cfRule type="containsText" dxfId="460" priority="543" operator="containsText" text="Fri">
      <formula>NOT(ISERROR(SEARCH("Fri",D1138)))</formula>
    </cfRule>
    <cfRule type="containsText" dxfId="459" priority="544" operator="containsText" text="Thu">
      <formula>NOT(ISERROR(SEARCH("Thu",D1138)))</formula>
    </cfRule>
    <cfRule type="containsText" dxfId="458" priority="545" operator="containsText" text="Wed">
      <formula>NOT(ISERROR(SEARCH("Wed",D1138)))</formula>
    </cfRule>
    <cfRule type="containsText" dxfId="457" priority="546" operator="containsText" text="Tue">
      <formula>NOT(ISERROR(SEARCH("Tue",D1138)))</formula>
    </cfRule>
    <cfRule type="containsText" dxfId="456" priority="547" operator="containsText" text="Mon">
      <formula>NOT(ISERROR(SEARCH("Mon",D1138)))</formula>
    </cfRule>
  </conditionalFormatting>
  <conditionalFormatting sqref="A1138:B1144">
    <cfRule type="cellIs" dxfId="455" priority="542" operator="equal">
      <formula>0</formula>
    </cfRule>
  </conditionalFormatting>
  <conditionalFormatting sqref="D1142:D1144">
    <cfRule type="containsText" dxfId="454" priority="537" operator="containsText" text="Fri">
      <formula>NOT(ISERROR(SEARCH("Fri",D1142)))</formula>
    </cfRule>
    <cfRule type="containsText" dxfId="453" priority="538" operator="containsText" text="Thu">
      <formula>NOT(ISERROR(SEARCH("Thu",D1142)))</formula>
    </cfRule>
    <cfRule type="containsText" dxfId="452" priority="539" operator="containsText" text="Wed">
      <formula>NOT(ISERROR(SEARCH("Wed",D1142)))</formula>
    </cfRule>
    <cfRule type="containsText" dxfId="451" priority="540" operator="containsText" text="Tue">
      <formula>NOT(ISERROR(SEARCH("Tue",D1142)))</formula>
    </cfRule>
    <cfRule type="containsText" dxfId="450" priority="541" operator="containsText" text="Mon">
      <formula>NOT(ISERROR(SEARCH("Mon",D1142)))</formula>
    </cfRule>
  </conditionalFormatting>
  <conditionalFormatting sqref="D1145:D1148">
    <cfRule type="containsText" dxfId="449" priority="532" operator="containsText" text="Fri">
      <formula>NOT(ISERROR(SEARCH("Fri",D1145)))</formula>
    </cfRule>
    <cfRule type="containsText" dxfId="448" priority="533" operator="containsText" text="Thu">
      <formula>NOT(ISERROR(SEARCH("Thu",D1145)))</formula>
    </cfRule>
    <cfRule type="containsText" dxfId="447" priority="534" operator="containsText" text="Wed">
      <formula>NOT(ISERROR(SEARCH("Wed",D1145)))</formula>
    </cfRule>
    <cfRule type="containsText" dxfId="446" priority="535" operator="containsText" text="Tue">
      <formula>NOT(ISERROR(SEARCH("Tue",D1145)))</formula>
    </cfRule>
    <cfRule type="containsText" dxfId="445" priority="536" operator="containsText" text="Mon">
      <formula>NOT(ISERROR(SEARCH("Mon",D1145)))</formula>
    </cfRule>
  </conditionalFormatting>
  <conditionalFormatting sqref="A1145:B1150">
    <cfRule type="cellIs" dxfId="444" priority="531" operator="equal">
      <formula>0</formula>
    </cfRule>
  </conditionalFormatting>
  <conditionalFormatting sqref="D1149:D1150">
    <cfRule type="containsText" dxfId="443" priority="526" operator="containsText" text="Fri">
      <formula>NOT(ISERROR(SEARCH("Fri",D1149)))</formula>
    </cfRule>
    <cfRule type="containsText" dxfId="442" priority="527" operator="containsText" text="Thu">
      <formula>NOT(ISERROR(SEARCH("Thu",D1149)))</formula>
    </cfRule>
    <cfRule type="containsText" dxfId="441" priority="528" operator="containsText" text="Wed">
      <formula>NOT(ISERROR(SEARCH("Wed",D1149)))</formula>
    </cfRule>
    <cfRule type="containsText" dxfId="440" priority="529" operator="containsText" text="Tue">
      <formula>NOT(ISERROR(SEARCH("Tue",D1149)))</formula>
    </cfRule>
    <cfRule type="containsText" dxfId="439" priority="530" operator="containsText" text="Mon">
      <formula>NOT(ISERROR(SEARCH("Mon",D1149)))</formula>
    </cfRule>
  </conditionalFormatting>
  <conditionalFormatting sqref="D1151:D1155">
    <cfRule type="containsText" dxfId="438" priority="521" operator="containsText" text="Fri">
      <formula>NOT(ISERROR(SEARCH("Fri",D1151)))</formula>
    </cfRule>
    <cfRule type="containsText" dxfId="437" priority="522" operator="containsText" text="Thu">
      <formula>NOT(ISERROR(SEARCH("Thu",D1151)))</formula>
    </cfRule>
    <cfRule type="containsText" dxfId="436" priority="523" operator="containsText" text="Wed">
      <formula>NOT(ISERROR(SEARCH("Wed",D1151)))</formula>
    </cfRule>
    <cfRule type="containsText" dxfId="435" priority="524" operator="containsText" text="Tue">
      <formula>NOT(ISERROR(SEARCH("Tue",D1151)))</formula>
    </cfRule>
    <cfRule type="containsText" dxfId="434" priority="525" operator="containsText" text="Mon">
      <formula>NOT(ISERROR(SEARCH("Mon",D1151)))</formula>
    </cfRule>
  </conditionalFormatting>
  <conditionalFormatting sqref="A1151:B1157">
    <cfRule type="cellIs" dxfId="433" priority="520" operator="equal">
      <formula>0</formula>
    </cfRule>
  </conditionalFormatting>
  <conditionalFormatting sqref="D1156:D1157">
    <cfRule type="containsText" dxfId="432" priority="515" operator="containsText" text="Fri">
      <formula>NOT(ISERROR(SEARCH("Fri",D1156)))</formula>
    </cfRule>
    <cfRule type="containsText" dxfId="431" priority="516" operator="containsText" text="Thu">
      <formula>NOT(ISERROR(SEARCH("Thu",D1156)))</formula>
    </cfRule>
    <cfRule type="containsText" dxfId="430" priority="517" operator="containsText" text="Wed">
      <formula>NOT(ISERROR(SEARCH("Wed",D1156)))</formula>
    </cfRule>
    <cfRule type="containsText" dxfId="429" priority="518" operator="containsText" text="Tue">
      <formula>NOT(ISERROR(SEARCH("Tue",D1156)))</formula>
    </cfRule>
    <cfRule type="containsText" dxfId="428" priority="519" operator="containsText" text="Mon">
      <formula>NOT(ISERROR(SEARCH("Mon",D1156)))</formula>
    </cfRule>
  </conditionalFormatting>
  <conditionalFormatting sqref="D1158">
    <cfRule type="containsText" dxfId="427" priority="510" operator="containsText" text="Fri">
      <formula>NOT(ISERROR(SEARCH("Fri",D1158)))</formula>
    </cfRule>
    <cfRule type="containsText" dxfId="426" priority="511" operator="containsText" text="Thu">
      <formula>NOT(ISERROR(SEARCH("Thu",D1158)))</formula>
    </cfRule>
    <cfRule type="containsText" dxfId="425" priority="512" operator="containsText" text="Wed">
      <formula>NOT(ISERROR(SEARCH("Wed",D1158)))</formula>
    </cfRule>
    <cfRule type="containsText" dxfId="424" priority="513" operator="containsText" text="Tue">
      <formula>NOT(ISERROR(SEARCH("Tue",D1158)))</formula>
    </cfRule>
    <cfRule type="containsText" dxfId="423" priority="514" operator="containsText" text="Mon">
      <formula>NOT(ISERROR(SEARCH("Mon",D1158)))</formula>
    </cfRule>
  </conditionalFormatting>
  <conditionalFormatting sqref="A1158:B1158">
    <cfRule type="cellIs" dxfId="422" priority="509" operator="equal">
      <formula>0</formula>
    </cfRule>
  </conditionalFormatting>
  <conditionalFormatting sqref="D1159:D1163">
    <cfRule type="containsText" dxfId="421" priority="504" operator="containsText" text="Fri">
      <formula>NOT(ISERROR(SEARCH("Fri",D1159)))</formula>
    </cfRule>
    <cfRule type="containsText" dxfId="420" priority="505" operator="containsText" text="Thu">
      <formula>NOT(ISERROR(SEARCH("Thu",D1159)))</formula>
    </cfRule>
    <cfRule type="containsText" dxfId="419" priority="506" operator="containsText" text="Wed">
      <formula>NOT(ISERROR(SEARCH("Wed",D1159)))</formula>
    </cfRule>
    <cfRule type="containsText" dxfId="418" priority="507" operator="containsText" text="Tue">
      <formula>NOT(ISERROR(SEARCH("Tue",D1159)))</formula>
    </cfRule>
    <cfRule type="containsText" dxfId="417" priority="508" operator="containsText" text="Mon">
      <formula>NOT(ISERROR(SEARCH("Mon",D1159)))</formula>
    </cfRule>
  </conditionalFormatting>
  <conditionalFormatting sqref="A1159:B1165">
    <cfRule type="cellIs" dxfId="416" priority="503" operator="equal">
      <formula>0</formula>
    </cfRule>
  </conditionalFormatting>
  <conditionalFormatting sqref="D1164:D1165">
    <cfRule type="containsText" dxfId="415" priority="498" operator="containsText" text="Fri">
      <formula>NOT(ISERROR(SEARCH("Fri",D1164)))</formula>
    </cfRule>
    <cfRule type="containsText" dxfId="414" priority="499" operator="containsText" text="Thu">
      <formula>NOT(ISERROR(SEARCH("Thu",D1164)))</formula>
    </cfRule>
    <cfRule type="containsText" dxfId="413" priority="500" operator="containsText" text="Wed">
      <formula>NOT(ISERROR(SEARCH("Wed",D1164)))</formula>
    </cfRule>
    <cfRule type="containsText" dxfId="412" priority="501" operator="containsText" text="Tue">
      <formula>NOT(ISERROR(SEARCH("Tue",D1164)))</formula>
    </cfRule>
    <cfRule type="containsText" dxfId="411" priority="502" operator="containsText" text="Mon">
      <formula>NOT(ISERROR(SEARCH("Mon",D1164)))</formula>
    </cfRule>
  </conditionalFormatting>
  <conditionalFormatting sqref="D1166:D1168">
    <cfRule type="containsText" dxfId="410" priority="493" operator="containsText" text="Fri">
      <formula>NOT(ISERROR(SEARCH("Fri",D1166)))</formula>
    </cfRule>
    <cfRule type="containsText" dxfId="409" priority="494" operator="containsText" text="Thu">
      <formula>NOT(ISERROR(SEARCH("Thu",D1166)))</formula>
    </cfRule>
    <cfRule type="containsText" dxfId="408" priority="495" operator="containsText" text="Wed">
      <formula>NOT(ISERROR(SEARCH("Wed",D1166)))</formula>
    </cfRule>
    <cfRule type="containsText" dxfId="407" priority="496" operator="containsText" text="Tue">
      <formula>NOT(ISERROR(SEARCH("Tue",D1166)))</formula>
    </cfRule>
    <cfRule type="containsText" dxfId="406" priority="497" operator="containsText" text="Mon">
      <formula>NOT(ISERROR(SEARCH("Mon",D1166)))</formula>
    </cfRule>
  </conditionalFormatting>
  <conditionalFormatting sqref="A1166:B1171">
    <cfRule type="cellIs" dxfId="405" priority="492" operator="equal">
      <formula>0</formula>
    </cfRule>
  </conditionalFormatting>
  <conditionalFormatting sqref="D1169:D1171">
    <cfRule type="containsText" dxfId="404" priority="487" operator="containsText" text="Fri">
      <formula>NOT(ISERROR(SEARCH("Fri",D1169)))</formula>
    </cfRule>
    <cfRule type="containsText" dxfId="403" priority="488" operator="containsText" text="Thu">
      <formula>NOT(ISERROR(SEARCH("Thu",D1169)))</formula>
    </cfRule>
    <cfRule type="containsText" dxfId="402" priority="489" operator="containsText" text="Wed">
      <formula>NOT(ISERROR(SEARCH("Wed",D1169)))</formula>
    </cfRule>
    <cfRule type="containsText" dxfId="401" priority="490" operator="containsText" text="Tue">
      <formula>NOT(ISERROR(SEARCH("Tue",D1169)))</formula>
    </cfRule>
    <cfRule type="containsText" dxfId="400" priority="491" operator="containsText" text="Mon">
      <formula>NOT(ISERROR(SEARCH("Mon",D1169)))</formula>
    </cfRule>
  </conditionalFormatting>
  <conditionalFormatting sqref="D1172:D1175">
    <cfRule type="containsText" dxfId="399" priority="482" operator="containsText" text="Fri">
      <formula>NOT(ISERROR(SEARCH("Fri",D1172)))</formula>
    </cfRule>
    <cfRule type="containsText" dxfId="398" priority="483" operator="containsText" text="Thu">
      <formula>NOT(ISERROR(SEARCH("Thu",D1172)))</formula>
    </cfRule>
    <cfRule type="containsText" dxfId="397" priority="484" operator="containsText" text="Wed">
      <formula>NOT(ISERROR(SEARCH("Wed",D1172)))</formula>
    </cfRule>
    <cfRule type="containsText" dxfId="396" priority="485" operator="containsText" text="Tue">
      <formula>NOT(ISERROR(SEARCH("Tue",D1172)))</formula>
    </cfRule>
    <cfRule type="containsText" dxfId="395" priority="486" operator="containsText" text="Mon">
      <formula>NOT(ISERROR(SEARCH("Mon",D1172)))</formula>
    </cfRule>
  </conditionalFormatting>
  <conditionalFormatting sqref="A1172:B1178">
    <cfRule type="cellIs" dxfId="394" priority="481" operator="equal">
      <formula>0</formula>
    </cfRule>
  </conditionalFormatting>
  <conditionalFormatting sqref="D1176:D1178">
    <cfRule type="containsText" dxfId="393" priority="476" operator="containsText" text="Fri">
      <formula>NOT(ISERROR(SEARCH("Fri",D1176)))</formula>
    </cfRule>
    <cfRule type="containsText" dxfId="392" priority="477" operator="containsText" text="Thu">
      <formula>NOT(ISERROR(SEARCH("Thu",D1176)))</formula>
    </cfRule>
    <cfRule type="containsText" dxfId="391" priority="478" operator="containsText" text="Wed">
      <formula>NOT(ISERROR(SEARCH("Wed",D1176)))</formula>
    </cfRule>
    <cfRule type="containsText" dxfId="390" priority="479" operator="containsText" text="Tue">
      <formula>NOT(ISERROR(SEARCH("Tue",D1176)))</formula>
    </cfRule>
    <cfRule type="containsText" dxfId="389" priority="480" operator="containsText" text="Mon">
      <formula>NOT(ISERROR(SEARCH("Mon",D1176)))</formula>
    </cfRule>
  </conditionalFormatting>
  <conditionalFormatting sqref="D1179:D1183">
    <cfRule type="containsText" dxfId="388" priority="471" operator="containsText" text="Fri">
      <formula>NOT(ISERROR(SEARCH("Fri",D1179)))</formula>
    </cfRule>
    <cfRule type="containsText" dxfId="387" priority="472" operator="containsText" text="Thu">
      <formula>NOT(ISERROR(SEARCH("Thu",D1179)))</formula>
    </cfRule>
    <cfRule type="containsText" dxfId="386" priority="473" operator="containsText" text="Wed">
      <formula>NOT(ISERROR(SEARCH("Wed",D1179)))</formula>
    </cfRule>
    <cfRule type="containsText" dxfId="385" priority="474" operator="containsText" text="Tue">
      <formula>NOT(ISERROR(SEARCH("Tue",D1179)))</formula>
    </cfRule>
    <cfRule type="containsText" dxfId="384" priority="475" operator="containsText" text="Mon">
      <formula>NOT(ISERROR(SEARCH("Mon",D1179)))</formula>
    </cfRule>
  </conditionalFormatting>
  <conditionalFormatting sqref="A1179:B1185">
    <cfRule type="cellIs" dxfId="383" priority="470" operator="equal">
      <formula>0</formula>
    </cfRule>
  </conditionalFormatting>
  <conditionalFormatting sqref="D1184:D1185">
    <cfRule type="containsText" dxfId="382" priority="465" operator="containsText" text="Fri">
      <formula>NOT(ISERROR(SEARCH("Fri",D1184)))</formula>
    </cfRule>
    <cfRule type="containsText" dxfId="381" priority="466" operator="containsText" text="Thu">
      <formula>NOT(ISERROR(SEARCH("Thu",D1184)))</formula>
    </cfRule>
    <cfRule type="containsText" dxfId="380" priority="467" operator="containsText" text="Wed">
      <formula>NOT(ISERROR(SEARCH("Wed",D1184)))</formula>
    </cfRule>
    <cfRule type="containsText" dxfId="379" priority="468" operator="containsText" text="Tue">
      <formula>NOT(ISERROR(SEARCH("Tue",D1184)))</formula>
    </cfRule>
    <cfRule type="containsText" dxfId="378" priority="469" operator="containsText" text="Mon">
      <formula>NOT(ISERROR(SEARCH("Mon",D1184)))</formula>
    </cfRule>
  </conditionalFormatting>
  <conditionalFormatting sqref="E1186:K1213">
    <cfRule type="cellIs" dxfId="377" priority="464" operator="equal">
      <formula>0</formula>
    </cfRule>
  </conditionalFormatting>
  <conditionalFormatting sqref="A1186:B1213">
    <cfRule type="cellIs" dxfId="376" priority="463" operator="equal">
      <formula>0</formula>
    </cfRule>
  </conditionalFormatting>
  <conditionalFormatting sqref="D1186:D1213">
    <cfRule type="containsText" dxfId="375" priority="458" operator="containsText" text="Fri">
      <formula>NOT(ISERROR(SEARCH("Fri",D1186)))</formula>
    </cfRule>
    <cfRule type="containsText" dxfId="374" priority="459" operator="containsText" text="Thu">
      <formula>NOT(ISERROR(SEARCH("Thu",D1186)))</formula>
    </cfRule>
    <cfRule type="containsText" dxfId="373" priority="460" operator="containsText" text="Wed">
      <formula>NOT(ISERROR(SEARCH("Wed",D1186)))</formula>
    </cfRule>
    <cfRule type="containsText" dxfId="372" priority="461" operator="containsText" text="Tue">
      <formula>NOT(ISERROR(SEARCH("Tue",D1186)))</formula>
    </cfRule>
    <cfRule type="containsText" dxfId="371" priority="462" operator="containsText" text="Mon">
      <formula>NOT(ISERROR(SEARCH("Mon",D1186)))</formula>
    </cfRule>
  </conditionalFormatting>
  <conditionalFormatting sqref="D1214:D1221">
    <cfRule type="containsText" dxfId="370" priority="417" operator="containsText" text="Fri">
      <formula>NOT(ISERROR(SEARCH("Fri",D1214)))</formula>
    </cfRule>
    <cfRule type="containsText" dxfId="369" priority="418" operator="containsText" text="Thu">
      <formula>NOT(ISERROR(SEARCH("Thu",D1214)))</formula>
    </cfRule>
    <cfRule type="containsText" dxfId="368" priority="419" operator="containsText" text="Wed">
      <formula>NOT(ISERROR(SEARCH("Wed",D1214)))</formula>
    </cfRule>
    <cfRule type="containsText" dxfId="367" priority="420" operator="containsText" text="Tue">
      <formula>NOT(ISERROR(SEARCH("Tue",D1214)))</formula>
    </cfRule>
    <cfRule type="containsText" dxfId="366" priority="421" operator="containsText" text="Mon">
      <formula>NOT(ISERROR(SEARCH("Mon",D1214)))</formula>
    </cfRule>
  </conditionalFormatting>
  <conditionalFormatting sqref="E1214:K1252">
    <cfRule type="cellIs" dxfId="365" priority="416" operator="equal">
      <formula>0</formula>
    </cfRule>
  </conditionalFormatting>
  <conditionalFormatting sqref="A1214:B1221">
    <cfRule type="cellIs" dxfId="364" priority="415" operator="equal">
      <formula>0</formula>
    </cfRule>
  </conditionalFormatting>
  <conditionalFormatting sqref="D1222:D1229">
    <cfRule type="containsText" dxfId="363" priority="410" operator="containsText" text="Fri">
      <formula>NOT(ISERROR(SEARCH("Fri",D1222)))</formula>
    </cfRule>
    <cfRule type="containsText" dxfId="362" priority="411" operator="containsText" text="Thu">
      <formula>NOT(ISERROR(SEARCH("Thu",D1222)))</formula>
    </cfRule>
    <cfRule type="containsText" dxfId="361" priority="412" operator="containsText" text="Wed">
      <formula>NOT(ISERROR(SEARCH("Wed",D1222)))</formula>
    </cfRule>
    <cfRule type="containsText" dxfId="360" priority="413" operator="containsText" text="Tue">
      <formula>NOT(ISERROR(SEARCH("Tue",D1222)))</formula>
    </cfRule>
    <cfRule type="containsText" dxfId="359" priority="414" operator="containsText" text="Mon">
      <formula>NOT(ISERROR(SEARCH("Mon",D1222)))</formula>
    </cfRule>
  </conditionalFormatting>
  <conditionalFormatting sqref="A1222:B1229">
    <cfRule type="cellIs" dxfId="358" priority="409" operator="equal">
      <formula>0</formula>
    </cfRule>
  </conditionalFormatting>
  <conditionalFormatting sqref="D1230:D1236">
    <cfRule type="containsText" dxfId="357" priority="404" operator="containsText" text="Fri">
      <formula>NOT(ISERROR(SEARCH("Fri",D1230)))</formula>
    </cfRule>
    <cfRule type="containsText" dxfId="356" priority="405" operator="containsText" text="Thu">
      <formula>NOT(ISERROR(SEARCH("Thu",D1230)))</formula>
    </cfRule>
    <cfRule type="containsText" dxfId="355" priority="406" operator="containsText" text="Wed">
      <formula>NOT(ISERROR(SEARCH("Wed",D1230)))</formula>
    </cfRule>
    <cfRule type="containsText" dxfId="354" priority="407" operator="containsText" text="Tue">
      <formula>NOT(ISERROR(SEARCH("Tue",D1230)))</formula>
    </cfRule>
    <cfRule type="containsText" dxfId="353" priority="408" operator="containsText" text="Mon">
      <formula>NOT(ISERROR(SEARCH("Mon",D1230)))</formula>
    </cfRule>
  </conditionalFormatting>
  <conditionalFormatting sqref="A1230:B1236">
    <cfRule type="cellIs" dxfId="352" priority="403" operator="equal">
      <formula>0</formula>
    </cfRule>
  </conditionalFormatting>
  <conditionalFormatting sqref="D1237:D1244">
    <cfRule type="containsText" dxfId="351" priority="398" operator="containsText" text="Fri">
      <formula>NOT(ISERROR(SEARCH("Fri",D1237)))</formula>
    </cfRule>
    <cfRule type="containsText" dxfId="350" priority="399" operator="containsText" text="Thu">
      <formula>NOT(ISERROR(SEARCH("Thu",D1237)))</formula>
    </cfRule>
    <cfRule type="containsText" dxfId="349" priority="400" operator="containsText" text="Wed">
      <formula>NOT(ISERROR(SEARCH("Wed",D1237)))</formula>
    </cfRule>
    <cfRule type="containsText" dxfId="348" priority="401" operator="containsText" text="Tue">
      <formula>NOT(ISERROR(SEARCH("Tue",D1237)))</formula>
    </cfRule>
    <cfRule type="containsText" dxfId="347" priority="402" operator="containsText" text="Mon">
      <formula>NOT(ISERROR(SEARCH("Mon",D1237)))</formula>
    </cfRule>
  </conditionalFormatting>
  <conditionalFormatting sqref="A1237:B1244">
    <cfRule type="cellIs" dxfId="346" priority="397" operator="equal">
      <formula>0</formula>
    </cfRule>
  </conditionalFormatting>
  <conditionalFormatting sqref="D1252 D1245:D1250">
    <cfRule type="containsText" dxfId="345" priority="392" operator="containsText" text="Fri">
      <formula>NOT(ISERROR(SEARCH("Fri",D1245)))</formula>
    </cfRule>
    <cfRule type="containsText" dxfId="344" priority="393" operator="containsText" text="Thu">
      <formula>NOT(ISERROR(SEARCH("Thu",D1245)))</formula>
    </cfRule>
    <cfRule type="containsText" dxfId="343" priority="394" operator="containsText" text="Wed">
      <formula>NOT(ISERROR(SEARCH("Wed",D1245)))</formula>
    </cfRule>
    <cfRule type="containsText" dxfId="342" priority="395" operator="containsText" text="Tue">
      <formula>NOT(ISERROR(SEARCH("Tue",D1245)))</formula>
    </cfRule>
    <cfRule type="containsText" dxfId="341" priority="396" operator="containsText" text="Mon">
      <formula>NOT(ISERROR(SEARCH("Mon",D1245)))</formula>
    </cfRule>
  </conditionalFormatting>
  <conditionalFormatting sqref="A1245:B1252">
    <cfRule type="cellIs" dxfId="340" priority="391" operator="equal">
      <formula>0</formula>
    </cfRule>
  </conditionalFormatting>
  <conditionalFormatting sqref="D1251">
    <cfRule type="containsText" dxfId="339" priority="386" operator="containsText" text="Fri">
      <formula>NOT(ISERROR(SEARCH("Fri",D1251)))</formula>
    </cfRule>
    <cfRule type="containsText" dxfId="338" priority="387" operator="containsText" text="Thu">
      <formula>NOT(ISERROR(SEARCH("Thu",D1251)))</formula>
    </cfRule>
    <cfRule type="containsText" dxfId="337" priority="388" operator="containsText" text="Wed">
      <formula>NOT(ISERROR(SEARCH("Wed",D1251)))</formula>
    </cfRule>
    <cfRule type="containsText" dxfId="336" priority="389" operator="containsText" text="Tue">
      <formula>NOT(ISERROR(SEARCH("Tue",D1251)))</formula>
    </cfRule>
    <cfRule type="containsText" dxfId="335" priority="390" operator="containsText" text="Mon">
      <formula>NOT(ISERROR(SEARCH("Mon",D1251)))</formula>
    </cfRule>
  </conditionalFormatting>
  <conditionalFormatting sqref="E1253:K1259">
    <cfRule type="cellIs" dxfId="334" priority="385" operator="equal">
      <formula>0</formula>
    </cfRule>
  </conditionalFormatting>
  <conditionalFormatting sqref="D1253:D1259">
    <cfRule type="containsText" dxfId="333" priority="380" operator="containsText" text="Fri">
      <formula>NOT(ISERROR(SEARCH("Fri",D1253)))</formula>
    </cfRule>
    <cfRule type="containsText" dxfId="332" priority="381" operator="containsText" text="Thu">
      <formula>NOT(ISERROR(SEARCH("Thu",D1253)))</formula>
    </cfRule>
    <cfRule type="containsText" dxfId="331" priority="382" operator="containsText" text="Wed">
      <formula>NOT(ISERROR(SEARCH("Wed",D1253)))</formula>
    </cfRule>
    <cfRule type="containsText" dxfId="330" priority="383" operator="containsText" text="Tue">
      <formula>NOT(ISERROR(SEARCH("Tue",D1253)))</formula>
    </cfRule>
    <cfRule type="containsText" dxfId="329" priority="384" operator="containsText" text="Mon">
      <formula>NOT(ISERROR(SEARCH("Mon",D1253)))</formula>
    </cfRule>
  </conditionalFormatting>
  <conditionalFormatting sqref="A1253:B1259">
    <cfRule type="cellIs" dxfId="328" priority="379" operator="equal">
      <formula>0</formula>
    </cfRule>
  </conditionalFormatting>
  <conditionalFormatting sqref="D1260:D1267">
    <cfRule type="containsText" dxfId="327" priority="374" operator="containsText" text="Fri">
      <formula>NOT(ISERROR(SEARCH("Fri",D1260)))</formula>
    </cfRule>
    <cfRule type="containsText" dxfId="326" priority="375" operator="containsText" text="Thu">
      <formula>NOT(ISERROR(SEARCH("Thu",D1260)))</formula>
    </cfRule>
    <cfRule type="containsText" dxfId="325" priority="376" operator="containsText" text="Wed">
      <formula>NOT(ISERROR(SEARCH("Wed",D1260)))</formula>
    </cfRule>
    <cfRule type="containsText" dxfId="324" priority="377" operator="containsText" text="Tue">
      <formula>NOT(ISERROR(SEARCH("Tue",D1260)))</formula>
    </cfRule>
    <cfRule type="containsText" dxfId="323" priority="378" operator="containsText" text="Mon">
      <formula>NOT(ISERROR(SEARCH("Mon",D1260)))</formula>
    </cfRule>
  </conditionalFormatting>
  <conditionalFormatting sqref="E1260:K1300">
    <cfRule type="cellIs" dxfId="322" priority="373" operator="equal">
      <formula>0</formula>
    </cfRule>
  </conditionalFormatting>
  <conditionalFormatting sqref="A1260:B1267">
    <cfRule type="cellIs" dxfId="321" priority="372" operator="equal">
      <formula>0</formula>
    </cfRule>
  </conditionalFormatting>
  <conditionalFormatting sqref="D1268:D1270">
    <cfRule type="containsText" dxfId="320" priority="367" operator="containsText" text="Fri">
      <formula>NOT(ISERROR(SEARCH("Fri",D1268)))</formula>
    </cfRule>
    <cfRule type="containsText" dxfId="319" priority="368" operator="containsText" text="Thu">
      <formula>NOT(ISERROR(SEARCH("Thu",D1268)))</formula>
    </cfRule>
    <cfRule type="containsText" dxfId="318" priority="369" operator="containsText" text="Wed">
      <formula>NOT(ISERROR(SEARCH("Wed",D1268)))</formula>
    </cfRule>
    <cfRule type="containsText" dxfId="317" priority="370" operator="containsText" text="Tue">
      <formula>NOT(ISERROR(SEARCH("Tue",D1268)))</formula>
    </cfRule>
    <cfRule type="containsText" dxfId="316" priority="371" operator="containsText" text="Mon">
      <formula>NOT(ISERROR(SEARCH("Mon",D1268)))</formula>
    </cfRule>
  </conditionalFormatting>
  <conditionalFormatting sqref="A1268:B1270">
    <cfRule type="cellIs" dxfId="315" priority="366" operator="equal">
      <formula>0</formula>
    </cfRule>
  </conditionalFormatting>
  <conditionalFormatting sqref="D1271:D1273">
    <cfRule type="containsText" dxfId="314" priority="361" operator="containsText" text="Fri">
      <formula>NOT(ISERROR(SEARCH("Fri",D1271)))</formula>
    </cfRule>
    <cfRule type="containsText" dxfId="313" priority="362" operator="containsText" text="Thu">
      <formula>NOT(ISERROR(SEARCH("Thu",D1271)))</formula>
    </cfRule>
    <cfRule type="containsText" dxfId="312" priority="363" operator="containsText" text="Wed">
      <formula>NOT(ISERROR(SEARCH("Wed",D1271)))</formula>
    </cfRule>
    <cfRule type="containsText" dxfId="311" priority="364" operator="containsText" text="Tue">
      <formula>NOT(ISERROR(SEARCH("Tue",D1271)))</formula>
    </cfRule>
    <cfRule type="containsText" dxfId="310" priority="365" operator="containsText" text="Mon">
      <formula>NOT(ISERROR(SEARCH("Mon",D1271)))</formula>
    </cfRule>
  </conditionalFormatting>
  <conditionalFormatting sqref="A1271:B1273">
    <cfRule type="cellIs" dxfId="309" priority="360" operator="equal">
      <formula>0</formula>
    </cfRule>
  </conditionalFormatting>
  <conditionalFormatting sqref="D1274:D1276">
    <cfRule type="containsText" dxfId="308" priority="355" operator="containsText" text="Fri">
      <formula>NOT(ISERROR(SEARCH("Fri",D1274)))</formula>
    </cfRule>
    <cfRule type="containsText" dxfId="307" priority="356" operator="containsText" text="Thu">
      <formula>NOT(ISERROR(SEARCH("Thu",D1274)))</formula>
    </cfRule>
    <cfRule type="containsText" dxfId="306" priority="357" operator="containsText" text="Wed">
      <formula>NOT(ISERROR(SEARCH("Wed",D1274)))</formula>
    </cfRule>
    <cfRule type="containsText" dxfId="305" priority="358" operator="containsText" text="Tue">
      <formula>NOT(ISERROR(SEARCH("Tue",D1274)))</formula>
    </cfRule>
    <cfRule type="containsText" dxfId="304" priority="359" operator="containsText" text="Mon">
      <formula>NOT(ISERROR(SEARCH("Mon",D1274)))</formula>
    </cfRule>
  </conditionalFormatting>
  <conditionalFormatting sqref="A1274:B1276">
    <cfRule type="cellIs" dxfId="303" priority="354" operator="equal">
      <formula>0</formula>
    </cfRule>
  </conditionalFormatting>
  <conditionalFormatting sqref="D1277:D1279">
    <cfRule type="containsText" dxfId="302" priority="349" operator="containsText" text="Fri">
      <formula>NOT(ISERROR(SEARCH("Fri",D1277)))</formula>
    </cfRule>
    <cfRule type="containsText" dxfId="301" priority="350" operator="containsText" text="Thu">
      <formula>NOT(ISERROR(SEARCH("Thu",D1277)))</formula>
    </cfRule>
    <cfRule type="containsText" dxfId="300" priority="351" operator="containsText" text="Wed">
      <formula>NOT(ISERROR(SEARCH("Wed",D1277)))</formula>
    </cfRule>
    <cfRule type="containsText" dxfId="299" priority="352" operator="containsText" text="Tue">
      <formula>NOT(ISERROR(SEARCH("Tue",D1277)))</formula>
    </cfRule>
    <cfRule type="containsText" dxfId="298" priority="353" operator="containsText" text="Mon">
      <formula>NOT(ISERROR(SEARCH("Mon",D1277)))</formula>
    </cfRule>
  </conditionalFormatting>
  <conditionalFormatting sqref="A1277:B1279">
    <cfRule type="cellIs" dxfId="297" priority="348" operator="equal">
      <formula>0</formula>
    </cfRule>
  </conditionalFormatting>
  <conditionalFormatting sqref="D1280:D1282">
    <cfRule type="containsText" dxfId="296" priority="343" operator="containsText" text="Fri">
      <formula>NOT(ISERROR(SEARCH("Fri",D1280)))</formula>
    </cfRule>
    <cfRule type="containsText" dxfId="295" priority="344" operator="containsText" text="Thu">
      <formula>NOT(ISERROR(SEARCH("Thu",D1280)))</formula>
    </cfRule>
    <cfRule type="containsText" dxfId="294" priority="345" operator="containsText" text="Wed">
      <formula>NOT(ISERROR(SEARCH("Wed",D1280)))</formula>
    </cfRule>
    <cfRule type="containsText" dxfId="293" priority="346" operator="containsText" text="Tue">
      <formula>NOT(ISERROR(SEARCH("Tue",D1280)))</formula>
    </cfRule>
    <cfRule type="containsText" dxfId="292" priority="347" operator="containsText" text="Mon">
      <formula>NOT(ISERROR(SEARCH("Mon",D1280)))</formula>
    </cfRule>
  </conditionalFormatting>
  <conditionalFormatting sqref="A1280:B1282">
    <cfRule type="cellIs" dxfId="291" priority="342" operator="equal">
      <formula>0</formula>
    </cfRule>
  </conditionalFormatting>
  <conditionalFormatting sqref="D1283:D1285">
    <cfRule type="containsText" dxfId="290" priority="337" operator="containsText" text="Fri">
      <formula>NOT(ISERROR(SEARCH("Fri",D1283)))</formula>
    </cfRule>
    <cfRule type="containsText" dxfId="289" priority="338" operator="containsText" text="Thu">
      <formula>NOT(ISERROR(SEARCH("Thu",D1283)))</formula>
    </cfRule>
    <cfRule type="containsText" dxfId="288" priority="339" operator="containsText" text="Wed">
      <formula>NOT(ISERROR(SEARCH("Wed",D1283)))</formula>
    </cfRule>
    <cfRule type="containsText" dxfId="287" priority="340" operator="containsText" text="Tue">
      <formula>NOT(ISERROR(SEARCH("Tue",D1283)))</formula>
    </cfRule>
    <cfRule type="containsText" dxfId="286" priority="341" operator="containsText" text="Mon">
      <formula>NOT(ISERROR(SEARCH("Mon",D1283)))</formula>
    </cfRule>
  </conditionalFormatting>
  <conditionalFormatting sqref="A1283:B1285">
    <cfRule type="cellIs" dxfId="285" priority="336" operator="equal">
      <formula>0</formula>
    </cfRule>
  </conditionalFormatting>
  <conditionalFormatting sqref="D1286:D1287">
    <cfRule type="containsText" dxfId="284" priority="331" operator="containsText" text="Fri">
      <formula>NOT(ISERROR(SEARCH("Fri",D1286)))</formula>
    </cfRule>
    <cfRule type="containsText" dxfId="283" priority="332" operator="containsText" text="Thu">
      <formula>NOT(ISERROR(SEARCH("Thu",D1286)))</formula>
    </cfRule>
    <cfRule type="containsText" dxfId="282" priority="333" operator="containsText" text="Wed">
      <formula>NOT(ISERROR(SEARCH("Wed",D1286)))</formula>
    </cfRule>
    <cfRule type="containsText" dxfId="281" priority="334" operator="containsText" text="Tue">
      <formula>NOT(ISERROR(SEARCH("Tue",D1286)))</formula>
    </cfRule>
    <cfRule type="containsText" dxfId="280" priority="335" operator="containsText" text="Mon">
      <formula>NOT(ISERROR(SEARCH("Mon",D1286)))</formula>
    </cfRule>
  </conditionalFormatting>
  <conditionalFormatting sqref="A1286:B1287">
    <cfRule type="cellIs" dxfId="279" priority="330" operator="equal">
      <formula>0</formula>
    </cfRule>
  </conditionalFormatting>
  <conditionalFormatting sqref="D1288:D1290">
    <cfRule type="containsText" dxfId="278" priority="325" operator="containsText" text="Fri">
      <formula>NOT(ISERROR(SEARCH("Fri",D1288)))</formula>
    </cfRule>
    <cfRule type="containsText" dxfId="277" priority="326" operator="containsText" text="Thu">
      <formula>NOT(ISERROR(SEARCH("Thu",D1288)))</formula>
    </cfRule>
    <cfRule type="containsText" dxfId="276" priority="327" operator="containsText" text="Wed">
      <formula>NOT(ISERROR(SEARCH("Wed",D1288)))</formula>
    </cfRule>
    <cfRule type="containsText" dxfId="275" priority="328" operator="containsText" text="Tue">
      <formula>NOT(ISERROR(SEARCH("Tue",D1288)))</formula>
    </cfRule>
    <cfRule type="containsText" dxfId="274" priority="329" operator="containsText" text="Mon">
      <formula>NOT(ISERROR(SEARCH("Mon",D1288)))</formula>
    </cfRule>
  </conditionalFormatting>
  <conditionalFormatting sqref="A1288:B1290">
    <cfRule type="cellIs" dxfId="273" priority="324" operator="equal">
      <formula>0</formula>
    </cfRule>
  </conditionalFormatting>
  <conditionalFormatting sqref="D1291:D1292">
    <cfRule type="containsText" dxfId="272" priority="319" operator="containsText" text="Fri">
      <formula>NOT(ISERROR(SEARCH("Fri",D1291)))</formula>
    </cfRule>
    <cfRule type="containsText" dxfId="271" priority="320" operator="containsText" text="Thu">
      <formula>NOT(ISERROR(SEARCH("Thu",D1291)))</formula>
    </cfRule>
    <cfRule type="containsText" dxfId="270" priority="321" operator="containsText" text="Wed">
      <formula>NOT(ISERROR(SEARCH("Wed",D1291)))</formula>
    </cfRule>
    <cfRule type="containsText" dxfId="269" priority="322" operator="containsText" text="Tue">
      <formula>NOT(ISERROR(SEARCH("Tue",D1291)))</formula>
    </cfRule>
    <cfRule type="containsText" dxfId="268" priority="323" operator="containsText" text="Mon">
      <formula>NOT(ISERROR(SEARCH("Mon",D1291)))</formula>
    </cfRule>
  </conditionalFormatting>
  <conditionalFormatting sqref="A1291:B1292">
    <cfRule type="cellIs" dxfId="267" priority="318" operator="equal">
      <formula>0</formula>
    </cfRule>
  </conditionalFormatting>
  <conditionalFormatting sqref="D1293:D1294">
    <cfRule type="containsText" dxfId="266" priority="313" operator="containsText" text="Fri">
      <formula>NOT(ISERROR(SEARCH("Fri",D1293)))</formula>
    </cfRule>
    <cfRule type="containsText" dxfId="265" priority="314" operator="containsText" text="Thu">
      <formula>NOT(ISERROR(SEARCH("Thu",D1293)))</formula>
    </cfRule>
    <cfRule type="containsText" dxfId="264" priority="315" operator="containsText" text="Wed">
      <formula>NOT(ISERROR(SEARCH("Wed",D1293)))</formula>
    </cfRule>
    <cfRule type="containsText" dxfId="263" priority="316" operator="containsText" text="Tue">
      <formula>NOT(ISERROR(SEARCH("Tue",D1293)))</formula>
    </cfRule>
    <cfRule type="containsText" dxfId="262" priority="317" operator="containsText" text="Mon">
      <formula>NOT(ISERROR(SEARCH("Mon",D1293)))</formula>
    </cfRule>
  </conditionalFormatting>
  <conditionalFormatting sqref="A1293:B1294">
    <cfRule type="cellIs" dxfId="261" priority="312" operator="equal">
      <formula>0</formula>
    </cfRule>
  </conditionalFormatting>
  <conditionalFormatting sqref="D1295:D1299">
    <cfRule type="containsText" dxfId="260" priority="307" operator="containsText" text="Fri">
      <formula>NOT(ISERROR(SEARCH("Fri",D1295)))</formula>
    </cfRule>
    <cfRule type="containsText" dxfId="259" priority="308" operator="containsText" text="Thu">
      <formula>NOT(ISERROR(SEARCH("Thu",D1295)))</formula>
    </cfRule>
    <cfRule type="containsText" dxfId="258" priority="309" operator="containsText" text="Wed">
      <formula>NOT(ISERROR(SEARCH("Wed",D1295)))</formula>
    </cfRule>
    <cfRule type="containsText" dxfId="257" priority="310" operator="containsText" text="Tue">
      <formula>NOT(ISERROR(SEARCH("Tue",D1295)))</formula>
    </cfRule>
    <cfRule type="containsText" dxfId="256" priority="311" operator="containsText" text="Mon">
      <formula>NOT(ISERROR(SEARCH("Mon",D1295)))</formula>
    </cfRule>
  </conditionalFormatting>
  <conditionalFormatting sqref="A1295:B1300">
    <cfRule type="cellIs" dxfId="255" priority="306" operator="equal">
      <formula>0</formula>
    </cfRule>
  </conditionalFormatting>
  <conditionalFormatting sqref="D1300">
    <cfRule type="containsText" dxfId="254" priority="301" operator="containsText" text="Fri">
      <formula>NOT(ISERROR(SEARCH("Fri",D1300)))</formula>
    </cfRule>
    <cfRule type="containsText" dxfId="253" priority="302" operator="containsText" text="Thu">
      <formula>NOT(ISERROR(SEARCH("Thu",D1300)))</formula>
    </cfRule>
    <cfRule type="containsText" dxfId="252" priority="303" operator="containsText" text="Wed">
      <formula>NOT(ISERROR(SEARCH("Wed",D1300)))</formula>
    </cfRule>
    <cfRule type="containsText" dxfId="251" priority="304" operator="containsText" text="Tue">
      <formula>NOT(ISERROR(SEARCH("Tue",D1300)))</formula>
    </cfRule>
    <cfRule type="containsText" dxfId="250" priority="305" operator="containsText" text="Mon">
      <formula>NOT(ISERROR(SEARCH("Mon",D1300)))</formula>
    </cfRule>
  </conditionalFormatting>
  <conditionalFormatting sqref="D1301:D1316">
    <cfRule type="containsText" dxfId="249" priority="296" operator="containsText" text="Fri">
      <formula>NOT(ISERROR(SEARCH("Fri",D1301)))</formula>
    </cfRule>
    <cfRule type="containsText" dxfId="248" priority="297" operator="containsText" text="Thu">
      <formula>NOT(ISERROR(SEARCH("Thu",D1301)))</formula>
    </cfRule>
    <cfRule type="containsText" dxfId="247" priority="298" operator="containsText" text="Wed">
      <formula>NOT(ISERROR(SEARCH("Wed",D1301)))</formula>
    </cfRule>
    <cfRule type="containsText" dxfId="246" priority="299" operator="containsText" text="Tue">
      <formula>NOT(ISERROR(SEARCH("Tue",D1301)))</formula>
    </cfRule>
    <cfRule type="containsText" dxfId="245" priority="300" operator="containsText" text="Mon">
      <formula>NOT(ISERROR(SEARCH("Mon",D1301)))</formula>
    </cfRule>
  </conditionalFormatting>
  <conditionalFormatting sqref="E1301:K1331">
    <cfRule type="cellIs" dxfId="244" priority="295" operator="equal">
      <formula>0</formula>
    </cfRule>
  </conditionalFormatting>
  <conditionalFormatting sqref="A1301:B1308">
    <cfRule type="cellIs" dxfId="243" priority="294" operator="equal">
      <formula>0</formula>
    </cfRule>
  </conditionalFormatting>
  <conditionalFormatting sqref="A1309:B1316">
    <cfRule type="cellIs" dxfId="242" priority="293" operator="equal">
      <formula>0</formula>
    </cfRule>
  </conditionalFormatting>
  <conditionalFormatting sqref="D1317:D1323">
    <cfRule type="containsText" dxfId="241" priority="288" operator="containsText" text="Fri">
      <formula>NOT(ISERROR(SEARCH("Fri",D1317)))</formula>
    </cfRule>
    <cfRule type="containsText" dxfId="240" priority="289" operator="containsText" text="Thu">
      <formula>NOT(ISERROR(SEARCH("Thu",D1317)))</formula>
    </cfRule>
    <cfRule type="containsText" dxfId="239" priority="290" operator="containsText" text="Wed">
      <formula>NOT(ISERROR(SEARCH("Wed",D1317)))</formula>
    </cfRule>
    <cfRule type="containsText" dxfId="238" priority="291" operator="containsText" text="Tue">
      <formula>NOT(ISERROR(SEARCH("Tue",D1317)))</formula>
    </cfRule>
    <cfRule type="containsText" dxfId="237" priority="292" operator="containsText" text="Mon">
      <formula>NOT(ISERROR(SEARCH("Mon",D1317)))</formula>
    </cfRule>
  </conditionalFormatting>
  <conditionalFormatting sqref="A1317:B1323">
    <cfRule type="cellIs" dxfId="236" priority="287" operator="equal">
      <formula>0</formula>
    </cfRule>
  </conditionalFormatting>
  <conditionalFormatting sqref="D1324:D1329 D1331">
    <cfRule type="containsText" dxfId="235" priority="282" operator="containsText" text="Fri">
      <formula>NOT(ISERROR(SEARCH("Fri",D1324)))</formula>
    </cfRule>
    <cfRule type="containsText" dxfId="234" priority="283" operator="containsText" text="Thu">
      <formula>NOT(ISERROR(SEARCH("Thu",D1324)))</formula>
    </cfRule>
    <cfRule type="containsText" dxfId="233" priority="284" operator="containsText" text="Wed">
      <formula>NOT(ISERROR(SEARCH("Wed",D1324)))</formula>
    </cfRule>
    <cfRule type="containsText" dxfId="232" priority="285" operator="containsText" text="Tue">
      <formula>NOT(ISERROR(SEARCH("Tue",D1324)))</formula>
    </cfRule>
    <cfRule type="containsText" dxfId="231" priority="286" operator="containsText" text="Mon">
      <formula>NOT(ISERROR(SEARCH("Mon",D1324)))</formula>
    </cfRule>
  </conditionalFormatting>
  <conditionalFormatting sqref="D1330">
    <cfRule type="containsText" dxfId="230" priority="277" operator="containsText" text="Fri">
      <formula>NOT(ISERROR(SEARCH("Fri",D1330)))</formula>
    </cfRule>
    <cfRule type="containsText" dxfId="229" priority="278" operator="containsText" text="Thu">
      <formula>NOT(ISERROR(SEARCH("Thu",D1330)))</formula>
    </cfRule>
    <cfRule type="containsText" dxfId="228" priority="279" operator="containsText" text="Wed">
      <formula>NOT(ISERROR(SEARCH("Wed",D1330)))</formula>
    </cfRule>
    <cfRule type="containsText" dxfId="227" priority="280" operator="containsText" text="Tue">
      <formula>NOT(ISERROR(SEARCH("Tue",D1330)))</formula>
    </cfRule>
    <cfRule type="containsText" dxfId="226" priority="281" operator="containsText" text="Mon">
      <formula>NOT(ISERROR(SEARCH("Mon",D1330)))</formula>
    </cfRule>
  </conditionalFormatting>
  <conditionalFormatting sqref="A1324:B1331">
    <cfRule type="cellIs" dxfId="225" priority="276" operator="equal">
      <formula>0</formula>
    </cfRule>
  </conditionalFormatting>
  <conditionalFormatting sqref="D1332:D1339">
    <cfRule type="containsText" dxfId="224" priority="271" operator="containsText" text="Fri">
      <formula>NOT(ISERROR(SEARCH("Fri",D1332)))</formula>
    </cfRule>
    <cfRule type="containsText" dxfId="223" priority="272" operator="containsText" text="Thu">
      <formula>NOT(ISERROR(SEARCH("Thu",D1332)))</formula>
    </cfRule>
    <cfRule type="containsText" dxfId="222" priority="273" operator="containsText" text="Wed">
      <formula>NOT(ISERROR(SEARCH("Wed",D1332)))</formula>
    </cfRule>
    <cfRule type="containsText" dxfId="221" priority="274" operator="containsText" text="Tue">
      <formula>NOT(ISERROR(SEARCH("Tue",D1332)))</formula>
    </cfRule>
    <cfRule type="containsText" dxfId="220" priority="275" operator="containsText" text="Mon">
      <formula>NOT(ISERROR(SEARCH("Mon",D1332)))</formula>
    </cfRule>
  </conditionalFormatting>
  <conditionalFormatting sqref="E1332:K1355">
    <cfRule type="cellIs" dxfId="219" priority="270" operator="equal">
      <formula>0</formula>
    </cfRule>
  </conditionalFormatting>
  <conditionalFormatting sqref="A1332:B1339">
    <cfRule type="cellIs" dxfId="218" priority="269" operator="equal">
      <formula>0</formula>
    </cfRule>
  </conditionalFormatting>
  <conditionalFormatting sqref="D1340:D1347">
    <cfRule type="containsText" dxfId="217" priority="264" operator="containsText" text="Fri">
      <formula>NOT(ISERROR(SEARCH("Fri",D1340)))</formula>
    </cfRule>
    <cfRule type="containsText" dxfId="216" priority="265" operator="containsText" text="Thu">
      <formula>NOT(ISERROR(SEARCH("Thu",D1340)))</formula>
    </cfRule>
    <cfRule type="containsText" dxfId="215" priority="266" operator="containsText" text="Wed">
      <formula>NOT(ISERROR(SEARCH("Wed",D1340)))</formula>
    </cfRule>
    <cfRule type="containsText" dxfId="214" priority="267" operator="containsText" text="Tue">
      <formula>NOT(ISERROR(SEARCH("Tue",D1340)))</formula>
    </cfRule>
    <cfRule type="containsText" dxfId="213" priority="268" operator="containsText" text="Mon">
      <formula>NOT(ISERROR(SEARCH("Mon",D1340)))</formula>
    </cfRule>
  </conditionalFormatting>
  <conditionalFormatting sqref="A1340:B1347">
    <cfRule type="cellIs" dxfId="212" priority="263" operator="equal">
      <formula>0</formula>
    </cfRule>
  </conditionalFormatting>
  <conditionalFormatting sqref="D1348:D1353 D1355">
    <cfRule type="containsText" dxfId="211" priority="258" operator="containsText" text="Fri">
      <formula>NOT(ISERROR(SEARCH("Fri",D1348)))</formula>
    </cfRule>
    <cfRule type="containsText" dxfId="210" priority="259" operator="containsText" text="Thu">
      <formula>NOT(ISERROR(SEARCH("Thu",D1348)))</formula>
    </cfRule>
    <cfRule type="containsText" dxfId="209" priority="260" operator="containsText" text="Wed">
      <formula>NOT(ISERROR(SEARCH("Wed",D1348)))</formula>
    </cfRule>
    <cfRule type="containsText" dxfId="208" priority="261" operator="containsText" text="Tue">
      <formula>NOT(ISERROR(SEARCH("Tue",D1348)))</formula>
    </cfRule>
    <cfRule type="containsText" dxfId="207" priority="262" operator="containsText" text="Mon">
      <formula>NOT(ISERROR(SEARCH("Mon",D1348)))</formula>
    </cfRule>
  </conditionalFormatting>
  <conditionalFormatting sqref="D1354">
    <cfRule type="containsText" dxfId="206" priority="253" operator="containsText" text="Fri">
      <formula>NOT(ISERROR(SEARCH("Fri",D1354)))</formula>
    </cfRule>
    <cfRule type="containsText" dxfId="205" priority="254" operator="containsText" text="Thu">
      <formula>NOT(ISERROR(SEARCH("Thu",D1354)))</formula>
    </cfRule>
    <cfRule type="containsText" dxfId="204" priority="255" operator="containsText" text="Wed">
      <formula>NOT(ISERROR(SEARCH("Wed",D1354)))</formula>
    </cfRule>
    <cfRule type="containsText" dxfId="203" priority="256" operator="containsText" text="Tue">
      <formula>NOT(ISERROR(SEARCH("Tue",D1354)))</formula>
    </cfRule>
    <cfRule type="containsText" dxfId="202" priority="257" operator="containsText" text="Mon">
      <formula>NOT(ISERROR(SEARCH("Mon",D1354)))</formula>
    </cfRule>
  </conditionalFormatting>
  <conditionalFormatting sqref="A1348:B1355">
    <cfRule type="cellIs" dxfId="201" priority="252" operator="equal">
      <formula>0</formula>
    </cfRule>
  </conditionalFormatting>
  <conditionalFormatting sqref="E1356:K1372">
    <cfRule type="cellIs" dxfId="200" priority="112" operator="equal">
      <formula>0</formula>
    </cfRule>
  </conditionalFormatting>
  <conditionalFormatting sqref="D1356:D1363">
    <cfRule type="containsText" dxfId="199" priority="107" operator="containsText" text="Fri">
      <formula>NOT(ISERROR(SEARCH("Fri",D1356)))</formula>
    </cfRule>
    <cfRule type="containsText" dxfId="198" priority="108" operator="containsText" text="Thu">
      <formula>NOT(ISERROR(SEARCH("Thu",D1356)))</formula>
    </cfRule>
    <cfRule type="containsText" dxfId="197" priority="109" operator="containsText" text="Wed">
      <formula>NOT(ISERROR(SEARCH("Wed",D1356)))</formula>
    </cfRule>
    <cfRule type="containsText" dxfId="196" priority="110" operator="containsText" text="Tue">
      <formula>NOT(ISERROR(SEARCH("Tue",D1356)))</formula>
    </cfRule>
    <cfRule type="containsText" dxfId="195" priority="111" operator="containsText" text="Mon">
      <formula>NOT(ISERROR(SEARCH("Mon",D1356)))</formula>
    </cfRule>
  </conditionalFormatting>
  <conditionalFormatting sqref="A1356:B1363">
    <cfRule type="cellIs" dxfId="194" priority="106" operator="equal">
      <formula>0</formula>
    </cfRule>
  </conditionalFormatting>
  <conditionalFormatting sqref="D1364:D1369 D1371">
    <cfRule type="containsText" dxfId="193" priority="101" operator="containsText" text="Fri">
      <formula>NOT(ISERROR(SEARCH("Fri",D1364)))</formula>
    </cfRule>
    <cfRule type="containsText" dxfId="192" priority="102" operator="containsText" text="Thu">
      <formula>NOT(ISERROR(SEARCH("Thu",D1364)))</formula>
    </cfRule>
    <cfRule type="containsText" dxfId="191" priority="103" operator="containsText" text="Wed">
      <formula>NOT(ISERROR(SEARCH("Wed",D1364)))</formula>
    </cfRule>
    <cfRule type="containsText" dxfId="190" priority="104" operator="containsText" text="Tue">
      <formula>NOT(ISERROR(SEARCH("Tue",D1364)))</formula>
    </cfRule>
    <cfRule type="containsText" dxfId="189" priority="105" operator="containsText" text="Mon">
      <formula>NOT(ISERROR(SEARCH("Mon",D1364)))</formula>
    </cfRule>
  </conditionalFormatting>
  <conditionalFormatting sqref="D1370">
    <cfRule type="containsText" dxfId="188" priority="96" operator="containsText" text="Fri">
      <formula>NOT(ISERROR(SEARCH("Fri",D1370)))</formula>
    </cfRule>
    <cfRule type="containsText" dxfId="187" priority="97" operator="containsText" text="Thu">
      <formula>NOT(ISERROR(SEARCH("Thu",D1370)))</formula>
    </cfRule>
    <cfRule type="containsText" dxfId="186" priority="98" operator="containsText" text="Wed">
      <formula>NOT(ISERROR(SEARCH("Wed",D1370)))</formula>
    </cfRule>
    <cfRule type="containsText" dxfId="185" priority="99" operator="containsText" text="Tue">
      <formula>NOT(ISERROR(SEARCH("Tue",D1370)))</formula>
    </cfRule>
    <cfRule type="containsText" dxfId="184" priority="100" operator="containsText" text="Mon">
      <formula>NOT(ISERROR(SEARCH("Mon",D1370)))</formula>
    </cfRule>
  </conditionalFormatting>
  <conditionalFormatting sqref="A1364:B1372">
    <cfRule type="cellIs" dxfId="183" priority="95" operator="equal">
      <formula>0</formula>
    </cfRule>
  </conditionalFormatting>
  <conditionalFormatting sqref="D1372">
    <cfRule type="containsText" dxfId="182" priority="90" operator="containsText" text="Fri">
      <formula>NOT(ISERROR(SEARCH("Fri",D1372)))</formula>
    </cfRule>
    <cfRule type="containsText" dxfId="181" priority="91" operator="containsText" text="Thu">
      <formula>NOT(ISERROR(SEARCH("Thu",D1372)))</formula>
    </cfRule>
    <cfRule type="containsText" dxfId="180" priority="92" operator="containsText" text="Wed">
      <formula>NOT(ISERROR(SEARCH("Wed",D1372)))</formula>
    </cfRule>
    <cfRule type="containsText" dxfId="179" priority="93" operator="containsText" text="Tue">
      <formula>NOT(ISERROR(SEARCH("Tue",D1372)))</formula>
    </cfRule>
    <cfRule type="containsText" dxfId="178" priority="94" operator="containsText" text="Mon">
      <formula>NOT(ISERROR(SEARCH("Mon",D1372)))</formula>
    </cfRule>
  </conditionalFormatting>
  <conditionalFormatting sqref="D1373:D1391">
    <cfRule type="containsText" dxfId="177" priority="85" operator="containsText" text="Fri">
      <formula>NOT(ISERROR(SEARCH("Fri",D1373)))</formula>
    </cfRule>
    <cfRule type="containsText" dxfId="176" priority="86" operator="containsText" text="Thu">
      <formula>NOT(ISERROR(SEARCH("Thu",D1373)))</formula>
    </cfRule>
    <cfRule type="containsText" dxfId="175" priority="87" operator="containsText" text="Wed">
      <formula>NOT(ISERROR(SEARCH("Wed",D1373)))</formula>
    </cfRule>
    <cfRule type="containsText" dxfId="174" priority="88" operator="containsText" text="Tue">
      <formula>NOT(ISERROR(SEARCH("Tue",D1373)))</formula>
    </cfRule>
    <cfRule type="containsText" dxfId="173" priority="89" operator="containsText" text="Mon">
      <formula>NOT(ISERROR(SEARCH("Mon",D1373)))</formula>
    </cfRule>
  </conditionalFormatting>
  <conditionalFormatting sqref="E1373:K1447">
    <cfRule type="cellIs" dxfId="172" priority="84" operator="equal">
      <formula>0</formula>
    </cfRule>
  </conditionalFormatting>
  <conditionalFormatting sqref="A1373:B1382">
    <cfRule type="cellIs" dxfId="171" priority="83" operator="equal">
      <formula>0</formula>
    </cfRule>
  </conditionalFormatting>
  <conditionalFormatting sqref="D1392">
    <cfRule type="containsText" dxfId="170" priority="78" operator="containsText" text="Fri">
      <formula>NOT(ISERROR(SEARCH("Fri",D1392)))</formula>
    </cfRule>
    <cfRule type="containsText" dxfId="169" priority="79" operator="containsText" text="Thu">
      <formula>NOT(ISERROR(SEARCH("Thu",D1392)))</formula>
    </cfRule>
    <cfRule type="containsText" dxfId="168" priority="80" operator="containsText" text="Wed">
      <formula>NOT(ISERROR(SEARCH("Wed",D1392)))</formula>
    </cfRule>
    <cfRule type="containsText" dxfId="167" priority="81" operator="containsText" text="Tue">
      <formula>NOT(ISERROR(SEARCH("Tue",D1392)))</formula>
    </cfRule>
    <cfRule type="containsText" dxfId="166" priority="82" operator="containsText" text="Mon">
      <formula>NOT(ISERROR(SEARCH("Mon",D1392)))</formula>
    </cfRule>
  </conditionalFormatting>
  <conditionalFormatting sqref="A1383:B1392">
    <cfRule type="cellIs" dxfId="165" priority="77" operator="equal">
      <formula>0</formula>
    </cfRule>
  </conditionalFormatting>
  <conditionalFormatting sqref="D1393:D1401">
    <cfRule type="containsText" dxfId="164" priority="72" operator="containsText" text="Fri">
      <formula>NOT(ISERROR(SEARCH("Fri",D1393)))</formula>
    </cfRule>
    <cfRule type="containsText" dxfId="163" priority="73" operator="containsText" text="Thu">
      <formula>NOT(ISERROR(SEARCH("Thu",D1393)))</formula>
    </cfRule>
    <cfRule type="containsText" dxfId="162" priority="74" operator="containsText" text="Wed">
      <formula>NOT(ISERROR(SEARCH("Wed",D1393)))</formula>
    </cfRule>
    <cfRule type="containsText" dxfId="161" priority="75" operator="containsText" text="Tue">
      <formula>NOT(ISERROR(SEARCH("Tue",D1393)))</formula>
    </cfRule>
    <cfRule type="containsText" dxfId="160" priority="76" operator="containsText" text="Mon">
      <formula>NOT(ISERROR(SEARCH("Mon",D1393)))</formula>
    </cfRule>
  </conditionalFormatting>
  <conditionalFormatting sqref="A1393:B1401">
    <cfRule type="cellIs" dxfId="159" priority="71" operator="equal">
      <formula>0</formula>
    </cfRule>
  </conditionalFormatting>
  <conditionalFormatting sqref="D1402:D1407 D1409:D1410">
    <cfRule type="containsText" dxfId="158" priority="66" operator="containsText" text="Fri">
      <formula>NOT(ISERROR(SEARCH("Fri",D1402)))</formula>
    </cfRule>
    <cfRule type="containsText" dxfId="157" priority="67" operator="containsText" text="Thu">
      <formula>NOT(ISERROR(SEARCH("Thu",D1402)))</formula>
    </cfRule>
    <cfRule type="containsText" dxfId="156" priority="68" operator="containsText" text="Wed">
      <formula>NOT(ISERROR(SEARCH("Wed",D1402)))</formula>
    </cfRule>
    <cfRule type="containsText" dxfId="155" priority="69" operator="containsText" text="Tue">
      <formula>NOT(ISERROR(SEARCH("Tue",D1402)))</formula>
    </cfRule>
    <cfRule type="containsText" dxfId="154" priority="70" operator="containsText" text="Mon">
      <formula>NOT(ISERROR(SEARCH("Mon",D1402)))</formula>
    </cfRule>
  </conditionalFormatting>
  <conditionalFormatting sqref="D1408">
    <cfRule type="containsText" dxfId="153" priority="61" operator="containsText" text="Fri">
      <formula>NOT(ISERROR(SEARCH("Fri",D1408)))</formula>
    </cfRule>
    <cfRule type="containsText" dxfId="152" priority="62" operator="containsText" text="Thu">
      <formula>NOT(ISERROR(SEARCH("Thu",D1408)))</formula>
    </cfRule>
    <cfRule type="containsText" dxfId="151" priority="63" operator="containsText" text="Wed">
      <formula>NOT(ISERROR(SEARCH("Wed",D1408)))</formula>
    </cfRule>
    <cfRule type="containsText" dxfId="150" priority="64" operator="containsText" text="Tue">
      <formula>NOT(ISERROR(SEARCH("Tue",D1408)))</formula>
    </cfRule>
    <cfRule type="containsText" dxfId="149" priority="65" operator="containsText" text="Mon">
      <formula>NOT(ISERROR(SEARCH("Mon",D1408)))</formula>
    </cfRule>
  </conditionalFormatting>
  <conditionalFormatting sqref="D1411">
    <cfRule type="containsText" dxfId="148" priority="56" operator="containsText" text="Fri">
      <formula>NOT(ISERROR(SEARCH("Fri",D1411)))</formula>
    </cfRule>
    <cfRule type="containsText" dxfId="147" priority="57" operator="containsText" text="Thu">
      <formula>NOT(ISERROR(SEARCH("Thu",D1411)))</formula>
    </cfRule>
    <cfRule type="containsText" dxfId="146" priority="58" operator="containsText" text="Wed">
      <formula>NOT(ISERROR(SEARCH("Wed",D1411)))</formula>
    </cfRule>
    <cfRule type="containsText" dxfId="145" priority="59" operator="containsText" text="Tue">
      <formula>NOT(ISERROR(SEARCH("Tue",D1411)))</formula>
    </cfRule>
    <cfRule type="containsText" dxfId="144" priority="60" operator="containsText" text="Mon">
      <formula>NOT(ISERROR(SEARCH("Mon",D1411)))</formula>
    </cfRule>
  </conditionalFormatting>
  <conditionalFormatting sqref="A1402:B1411">
    <cfRule type="cellIs" dxfId="143" priority="55" operator="equal">
      <formula>0</formula>
    </cfRule>
  </conditionalFormatting>
  <conditionalFormatting sqref="D1412:D1420">
    <cfRule type="containsText" dxfId="142" priority="50" operator="containsText" text="Fri">
      <formula>NOT(ISERROR(SEARCH("Fri",D1412)))</formula>
    </cfRule>
    <cfRule type="containsText" dxfId="141" priority="51" operator="containsText" text="Thu">
      <formula>NOT(ISERROR(SEARCH("Thu",D1412)))</formula>
    </cfRule>
    <cfRule type="containsText" dxfId="140" priority="52" operator="containsText" text="Wed">
      <formula>NOT(ISERROR(SEARCH("Wed",D1412)))</formula>
    </cfRule>
    <cfRule type="containsText" dxfId="139" priority="53" operator="containsText" text="Tue">
      <formula>NOT(ISERROR(SEARCH("Tue",D1412)))</formula>
    </cfRule>
    <cfRule type="containsText" dxfId="138" priority="54" operator="containsText" text="Mon">
      <formula>NOT(ISERROR(SEARCH("Mon",D1412)))</formula>
    </cfRule>
  </conditionalFormatting>
  <conditionalFormatting sqref="A1412:B1420">
    <cfRule type="cellIs" dxfId="137" priority="49" operator="equal">
      <formula>0</formula>
    </cfRule>
  </conditionalFormatting>
  <conditionalFormatting sqref="D1427:D1428 D1421:D1425">
    <cfRule type="containsText" dxfId="136" priority="44" operator="containsText" text="Fri">
      <formula>NOT(ISERROR(SEARCH("Fri",D1421)))</formula>
    </cfRule>
    <cfRule type="containsText" dxfId="135" priority="45" operator="containsText" text="Thu">
      <formula>NOT(ISERROR(SEARCH("Thu",D1421)))</formula>
    </cfRule>
    <cfRule type="containsText" dxfId="134" priority="46" operator="containsText" text="Wed">
      <formula>NOT(ISERROR(SEARCH("Wed",D1421)))</formula>
    </cfRule>
    <cfRule type="containsText" dxfId="133" priority="47" operator="containsText" text="Tue">
      <formula>NOT(ISERROR(SEARCH("Tue",D1421)))</formula>
    </cfRule>
    <cfRule type="containsText" dxfId="132" priority="48" operator="containsText" text="Mon">
      <formula>NOT(ISERROR(SEARCH("Mon",D1421)))</formula>
    </cfRule>
  </conditionalFormatting>
  <conditionalFormatting sqref="A1421:B1429">
    <cfRule type="cellIs" dxfId="131" priority="43" operator="equal">
      <formula>0</formula>
    </cfRule>
  </conditionalFormatting>
  <conditionalFormatting sqref="D1426">
    <cfRule type="containsText" dxfId="130" priority="38" operator="containsText" text="Fri">
      <formula>NOT(ISERROR(SEARCH("Fri",D1426)))</formula>
    </cfRule>
    <cfRule type="containsText" dxfId="129" priority="39" operator="containsText" text="Thu">
      <formula>NOT(ISERROR(SEARCH("Thu",D1426)))</formula>
    </cfRule>
    <cfRule type="containsText" dxfId="128" priority="40" operator="containsText" text="Wed">
      <formula>NOT(ISERROR(SEARCH("Wed",D1426)))</formula>
    </cfRule>
    <cfRule type="containsText" dxfId="127" priority="41" operator="containsText" text="Tue">
      <formula>NOT(ISERROR(SEARCH("Tue",D1426)))</formula>
    </cfRule>
    <cfRule type="containsText" dxfId="126" priority="42" operator="containsText" text="Mon">
      <formula>NOT(ISERROR(SEARCH("Mon",D1426)))</formula>
    </cfRule>
  </conditionalFormatting>
  <conditionalFormatting sqref="D1429">
    <cfRule type="containsText" dxfId="125" priority="33" operator="containsText" text="Fri">
      <formula>NOT(ISERROR(SEARCH("Fri",D1429)))</formula>
    </cfRule>
    <cfRule type="containsText" dxfId="124" priority="34" operator="containsText" text="Thu">
      <formula>NOT(ISERROR(SEARCH("Thu",D1429)))</formula>
    </cfRule>
    <cfRule type="containsText" dxfId="123" priority="35" operator="containsText" text="Wed">
      <formula>NOT(ISERROR(SEARCH("Wed",D1429)))</formula>
    </cfRule>
    <cfRule type="containsText" dxfId="122" priority="36" operator="containsText" text="Tue">
      <formula>NOT(ISERROR(SEARCH("Tue",D1429)))</formula>
    </cfRule>
    <cfRule type="containsText" dxfId="121" priority="37" operator="containsText" text="Mon">
      <formula>NOT(ISERROR(SEARCH("Mon",D1429)))</formula>
    </cfRule>
  </conditionalFormatting>
  <conditionalFormatting sqref="D1436:D1437 D1430:D1434">
    <cfRule type="containsText" dxfId="120" priority="28" operator="containsText" text="Fri">
      <formula>NOT(ISERROR(SEARCH("Fri",D1430)))</formula>
    </cfRule>
    <cfRule type="containsText" dxfId="119" priority="29" operator="containsText" text="Thu">
      <formula>NOT(ISERROR(SEARCH("Thu",D1430)))</formula>
    </cfRule>
    <cfRule type="containsText" dxfId="118" priority="30" operator="containsText" text="Wed">
      <formula>NOT(ISERROR(SEARCH("Wed",D1430)))</formula>
    </cfRule>
    <cfRule type="containsText" dxfId="117" priority="31" operator="containsText" text="Tue">
      <formula>NOT(ISERROR(SEARCH("Tue",D1430)))</formula>
    </cfRule>
    <cfRule type="containsText" dxfId="116" priority="32" operator="containsText" text="Mon">
      <formula>NOT(ISERROR(SEARCH("Mon",D1430)))</formula>
    </cfRule>
  </conditionalFormatting>
  <conditionalFormatting sqref="A1430:B1438">
    <cfRule type="cellIs" dxfId="115" priority="27" operator="equal">
      <formula>0</formula>
    </cfRule>
  </conditionalFormatting>
  <conditionalFormatting sqref="D1435">
    <cfRule type="containsText" dxfId="114" priority="22" operator="containsText" text="Fri">
      <formula>NOT(ISERROR(SEARCH("Fri",D1435)))</formula>
    </cfRule>
    <cfRule type="containsText" dxfId="113" priority="23" operator="containsText" text="Thu">
      <formula>NOT(ISERROR(SEARCH("Thu",D1435)))</formula>
    </cfRule>
    <cfRule type="containsText" dxfId="112" priority="24" operator="containsText" text="Wed">
      <formula>NOT(ISERROR(SEARCH("Wed",D1435)))</formula>
    </cfRule>
    <cfRule type="containsText" dxfId="111" priority="25" operator="containsText" text="Tue">
      <formula>NOT(ISERROR(SEARCH("Tue",D1435)))</formula>
    </cfRule>
    <cfRule type="containsText" dxfId="110" priority="26" operator="containsText" text="Mon">
      <formula>NOT(ISERROR(SEARCH("Mon",D1435)))</formula>
    </cfRule>
  </conditionalFormatting>
  <conditionalFormatting sqref="D1438">
    <cfRule type="containsText" dxfId="109" priority="17" operator="containsText" text="Fri">
      <formula>NOT(ISERROR(SEARCH("Fri",D1438)))</formula>
    </cfRule>
    <cfRule type="containsText" dxfId="108" priority="18" operator="containsText" text="Thu">
      <formula>NOT(ISERROR(SEARCH("Thu",D1438)))</formula>
    </cfRule>
    <cfRule type="containsText" dxfId="107" priority="19" operator="containsText" text="Wed">
      <formula>NOT(ISERROR(SEARCH("Wed",D1438)))</formula>
    </cfRule>
    <cfRule type="containsText" dxfId="106" priority="20" operator="containsText" text="Tue">
      <formula>NOT(ISERROR(SEARCH("Tue",D1438)))</formula>
    </cfRule>
    <cfRule type="containsText" dxfId="105" priority="21" operator="containsText" text="Mon">
      <formula>NOT(ISERROR(SEARCH("Mon",D1438)))</formula>
    </cfRule>
  </conditionalFormatting>
  <conditionalFormatting sqref="D1445:D1446 D1439:D1443">
    <cfRule type="containsText" dxfId="104" priority="12" operator="containsText" text="Fri">
      <formula>NOT(ISERROR(SEARCH("Fri",D1439)))</formula>
    </cfRule>
    <cfRule type="containsText" dxfId="103" priority="13" operator="containsText" text="Thu">
      <formula>NOT(ISERROR(SEARCH("Thu",D1439)))</formula>
    </cfRule>
    <cfRule type="containsText" dxfId="102" priority="14" operator="containsText" text="Wed">
      <formula>NOT(ISERROR(SEARCH("Wed",D1439)))</formula>
    </cfRule>
    <cfRule type="containsText" dxfId="101" priority="15" operator="containsText" text="Tue">
      <formula>NOT(ISERROR(SEARCH("Tue",D1439)))</formula>
    </cfRule>
    <cfRule type="containsText" dxfId="100" priority="16" operator="containsText" text="Mon">
      <formula>NOT(ISERROR(SEARCH("Mon",D1439)))</formula>
    </cfRule>
  </conditionalFormatting>
  <conditionalFormatting sqref="A1439:B1447">
    <cfRule type="cellIs" dxfId="99" priority="11" operator="equal">
      <formula>0</formula>
    </cfRule>
  </conditionalFormatting>
  <conditionalFormatting sqref="D1444">
    <cfRule type="containsText" dxfId="98" priority="6" operator="containsText" text="Fri">
      <formula>NOT(ISERROR(SEARCH("Fri",D1444)))</formula>
    </cfRule>
    <cfRule type="containsText" dxfId="97" priority="7" operator="containsText" text="Thu">
      <formula>NOT(ISERROR(SEARCH("Thu",D1444)))</formula>
    </cfRule>
    <cfRule type="containsText" dxfId="96" priority="8" operator="containsText" text="Wed">
      <formula>NOT(ISERROR(SEARCH("Wed",D1444)))</formula>
    </cfRule>
    <cfRule type="containsText" dxfId="95" priority="9" operator="containsText" text="Tue">
      <formula>NOT(ISERROR(SEARCH("Tue",D1444)))</formula>
    </cfRule>
    <cfRule type="containsText" dxfId="94" priority="10" operator="containsText" text="Mon">
      <formula>NOT(ISERROR(SEARCH("Mon",D1444)))</formula>
    </cfRule>
  </conditionalFormatting>
  <conditionalFormatting sqref="D1447">
    <cfRule type="containsText" dxfId="93" priority="1" operator="containsText" text="Fri">
      <formula>NOT(ISERROR(SEARCH("Fri",D1447)))</formula>
    </cfRule>
    <cfRule type="containsText" dxfId="92" priority="2" operator="containsText" text="Thu">
      <formula>NOT(ISERROR(SEARCH("Thu",D1447)))</formula>
    </cfRule>
    <cfRule type="containsText" dxfId="91" priority="3" operator="containsText" text="Wed">
      <formula>NOT(ISERROR(SEARCH("Wed",D1447)))</formula>
    </cfRule>
    <cfRule type="containsText" dxfId="90" priority="4" operator="containsText" text="Tue">
      <formula>NOT(ISERROR(SEARCH("Tue",D1447)))</formula>
    </cfRule>
    <cfRule type="containsText" dxfId="89" priority="5" operator="containsText" text="Mon">
      <formula>NOT(ISERROR(SEARCH("Mon",D1447)))</formula>
    </cfRule>
  </conditionalFormatting>
  <dataValidations count="1">
    <dataValidation type="list" allowBlank="1" showInputMessage="1" showErrorMessage="1" sqref="B2:B79 B82:B150">
      <formula1>Staff_Name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zoomScale="130" zoomScaleNormal="130" workbookViewId="0">
      <selection activeCell="B3" sqref="B3"/>
    </sheetView>
  </sheetViews>
  <sheetFormatPr defaultRowHeight="15" x14ac:dyDescent="0.25"/>
  <cols>
    <col min="1" max="1" width="10" bestFit="1" customWidth="1"/>
  </cols>
  <sheetData>
    <row r="1" spans="1:2" x14ac:dyDescent="0.25">
      <c r="A1" t="s">
        <v>433</v>
      </c>
      <c r="B1" t="s">
        <v>434</v>
      </c>
    </row>
    <row r="2" spans="1:2" x14ac:dyDescent="0.25">
      <c r="A2" t="s">
        <v>435</v>
      </c>
      <c r="B2" t="s">
        <v>436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6"/>
  <sheetViews>
    <sheetView workbookViewId="0">
      <selection sqref="A1:M76"/>
    </sheetView>
  </sheetViews>
  <sheetFormatPr defaultRowHeight="15" x14ac:dyDescent="0.25"/>
  <cols>
    <col min="1" max="1" width="17.28515625" bestFit="1" customWidth="1"/>
    <col min="2" max="2" width="18.28515625" bestFit="1" customWidth="1"/>
    <col min="3" max="3" width="10.140625" bestFit="1" customWidth="1"/>
    <col min="10" max="10" width="32.42578125" bestFit="1" customWidth="1"/>
    <col min="11" max="11" width="18.42578125" bestFit="1" customWidth="1"/>
  </cols>
  <sheetData>
    <row r="1" spans="1:13" ht="63" x14ac:dyDescent="0.25">
      <c r="A1" s="62" t="s">
        <v>1</v>
      </c>
      <c r="B1" s="63" t="s">
        <v>2</v>
      </c>
      <c r="C1" s="62" t="s">
        <v>3</v>
      </c>
      <c r="D1" s="62" t="s">
        <v>4</v>
      </c>
      <c r="E1" s="62" t="s">
        <v>5</v>
      </c>
      <c r="F1" s="62" t="s">
        <v>6</v>
      </c>
      <c r="G1" s="62" t="s">
        <v>112</v>
      </c>
      <c r="H1" s="62" t="s">
        <v>113</v>
      </c>
      <c r="I1" s="64" t="s">
        <v>114</v>
      </c>
      <c r="J1" s="62" t="s">
        <v>7</v>
      </c>
      <c r="K1" s="62" t="s">
        <v>8</v>
      </c>
      <c r="L1" s="65" t="s">
        <v>15</v>
      </c>
      <c r="M1" s="62" t="s">
        <v>89</v>
      </c>
    </row>
    <row r="2" spans="1:13" ht="15.75" x14ac:dyDescent="0.25">
      <c r="A2" s="16" t="s">
        <v>0</v>
      </c>
      <c r="B2" s="17" t="s">
        <v>431</v>
      </c>
      <c r="C2" s="18">
        <v>43647</v>
      </c>
      <c r="D2" s="19" t="s">
        <v>21</v>
      </c>
      <c r="E2" s="20">
        <v>0.72916666666666674</v>
      </c>
      <c r="F2" s="20">
        <v>0.89583333333333337</v>
      </c>
      <c r="G2" s="21">
        <v>8.0000000000000036</v>
      </c>
      <c r="H2" s="21">
        <v>3.9999999999999982</v>
      </c>
      <c r="I2" s="21">
        <v>3.9999999999999982</v>
      </c>
      <c r="J2" s="24" t="s">
        <v>9</v>
      </c>
      <c r="K2" s="23" t="s">
        <v>437</v>
      </c>
      <c r="L2" s="17">
        <v>1</v>
      </c>
      <c r="M2" s="17" t="str">
        <f>IF($C2="","",TEXT(DATE(YEAR($C2),MONTH($C2),DAY($C2)),"MMM")&amp;"_"&amp;YEAR($C2))</f>
        <v>Jul_2019</v>
      </c>
    </row>
    <row r="3" spans="1:13" ht="15.75" x14ac:dyDescent="0.25">
      <c r="A3" s="16" t="s">
        <v>0</v>
      </c>
      <c r="B3" s="17" t="s">
        <v>12</v>
      </c>
      <c r="C3" s="18">
        <v>43647</v>
      </c>
      <c r="D3" s="19" t="s">
        <v>21</v>
      </c>
      <c r="E3" s="20">
        <v>0.72916666666666674</v>
      </c>
      <c r="F3" s="20">
        <v>0.89583333333333337</v>
      </c>
      <c r="G3" s="21">
        <v>8.0000000000000036</v>
      </c>
      <c r="H3" s="21">
        <v>3.9999999999999982</v>
      </c>
      <c r="I3" s="21">
        <v>3.9999999999999982</v>
      </c>
      <c r="J3" s="24" t="s">
        <v>9</v>
      </c>
      <c r="K3" s="23" t="s">
        <v>437</v>
      </c>
      <c r="L3" s="17">
        <v>1</v>
      </c>
      <c r="M3" s="17" t="str">
        <f t="shared" ref="M3:M66" si="0">IF($C3="","",TEXT(DATE(YEAR($C3),MONTH($C3),DAY($C3)),"MMM")&amp;"_"&amp;YEAR($C3))</f>
        <v>Jul_2019</v>
      </c>
    </row>
    <row r="4" spans="1:13" ht="15.75" x14ac:dyDescent="0.25">
      <c r="A4" s="16" t="s">
        <v>0</v>
      </c>
      <c r="B4" s="17" t="s">
        <v>68</v>
      </c>
      <c r="C4" s="18">
        <v>43647</v>
      </c>
      <c r="D4" s="19" t="s">
        <v>21</v>
      </c>
      <c r="E4" s="20">
        <v>0.72916666666666674</v>
      </c>
      <c r="F4" s="20">
        <v>0.89583333333333337</v>
      </c>
      <c r="G4" s="21">
        <v>8.0000000000000036</v>
      </c>
      <c r="H4" s="21">
        <v>3.9999999999999982</v>
      </c>
      <c r="I4" s="21">
        <v>3.9999999999999982</v>
      </c>
      <c r="J4" s="24" t="s">
        <v>9</v>
      </c>
      <c r="K4" s="23" t="s">
        <v>437</v>
      </c>
      <c r="L4" s="17">
        <v>1</v>
      </c>
      <c r="M4" s="17" t="str">
        <f t="shared" si="0"/>
        <v>Jul_2019</v>
      </c>
    </row>
    <row r="5" spans="1:13" ht="15.75" x14ac:dyDescent="0.25">
      <c r="A5" s="16" t="s">
        <v>0</v>
      </c>
      <c r="B5" s="17" t="s">
        <v>69</v>
      </c>
      <c r="C5" s="18">
        <v>43647</v>
      </c>
      <c r="D5" s="19" t="s">
        <v>21</v>
      </c>
      <c r="E5" s="20">
        <v>0.72916666666666674</v>
      </c>
      <c r="F5" s="20">
        <v>0.89583333333333337</v>
      </c>
      <c r="G5" s="21">
        <v>8.0000000000000036</v>
      </c>
      <c r="H5" s="21">
        <v>3.9999999999999982</v>
      </c>
      <c r="I5" s="21">
        <v>3.9999999999999982</v>
      </c>
      <c r="J5" s="24" t="s">
        <v>9</v>
      </c>
      <c r="K5" s="23" t="s">
        <v>437</v>
      </c>
      <c r="L5" s="17">
        <v>1</v>
      </c>
      <c r="M5" s="17" t="str">
        <f t="shared" si="0"/>
        <v>Jul_2019</v>
      </c>
    </row>
    <row r="6" spans="1:13" ht="15.75" x14ac:dyDescent="0.25">
      <c r="A6" s="16" t="s">
        <v>0</v>
      </c>
      <c r="B6" s="17" t="s">
        <v>361</v>
      </c>
      <c r="C6" s="18">
        <v>43647</v>
      </c>
      <c r="D6" s="19" t="s">
        <v>21</v>
      </c>
      <c r="E6" s="20">
        <v>0.6875</v>
      </c>
      <c r="F6" s="20">
        <v>0.85416666666666663</v>
      </c>
      <c r="G6" s="21">
        <v>8.0000000000000036</v>
      </c>
      <c r="H6" s="21">
        <v>3.9999999999999964</v>
      </c>
      <c r="I6" s="21">
        <v>3.9999999999999964</v>
      </c>
      <c r="J6" s="24" t="s">
        <v>9</v>
      </c>
      <c r="K6" s="23" t="s">
        <v>437</v>
      </c>
      <c r="L6" s="17">
        <v>1</v>
      </c>
      <c r="M6" s="17" t="str">
        <f t="shared" si="0"/>
        <v>Jul_2019</v>
      </c>
    </row>
    <row r="7" spans="1:13" ht="15.75" x14ac:dyDescent="0.25">
      <c r="A7" s="16" t="s">
        <v>0</v>
      </c>
      <c r="B7" s="17" t="s">
        <v>367</v>
      </c>
      <c r="C7" s="18">
        <v>43647</v>
      </c>
      <c r="D7" s="19" t="s">
        <v>21</v>
      </c>
      <c r="E7" s="20">
        <v>0.72916666666666674</v>
      </c>
      <c r="F7" s="20">
        <v>0.89583333333333337</v>
      </c>
      <c r="G7" s="21">
        <v>8.0000000000000036</v>
      </c>
      <c r="H7" s="21">
        <v>3.9999999999999982</v>
      </c>
      <c r="I7" s="21">
        <v>3.9999999999999982</v>
      </c>
      <c r="J7" s="24" t="s">
        <v>9</v>
      </c>
      <c r="K7" s="23" t="s">
        <v>437</v>
      </c>
      <c r="L7" s="17">
        <v>1</v>
      </c>
      <c r="M7" s="17" t="str">
        <f t="shared" si="0"/>
        <v>Jul_2019</v>
      </c>
    </row>
    <row r="8" spans="1:13" ht="15.75" x14ac:dyDescent="0.25">
      <c r="A8" s="16" t="s">
        <v>0</v>
      </c>
      <c r="B8" s="17" t="s">
        <v>393</v>
      </c>
      <c r="C8" s="18">
        <v>43647</v>
      </c>
      <c r="D8" s="19" t="s">
        <v>21</v>
      </c>
      <c r="E8" s="20">
        <v>0.72916666666666674</v>
      </c>
      <c r="F8" s="20">
        <v>0.89583333333333337</v>
      </c>
      <c r="G8" s="21">
        <v>8.0000000000000036</v>
      </c>
      <c r="H8" s="21">
        <v>3.9999999999999982</v>
      </c>
      <c r="I8" s="21">
        <v>3.9999999999999982</v>
      </c>
      <c r="J8" s="24" t="s">
        <v>9</v>
      </c>
      <c r="K8" s="23" t="s">
        <v>437</v>
      </c>
      <c r="L8" s="17">
        <v>1</v>
      </c>
      <c r="M8" s="17" t="str">
        <f t="shared" si="0"/>
        <v>Jul_2019</v>
      </c>
    </row>
    <row r="9" spans="1:13" ht="15.75" x14ac:dyDescent="0.25">
      <c r="A9" s="16" t="s">
        <v>0</v>
      </c>
      <c r="B9" s="17" t="s">
        <v>416</v>
      </c>
      <c r="C9" s="18">
        <v>43647</v>
      </c>
      <c r="D9" s="19" t="s">
        <v>21</v>
      </c>
      <c r="E9" s="20">
        <v>0.72916666666666674</v>
      </c>
      <c r="F9" s="20">
        <v>0.89583333333333337</v>
      </c>
      <c r="G9" s="21">
        <v>8.0000000000000036</v>
      </c>
      <c r="H9" s="21">
        <v>3.9999999999999982</v>
      </c>
      <c r="I9" s="21">
        <v>3.9999999999999982</v>
      </c>
      <c r="J9" s="24" t="s">
        <v>9</v>
      </c>
      <c r="K9" s="23" t="s">
        <v>437</v>
      </c>
      <c r="L9" s="17">
        <v>1</v>
      </c>
      <c r="M9" s="17" t="str">
        <f t="shared" si="0"/>
        <v>Jul_2019</v>
      </c>
    </row>
    <row r="10" spans="1:13" ht="15.75" x14ac:dyDescent="0.25">
      <c r="A10" s="16" t="s">
        <v>0</v>
      </c>
      <c r="B10" s="17" t="s">
        <v>417</v>
      </c>
      <c r="C10" s="18">
        <v>43647</v>
      </c>
      <c r="D10" s="19" t="s">
        <v>21</v>
      </c>
      <c r="E10" s="20">
        <v>0.72916666666666674</v>
      </c>
      <c r="F10" s="20">
        <v>0.89583333333333337</v>
      </c>
      <c r="G10" s="21">
        <v>8.0000000000000036</v>
      </c>
      <c r="H10" s="21">
        <v>3.9999999999999982</v>
      </c>
      <c r="I10" s="21">
        <v>3.9999999999999982</v>
      </c>
      <c r="J10" s="24" t="s">
        <v>9</v>
      </c>
      <c r="K10" s="23" t="s">
        <v>437</v>
      </c>
      <c r="L10" s="17">
        <v>1</v>
      </c>
      <c r="M10" s="17" t="str">
        <f t="shared" si="0"/>
        <v>Jul_2019</v>
      </c>
    </row>
    <row r="11" spans="1:13" ht="15.75" x14ac:dyDescent="0.25">
      <c r="A11" s="16" t="s">
        <v>0</v>
      </c>
      <c r="B11" s="17" t="s">
        <v>430</v>
      </c>
      <c r="C11" s="18">
        <v>43647</v>
      </c>
      <c r="D11" s="19" t="s">
        <v>21</v>
      </c>
      <c r="E11" s="20">
        <v>0.72916666666666674</v>
      </c>
      <c r="F11" s="20">
        <v>0.89583333333333337</v>
      </c>
      <c r="G11" s="21">
        <v>8.0000000000000036</v>
      </c>
      <c r="H11" s="21">
        <v>3.9999999999999982</v>
      </c>
      <c r="I11" s="21">
        <v>3.9999999999999982</v>
      </c>
      <c r="J11" s="24" t="s">
        <v>9</v>
      </c>
      <c r="K11" s="23" t="s">
        <v>437</v>
      </c>
      <c r="L11" s="17">
        <v>1</v>
      </c>
      <c r="M11" s="17" t="str">
        <f t="shared" si="0"/>
        <v>Jul_2019</v>
      </c>
    </row>
    <row r="12" spans="1:13" ht="15.75" x14ac:dyDescent="0.25">
      <c r="A12" s="16" t="s">
        <v>0</v>
      </c>
      <c r="B12" s="17" t="s">
        <v>431</v>
      </c>
      <c r="C12" s="18">
        <v>43648</v>
      </c>
      <c r="D12" s="19" t="s">
        <v>16</v>
      </c>
      <c r="E12" s="20">
        <v>0.72916666666666674</v>
      </c>
      <c r="F12" s="20">
        <v>0.89583333333333337</v>
      </c>
      <c r="G12" s="21">
        <v>8.0000000000000036</v>
      </c>
      <c r="H12" s="21">
        <v>3.9999999999999982</v>
      </c>
      <c r="I12" s="21">
        <v>3.9999999999999982</v>
      </c>
      <c r="J12" s="24" t="s">
        <v>9</v>
      </c>
      <c r="K12" s="23" t="s">
        <v>438</v>
      </c>
      <c r="L12" s="17">
        <v>1</v>
      </c>
      <c r="M12" s="17" t="str">
        <f t="shared" si="0"/>
        <v>Jul_2019</v>
      </c>
    </row>
    <row r="13" spans="1:13" ht="15.75" x14ac:dyDescent="0.25">
      <c r="A13" s="16" t="s">
        <v>0</v>
      </c>
      <c r="B13" s="17" t="s">
        <v>12</v>
      </c>
      <c r="C13" s="18">
        <v>43648</v>
      </c>
      <c r="D13" s="19" t="s">
        <v>16</v>
      </c>
      <c r="E13" s="20">
        <v>0.72916666666666674</v>
      </c>
      <c r="F13" s="20">
        <v>0.89583333333333337</v>
      </c>
      <c r="G13" s="21">
        <v>8.0000000000000036</v>
      </c>
      <c r="H13" s="21">
        <v>3.9999999999999982</v>
      </c>
      <c r="I13" s="21">
        <v>3.9999999999999982</v>
      </c>
      <c r="J13" s="24" t="s">
        <v>9</v>
      </c>
      <c r="K13" s="23" t="s">
        <v>438</v>
      </c>
      <c r="L13" s="17">
        <v>1</v>
      </c>
      <c r="M13" s="17" t="str">
        <f t="shared" si="0"/>
        <v>Jul_2019</v>
      </c>
    </row>
    <row r="14" spans="1:13" ht="15.75" x14ac:dyDescent="0.25">
      <c r="A14" s="16" t="s">
        <v>0</v>
      </c>
      <c r="B14" s="17" t="s">
        <v>68</v>
      </c>
      <c r="C14" s="18">
        <v>43648</v>
      </c>
      <c r="D14" s="19" t="s">
        <v>16</v>
      </c>
      <c r="E14" s="20">
        <v>0.72916666666666674</v>
      </c>
      <c r="F14" s="20">
        <v>0.89583333333333337</v>
      </c>
      <c r="G14" s="21">
        <v>8.0000000000000036</v>
      </c>
      <c r="H14" s="21">
        <v>3.9999999999999982</v>
      </c>
      <c r="I14" s="21">
        <v>3.9999999999999982</v>
      </c>
      <c r="J14" s="24" t="s">
        <v>9</v>
      </c>
      <c r="K14" s="23" t="s">
        <v>438</v>
      </c>
      <c r="L14" s="17">
        <v>1</v>
      </c>
      <c r="M14" s="17" t="str">
        <f t="shared" si="0"/>
        <v>Jul_2019</v>
      </c>
    </row>
    <row r="15" spans="1:13" ht="15.75" x14ac:dyDescent="0.25">
      <c r="A15" s="16" t="s">
        <v>0</v>
      </c>
      <c r="B15" s="17" t="s">
        <v>69</v>
      </c>
      <c r="C15" s="18">
        <v>43648</v>
      </c>
      <c r="D15" s="19" t="s">
        <v>16</v>
      </c>
      <c r="E15" s="20">
        <v>0.6875</v>
      </c>
      <c r="F15" s="20">
        <v>0.85416666666666663</v>
      </c>
      <c r="G15" s="21">
        <v>8.0000000000000036</v>
      </c>
      <c r="H15" s="21">
        <v>3.9999999999999964</v>
      </c>
      <c r="I15" s="21">
        <v>3.9999999999999964</v>
      </c>
      <c r="J15" s="24" t="s">
        <v>9</v>
      </c>
      <c r="K15" s="23" t="s">
        <v>438</v>
      </c>
      <c r="L15" s="17">
        <v>1</v>
      </c>
      <c r="M15" s="17" t="str">
        <f t="shared" si="0"/>
        <v>Jul_2019</v>
      </c>
    </row>
    <row r="16" spans="1:13" ht="15.75" x14ac:dyDescent="0.25">
      <c r="A16" s="16" t="s">
        <v>0</v>
      </c>
      <c r="B16" s="17" t="s">
        <v>361</v>
      </c>
      <c r="C16" s="18">
        <v>43648</v>
      </c>
      <c r="D16" s="19" t="s">
        <v>16</v>
      </c>
      <c r="E16" s="20">
        <v>0.72916666666666674</v>
      </c>
      <c r="F16" s="20">
        <v>0.89583333333333337</v>
      </c>
      <c r="G16" s="21">
        <v>8.0000000000000036</v>
      </c>
      <c r="H16" s="21">
        <v>3.9999999999999982</v>
      </c>
      <c r="I16" s="21">
        <v>3.9999999999999982</v>
      </c>
      <c r="J16" s="24" t="s">
        <v>9</v>
      </c>
      <c r="K16" s="23" t="s">
        <v>438</v>
      </c>
      <c r="L16" s="17">
        <v>1</v>
      </c>
      <c r="M16" s="17" t="str">
        <f t="shared" si="0"/>
        <v>Jul_2019</v>
      </c>
    </row>
    <row r="17" spans="1:13" ht="15.75" x14ac:dyDescent="0.25">
      <c r="A17" s="16" t="s">
        <v>0</v>
      </c>
      <c r="B17" s="17" t="s">
        <v>367</v>
      </c>
      <c r="C17" s="18">
        <v>43648</v>
      </c>
      <c r="D17" s="19" t="s">
        <v>16</v>
      </c>
      <c r="E17" s="20">
        <v>0.72916666666666674</v>
      </c>
      <c r="F17" s="20">
        <v>0.89583333333333337</v>
      </c>
      <c r="G17" s="21">
        <v>8.0000000000000036</v>
      </c>
      <c r="H17" s="21">
        <v>3.9999999999999982</v>
      </c>
      <c r="I17" s="21">
        <v>3.9999999999999982</v>
      </c>
      <c r="J17" s="24" t="s">
        <v>9</v>
      </c>
      <c r="K17" s="23" t="s">
        <v>438</v>
      </c>
      <c r="L17" s="17">
        <v>1</v>
      </c>
      <c r="M17" s="17" t="str">
        <f t="shared" si="0"/>
        <v>Jul_2019</v>
      </c>
    </row>
    <row r="18" spans="1:13" ht="15.75" x14ac:dyDescent="0.25">
      <c r="A18" s="16" t="s">
        <v>0</v>
      </c>
      <c r="B18" s="17" t="s">
        <v>393</v>
      </c>
      <c r="C18" s="18">
        <v>43648</v>
      </c>
      <c r="D18" s="19" t="s">
        <v>16</v>
      </c>
      <c r="E18" s="20">
        <v>0.72916666666666674</v>
      </c>
      <c r="F18" s="20">
        <v>0.89583333333333337</v>
      </c>
      <c r="G18" s="21">
        <v>8.0000000000000036</v>
      </c>
      <c r="H18" s="21">
        <v>3.9999999999999982</v>
      </c>
      <c r="I18" s="21">
        <v>3.9999999999999982</v>
      </c>
      <c r="J18" s="24" t="s">
        <v>9</v>
      </c>
      <c r="K18" s="23" t="s">
        <v>438</v>
      </c>
      <c r="L18" s="17">
        <v>1</v>
      </c>
      <c r="M18" s="17" t="str">
        <f t="shared" si="0"/>
        <v>Jul_2019</v>
      </c>
    </row>
    <row r="19" spans="1:13" ht="15.75" x14ac:dyDescent="0.25">
      <c r="A19" s="16" t="s">
        <v>0</v>
      </c>
      <c r="B19" s="17" t="s">
        <v>416</v>
      </c>
      <c r="C19" s="18">
        <v>43648</v>
      </c>
      <c r="D19" s="19" t="s">
        <v>16</v>
      </c>
      <c r="E19" s="20">
        <v>0.72916666666666674</v>
      </c>
      <c r="F19" s="20">
        <v>0.89583333333333337</v>
      </c>
      <c r="G19" s="21">
        <v>8.0000000000000036</v>
      </c>
      <c r="H19" s="21">
        <v>3.9999999999999982</v>
      </c>
      <c r="I19" s="21">
        <v>3.9999999999999982</v>
      </c>
      <c r="J19" s="24" t="s">
        <v>9</v>
      </c>
      <c r="K19" s="23" t="s">
        <v>438</v>
      </c>
      <c r="L19" s="17">
        <v>1</v>
      </c>
      <c r="M19" s="17" t="str">
        <f t="shared" si="0"/>
        <v>Jul_2019</v>
      </c>
    </row>
    <row r="20" spans="1:13" ht="15.75" x14ac:dyDescent="0.25">
      <c r="A20" s="16" t="s">
        <v>0</v>
      </c>
      <c r="B20" s="17" t="s">
        <v>417</v>
      </c>
      <c r="C20" s="18">
        <v>43648</v>
      </c>
      <c r="D20" s="19" t="s">
        <v>16</v>
      </c>
      <c r="E20" s="20">
        <v>0.72916666666666674</v>
      </c>
      <c r="F20" s="20">
        <v>0.89583333333333337</v>
      </c>
      <c r="G20" s="21">
        <v>8.0000000000000036</v>
      </c>
      <c r="H20" s="21">
        <v>3.9999999999999982</v>
      </c>
      <c r="I20" s="21">
        <v>3.9999999999999982</v>
      </c>
      <c r="J20" s="24" t="s">
        <v>9</v>
      </c>
      <c r="K20" s="23" t="s">
        <v>438</v>
      </c>
      <c r="L20" s="17">
        <v>1</v>
      </c>
      <c r="M20" s="17" t="str">
        <f t="shared" si="0"/>
        <v>Jul_2019</v>
      </c>
    </row>
    <row r="21" spans="1:13" ht="15.75" x14ac:dyDescent="0.25">
      <c r="A21" s="16" t="s">
        <v>0</v>
      </c>
      <c r="B21" s="17" t="s">
        <v>430</v>
      </c>
      <c r="C21" s="18">
        <v>43648</v>
      </c>
      <c r="D21" s="19" t="s">
        <v>16</v>
      </c>
      <c r="E21" s="20">
        <v>0.72916666666666674</v>
      </c>
      <c r="F21" s="20">
        <v>0.89583333333333337</v>
      </c>
      <c r="G21" s="21">
        <v>8.0000000000000036</v>
      </c>
      <c r="H21" s="21">
        <v>3.9999999999999982</v>
      </c>
      <c r="I21" s="21">
        <v>3.9999999999999982</v>
      </c>
      <c r="J21" s="24" t="s">
        <v>9</v>
      </c>
      <c r="K21" s="23" t="s">
        <v>438</v>
      </c>
      <c r="L21" s="17">
        <v>1</v>
      </c>
      <c r="M21" s="17" t="str">
        <f t="shared" si="0"/>
        <v>Jul_2019</v>
      </c>
    </row>
    <row r="22" spans="1:13" ht="15.75" x14ac:dyDescent="0.25">
      <c r="A22" s="16" t="s">
        <v>0</v>
      </c>
      <c r="B22" s="17" t="s">
        <v>431</v>
      </c>
      <c r="C22" s="18">
        <v>43649</v>
      </c>
      <c r="D22" s="19" t="s">
        <v>19</v>
      </c>
      <c r="E22" s="20">
        <v>0.72916666666666674</v>
      </c>
      <c r="F22" s="20">
        <v>0.89583333333333337</v>
      </c>
      <c r="G22" s="21">
        <v>8.0000000000000036</v>
      </c>
      <c r="H22" s="21">
        <v>3.9999999999999982</v>
      </c>
      <c r="I22" s="21">
        <v>3.9999999999999982</v>
      </c>
      <c r="J22" s="24" t="s">
        <v>9</v>
      </c>
      <c r="K22" s="23" t="s">
        <v>439</v>
      </c>
      <c r="L22" s="17">
        <v>1</v>
      </c>
      <c r="M22" s="17" t="str">
        <f t="shared" si="0"/>
        <v>Jul_2019</v>
      </c>
    </row>
    <row r="23" spans="1:13" ht="15.75" x14ac:dyDescent="0.25">
      <c r="A23" s="16" t="s">
        <v>0</v>
      </c>
      <c r="B23" s="17" t="s">
        <v>12</v>
      </c>
      <c r="C23" s="18">
        <v>43649</v>
      </c>
      <c r="D23" s="19" t="s">
        <v>19</v>
      </c>
      <c r="E23" s="20">
        <v>0.72916666666666674</v>
      </c>
      <c r="F23" s="20">
        <v>0.89583333333333337</v>
      </c>
      <c r="G23" s="21">
        <v>8.0000000000000036</v>
      </c>
      <c r="H23" s="21">
        <v>3.9999999999999982</v>
      </c>
      <c r="I23" s="21">
        <v>3.9999999999999982</v>
      </c>
      <c r="J23" s="24" t="s">
        <v>9</v>
      </c>
      <c r="K23" s="23" t="s">
        <v>439</v>
      </c>
      <c r="L23" s="17">
        <v>1</v>
      </c>
      <c r="M23" s="17" t="str">
        <f t="shared" si="0"/>
        <v>Jul_2019</v>
      </c>
    </row>
    <row r="24" spans="1:13" ht="15.75" x14ac:dyDescent="0.25">
      <c r="A24" s="16" t="s">
        <v>0</v>
      </c>
      <c r="B24" s="17" t="s">
        <v>68</v>
      </c>
      <c r="C24" s="18">
        <v>43649</v>
      </c>
      <c r="D24" s="19" t="s">
        <v>19</v>
      </c>
      <c r="E24" s="20">
        <v>0.72916666666666674</v>
      </c>
      <c r="F24" s="20">
        <v>0.89583333333333337</v>
      </c>
      <c r="G24" s="21">
        <v>8.0000000000000036</v>
      </c>
      <c r="H24" s="21">
        <v>3.9999999999999982</v>
      </c>
      <c r="I24" s="21">
        <v>3.9999999999999982</v>
      </c>
      <c r="J24" s="24" t="s">
        <v>9</v>
      </c>
      <c r="K24" s="23" t="s">
        <v>439</v>
      </c>
      <c r="L24" s="17">
        <v>1</v>
      </c>
      <c r="M24" s="17" t="str">
        <f t="shared" si="0"/>
        <v>Jul_2019</v>
      </c>
    </row>
    <row r="25" spans="1:13" ht="15.75" x14ac:dyDescent="0.25">
      <c r="A25" s="16" t="s">
        <v>0</v>
      </c>
      <c r="B25" s="17" t="s">
        <v>69</v>
      </c>
      <c r="C25" s="18">
        <v>43649</v>
      </c>
      <c r="D25" s="19" t="s">
        <v>19</v>
      </c>
      <c r="E25" s="20">
        <v>0.72916666666666674</v>
      </c>
      <c r="F25" s="20">
        <v>0.89583333333333337</v>
      </c>
      <c r="G25" s="21">
        <v>8.0000000000000036</v>
      </c>
      <c r="H25" s="21">
        <v>3.9999999999999982</v>
      </c>
      <c r="I25" s="21">
        <v>3.9999999999999982</v>
      </c>
      <c r="J25" s="24" t="s">
        <v>9</v>
      </c>
      <c r="K25" s="23" t="s">
        <v>439</v>
      </c>
      <c r="L25" s="17">
        <v>1</v>
      </c>
      <c r="M25" s="17" t="str">
        <f t="shared" si="0"/>
        <v>Jul_2019</v>
      </c>
    </row>
    <row r="26" spans="1:13" ht="15.75" x14ac:dyDescent="0.25">
      <c r="A26" s="16" t="s">
        <v>0</v>
      </c>
      <c r="B26" s="17" t="s">
        <v>361</v>
      </c>
      <c r="C26" s="18">
        <v>43649</v>
      </c>
      <c r="D26" s="19" t="s">
        <v>19</v>
      </c>
      <c r="E26" s="20">
        <v>0.72916666666666674</v>
      </c>
      <c r="F26" s="20">
        <v>0.89583333333333337</v>
      </c>
      <c r="G26" s="21">
        <v>8.0000000000000036</v>
      </c>
      <c r="H26" s="21">
        <v>3.9999999999999982</v>
      </c>
      <c r="I26" s="21">
        <v>3.9999999999999982</v>
      </c>
      <c r="J26" s="24" t="s">
        <v>9</v>
      </c>
      <c r="K26" s="23" t="s">
        <v>439</v>
      </c>
      <c r="L26" s="17">
        <v>1</v>
      </c>
      <c r="M26" s="17" t="str">
        <f t="shared" si="0"/>
        <v>Jul_2019</v>
      </c>
    </row>
    <row r="27" spans="1:13" ht="15.75" x14ac:dyDescent="0.25">
      <c r="A27" s="16" t="s">
        <v>0</v>
      </c>
      <c r="B27" s="17" t="s">
        <v>367</v>
      </c>
      <c r="C27" s="18">
        <v>43649</v>
      </c>
      <c r="D27" s="19" t="s">
        <v>19</v>
      </c>
      <c r="E27" s="20">
        <v>0.72916666666666674</v>
      </c>
      <c r="F27" s="20">
        <v>0.89583333333333337</v>
      </c>
      <c r="G27" s="21">
        <v>8.0000000000000036</v>
      </c>
      <c r="H27" s="21">
        <v>3.9999999999999982</v>
      </c>
      <c r="I27" s="21">
        <v>3.9999999999999982</v>
      </c>
      <c r="J27" s="24" t="s">
        <v>9</v>
      </c>
      <c r="K27" s="23" t="s">
        <v>439</v>
      </c>
      <c r="L27" s="17">
        <v>1</v>
      </c>
      <c r="M27" s="17" t="str">
        <f t="shared" si="0"/>
        <v>Jul_2019</v>
      </c>
    </row>
    <row r="28" spans="1:13" ht="15.75" x14ac:dyDescent="0.25">
      <c r="A28" s="16" t="s">
        <v>0</v>
      </c>
      <c r="B28" s="17" t="s">
        <v>393</v>
      </c>
      <c r="C28" s="18">
        <v>43649</v>
      </c>
      <c r="D28" s="19" t="s">
        <v>19</v>
      </c>
      <c r="E28" s="20">
        <v>0.64583333333333326</v>
      </c>
      <c r="F28" s="20">
        <v>0.89583333333333337</v>
      </c>
      <c r="G28" s="21">
        <v>8.0000000000000036</v>
      </c>
      <c r="H28" s="21">
        <v>5.9999999999999964</v>
      </c>
      <c r="I28" s="21">
        <v>5.9999999999999964</v>
      </c>
      <c r="J28" s="24" t="s">
        <v>9</v>
      </c>
      <c r="K28" s="23" t="s">
        <v>439</v>
      </c>
      <c r="L28" s="17">
        <v>1</v>
      </c>
      <c r="M28" s="17" t="str">
        <f t="shared" si="0"/>
        <v>Jul_2019</v>
      </c>
    </row>
    <row r="29" spans="1:13" ht="15.75" x14ac:dyDescent="0.25">
      <c r="A29" s="16" t="s">
        <v>0</v>
      </c>
      <c r="B29" s="17" t="s">
        <v>416</v>
      </c>
      <c r="C29" s="18">
        <v>43649</v>
      </c>
      <c r="D29" s="19" t="s">
        <v>19</v>
      </c>
      <c r="E29" s="20">
        <v>0.72916666666666674</v>
      </c>
      <c r="F29" s="20">
        <v>0.89583333333333337</v>
      </c>
      <c r="G29" s="21">
        <v>8.0000000000000036</v>
      </c>
      <c r="H29" s="21">
        <v>3.9999999999999982</v>
      </c>
      <c r="I29" s="21">
        <v>3.9999999999999982</v>
      </c>
      <c r="J29" s="24" t="s">
        <v>9</v>
      </c>
      <c r="K29" s="23" t="s">
        <v>439</v>
      </c>
      <c r="L29" s="17">
        <v>1</v>
      </c>
      <c r="M29" s="17" t="str">
        <f t="shared" si="0"/>
        <v>Jul_2019</v>
      </c>
    </row>
    <row r="30" spans="1:13" ht="15.75" x14ac:dyDescent="0.25">
      <c r="A30" s="16" t="s">
        <v>0</v>
      </c>
      <c r="B30" s="17" t="s">
        <v>417</v>
      </c>
      <c r="C30" s="18">
        <v>43649</v>
      </c>
      <c r="D30" s="19" t="s">
        <v>19</v>
      </c>
      <c r="E30" s="20">
        <v>0.72916666666666674</v>
      </c>
      <c r="F30" s="20">
        <v>0.89583333333333337</v>
      </c>
      <c r="G30" s="21">
        <v>8.0000000000000036</v>
      </c>
      <c r="H30" s="21">
        <v>3.9999999999999982</v>
      </c>
      <c r="I30" s="21">
        <v>3.9999999999999982</v>
      </c>
      <c r="J30" s="24" t="s">
        <v>9</v>
      </c>
      <c r="K30" s="23" t="s">
        <v>439</v>
      </c>
      <c r="L30" s="17">
        <v>1</v>
      </c>
      <c r="M30" s="17" t="str">
        <f t="shared" si="0"/>
        <v>Jul_2019</v>
      </c>
    </row>
    <row r="31" spans="1:13" ht="15.75" x14ac:dyDescent="0.25">
      <c r="A31" s="16" t="s">
        <v>0</v>
      </c>
      <c r="B31" s="17" t="s">
        <v>431</v>
      </c>
      <c r="C31" s="18">
        <v>43650</v>
      </c>
      <c r="D31" s="19" t="s">
        <v>18</v>
      </c>
      <c r="E31" s="20">
        <v>0.72916666666666674</v>
      </c>
      <c r="F31" s="20">
        <v>0.89583333333333337</v>
      </c>
      <c r="G31" s="21">
        <v>8.0000000000000036</v>
      </c>
      <c r="H31" s="21">
        <v>3.9999999999999982</v>
      </c>
      <c r="I31" s="21">
        <v>3.9999999999999982</v>
      </c>
      <c r="J31" s="24" t="s">
        <v>9</v>
      </c>
      <c r="K31" s="23" t="s">
        <v>440</v>
      </c>
      <c r="L31" s="17">
        <v>1</v>
      </c>
      <c r="M31" s="17" t="str">
        <f t="shared" si="0"/>
        <v>Jul_2019</v>
      </c>
    </row>
    <row r="32" spans="1:13" ht="15.75" x14ac:dyDescent="0.25">
      <c r="A32" s="16" t="s">
        <v>0</v>
      </c>
      <c r="B32" s="17" t="s">
        <v>12</v>
      </c>
      <c r="C32" s="18">
        <v>43650</v>
      </c>
      <c r="D32" s="19" t="s">
        <v>18</v>
      </c>
      <c r="E32" s="20">
        <v>0.72916666666666674</v>
      </c>
      <c r="F32" s="20">
        <v>0.89583333333333337</v>
      </c>
      <c r="G32" s="21">
        <v>8.0000000000000036</v>
      </c>
      <c r="H32" s="21">
        <v>3.9999999999999982</v>
      </c>
      <c r="I32" s="21">
        <v>3.9999999999999982</v>
      </c>
      <c r="J32" s="24" t="s">
        <v>9</v>
      </c>
      <c r="K32" s="23" t="s">
        <v>440</v>
      </c>
      <c r="L32" s="17">
        <v>1</v>
      </c>
      <c r="M32" s="17" t="str">
        <f t="shared" si="0"/>
        <v>Jul_2019</v>
      </c>
    </row>
    <row r="33" spans="1:13" ht="15.75" x14ac:dyDescent="0.25">
      <c r="A33" s="16" t="s">
        <v>0</v>
      </c>
      <c r="B33" s="17" t="s">
        <v>68</v>
      </c>
      <c r="C33" s="18">
        <v>43650</v>
      </c>
      <c r="D33" s="19" t="s">
        <v>18</v>
      </c>
      <c r="E33" s="20">
        <v>0.72916666666666674</v>
      </c>
      <c r="F33" s="20">
        <v>0.89583333333333337</v>
      </c>
      <c r="G33" s="21">
        <v>8.0000000000000036</v>
      </c>
      <c r="H33" s="21">
        <v>3.9999999999999982</v>
      </c>
      <c r="I33" s="21">
        <v>3.9999999999999982</v>
      </c>
      <c r="J33" s="24" t="s">
        <v>9</v>
      </c>
      <c r="K33" s="23" t="s">
        <v>440</v>
      </c>
      <c r="L33" s="17">
        <v>1</v>
      </c>
      <c r="M33" s="17" t="str">
        <f t="shared" si="0"/>
        <v>Jul_2019</v>
      </c>
    </row>
    <row r="34" spans="1:13" ht="15.75" x14ac:dyDescent="0.25">
      <c r="A34" s="16" t="s">
        <v>0</v>
      </c>
      <c r="B34" s="17" t="s">
        <v>69</v>
      </c>
      <c r="C34" s="18">
        <v>43650</v>
      </c>
      <c r="D34" s="19" t="s">
        <v>18</v>
      </c>
      <c r="E34" s="20">
        <v>0.72916666666666674</v>
      </c>
      <c r="F34" s="20">
        <v>0.89583333333333337</v>
      </c>
      <c r="G34" s="21">
        <v>8.0000000000000036</v>
      </c>
      <c r="H34" s="21">
        <v>3.9999999999999982</v>
      </c>
      <c r="I34" s="21">
        <v>3.9999999999999982</v>
      </c>
      <c r="J34" s="24" t="s">
        <v>9</v>
      </c>
      <c r="K34" s="23" t="s">
        <v>440</v>
      </c>
      <c r="L34" s="17">
        <v>1</v>
      </c>
      <c r="M34" s="17" t="str">
        <f t="shared" si="0"/>
        <v>Jul_2019</v>
      </c>
    </row>
    <row r="35" spans="1:13" ht="15.75" x14ac:dyDescent="0.25">
      <c r="A35" s="16" t="s">
        <v>0</v>
      </c>
      <c r="B35" s="17" t="s">
        <v>361</v>
      </c>
      <c r="C35" s="18">
        <v>43650</v>
      </c>
      <c r="D35" s="19" t="s">
        <v>18</v>
      </c>
      <c r="E35" s="20">
        <v>0.6875</v>
      </c>
      <c r="F35" s="20">
        <v>0.85416666666666663</v>
      </c>
      <c r="G35" s="21">
        <v>8.0000000000000036</v>
      </c>
      <c r="H35" s="21">
        <v>3.9999999999999964</v>
      </c>
      <c r="I35" s="21">
        <v>3.9999999999999964</v>
      </c>
      <c r="J35" s="24" t="s">
        <v>9</v>
      </c>
      <c r="K35" s="23" t="s">
        <v>440</v>
      </c>
      <c r="L35" s="17">
        <v>1</v>
      </c>
      <c r="M35" s="17" t="str">
        <f t="shared" si="0"/>
        <v>Jul_2019</v>
      </c>
    </row>
    <row r="36" spans="1:13" ht="15.75" x14ac:dyDescent="0.25">
      <c r="A36" s="16" t="s">
        <v>0</v>
      </c>
      <c r="B36" s="17" t="s">
        <v>367</v>
      </c>
      <c r="C36" s="18">
        <v>43650</v>
      </c>
      <c r="D36" s="19" t="s">
        <v>18</v>
      </c>
      <c r="E36" s="20">
        <v>0.72916666666666674</v>
      </c>
      <c r="F36" s="20">
        <v>0.89583333333333337</v>
      </c>
      <c r="G36" s="21">
        <v>8.0000000000000036</v>
      </c>
      <c r="H36" s="21">
        <v>3.9999999999999982</v>
      </c>
      <c r="I36" s="21">
        <v>3.9999999999999982</v>
      </c>
      <c r="J36" s="24" t="s">
        <v>9</v>
      </c>
      <c r="K36" s="23" t="s">
        <v>440</v>
      </c>
      <c r="L36" s="17">
        <v>1</v>
      </c>
      <c r="M36" s="17" t="str">
        <f t="shared" si="0"/>
        <v>Jul_2019</v>
      </c>
    </row>
    <row r="37" spans="1:13" ht="15.75" x14ac:dyDescent="0.25">
      <c r="A37" s="16" t="s">
        <v>0</v>
      </c>
      <c r="B37" s="17" t="s">
        <v>393</v>
      </c>
      <c r="C37" s="18">
        <v>43650</v>
      </c>
      <c r="D37" s="19" t="s">
        <v>18</v>
      </c>
      <c r="E37" s="20">
        <v>0.72916666666666674</v>
      </c>
      <c r="F37" s="20">
        <v>0.89583333333333337</v>
      </c>
      <c r="G37" s="21">
        <v>8.0000000000000036</v>
      </c>
      <c r="H37" s="21">
        <v>3.9999999999999982</v>
      </c>
      <c r="I37" s="21">
        <v>3.9999999999999982</v>
      </c>
      <c r="J37" s="24" t="s">
        <v>9</v>
      </c>
      <c r="K37" s="23" t="s">
        <v>440</v>
      </c>
      <c r="L37" s="17">
        <v>1</v>
      </c>
      <c r="M37" s="17" t="str">
        <f t="shared" si="0"/>
        <v>Jul_2019</v>
      </c>
    </row>
    <row r="38" spans="1:13" ht="15.75" x14ac:dyDescent="0.25">
      <c r="A38" s="16" t="s">
        <v>0</v>
      </c>
      <c r="B38" s="17" t="s">
        <v>416</v>
      </c>
      <c r="C38" s="18">
        <v>43650</v>
      </c>
      <c r="D38" s="19" t="s">
        <v>18</v>
      </c>
      <c r="E38" s="20">
        <v>0.72916666666666674</v>
      </c>
      <c r="F38" s="20">
        <v>0.89583333333333337</v>
      </c>
      <c r="G38" s="21">
        <v>8.0000000000000036</v>
      </c>
      <c r="H38" s="21">
        <v>3.9999999999999982</v>
      </c>
      <c r="I38" s="21">
        <v>3.9999999999999982</v>
      </c>
      <c r="J38" s="24" t="s">
        <v>9</v>
      </c>
      <c r="K38" s="23" t="s">
        <v>440</v>
      </c>
      <c r="L38" s="17">
        <v>1</v>
      </c>
      <c r="M38" s="17" t="str">
        <f t="shared" si="0"/>
        <v>Jul_2019</v>
      </c>
    </row>
    <row r="39" spans="1:13" ht="15.75" x14ac:dyDescent="0.25">
      <c r="A39" s="16" t="s">
        <v>0</v>
      </c>
      <c r="B39" s="17" t="s">
        <v>417</v>
      </c>
      <c r="C39" s="18">
        <v>43650</v>
      </c>
      <c r="D39" s="19" t="s">
        <v>18</v>
      </c>
      <c r="E39" s="20">
        <v>0.72916666666666674</v>
      </c>
      <c r="F39" s="20">
        <v>0.89583333333333337</v>
      </c>
      <c r="G39" s="21">
        <v>8.0000000000000036</v>
      </c>
      <c r="H39" s="21">
        <v>3.9999999999999982</v>
      </c>
      <c r="I39" s="21">
        <v>3.9999999999999982</v>
      </c>
      <c r="J39" s="24" t="s">
        <v>9</v>
      </c>
      <c r="K39" s="23" t="s">
        <v>440</v>
      </c>
      <c r="L39" s="17">
        <v>1</v>
      </c>
      <c r="M39" s="17" t="str">
        <f t="shared" si="0"/>
        <v>Jul_2019</v>
      </c>
    </row>
    <row r="40" spans="1:13" ht="15.75" x14ac:dyDescent="0.25">
      <c r="A40" s="16" t="s">
        <v>0</v>
      </c>
      <c r="B40" s="17" t="s">
        <v>430</v>
      </c>
      <c r="C40" s="18">
        <v>43650</v>
      </c>
      <c r="D40" s="19" t="s">
        <v>18</v>
      </c>
      <c r="E40" s="20">
        <v>0.72916666666666674</v>
      </c>
      <c r="F40" s="20">
        <v>0.89583333333333337</v>
      </c>
      <c r="G40" s="21">
        <v>8.0000000000000036</v>
      </c>
      <c r="H40" s="21">
        <v>3.9999999999999982</v>
      </c>
      <c r="I40" s="21">
        <v>3.9999999999999982</v>
      </c>
      <c r="J40" s="24" t="s">
        <v>9</v>
      </c>
      <c r="K40" s="23" t="s">
        <v>440</v>
      </c>
      <c r="L40" s="17">
        <v>1</v>
      </c>
      <c r="M40" s="17" t="str">
        <f t="shared" si="0"/>
        <v>Jul_2019</v>
      </c>
    </row>
    <row r="41" spans="1:13" ht="15.75" x14ac:dyDescent="0.25">
      <c r="A41" s="16" t="s">
        <v>0</v>
      </c>
      <c r="B41" s="17" t="s">
        <v>431</v>
      </c>
      <c r="C41" s="18">
        <v>43651</v>
      </c>
      <c r="D41" s="19" t="s">
        <v>17</v>
      </c>
      <c r="E41" s="20">
        <v>0.72916666666666674</v>
      </c>
      <c r="F41" s="20">
        <v>0.91666666666666663</v>
      </c>
      <c r="G41" s="21">
        <v>8.0000000000000036</v>
      </c>
      <c r="H41" s="21">
        <v>4.4999999999999964</v>
      </c>
      <c r="I41" s="21">
        <v>4.4999999999999964</v>
      </c>
      <c r="J41" s="24" t="s">
        <v>9</v>
      </c>
      <c r="K41" s="23" t="s">
        <v>441</v>
      </c>
      <c r="L41" s="17">
        <v>1</v>
      </c>
      <c r="M41" s="17" t="str">
        <f t="shared" si="0"/>
        <v>Jul_2019</v>
      </c>
    </row>
    <row r="42" spans="1:13" ht="15.75" x14ac:dyDescent="0.25">
      <c r="A42" s="16" t="s">
        <v>0</v>
      </c>
      <c r="B42" s="17" t="s">
        <v>12</v>
      </c>
      <c r="C42" s="18">
        <v>43651</v>
      </c>
      <c r="D42" s="19" t="s">
        <v>17</v>
      </c>
      <c r="E42" s="20">
        <v>0.72916666666666674</v>
      </c>
      <c r="F42" s="20">
        <v>0.91666666666666663</v>
      </c>
      <c r="G42" s="21">
        <v>8.0000000000000036</v>
      </c>
      <c r="H42" s="21">
        <v>4.4999999999999964</v>
      </c>
      <c r="I42" s="21">
        <v>4.4999999999999964</v>
      </c>
      <c r="J42" s="24" t="s">
        <v>9</v>
      </c>
      <c r="K42" s="23" t="s">
        <v>441</v>
      </c>
      <c r="L42" s="17">
        <v>1</v>
      </c>
      <c r="M42" s="17" t="str">
        <f t="shared" si="0"/>
        <v>Jul_2019</v>
      </c>
    </row>
    <row r="43" spans="1:13" ht="15.75" x14ac:dyDescent="0.25">
      <c r="A43" s="16" t="s">
        <v>0</v>
      </c>
      <c r="B43" s="17" t="s">
        <v>68</v>
      </c>
      <c r="C43" s="18">
        <v>43651</v>
      </c>
      <c r="D43" s="19" t="s">
        <v>17</v>
      </c>
      <c r="E43" s="20">
        <v>0.72916666666666674</v>
      </c>
      <c r="F43" s="20">
        <v>0.91666666666666663</v>
      </c>
      <c r="G43" s="21">
        <v>8.0000000000000036</v>
      </c>
      <c r="H43" s="21">
        <v>4.4999999999999964</v>
      </c>
      <c r="I43" s="21">
        <v>4.4999999999999964</v>
      </c>
      <c r="J43" s="24" t="s">
        <v>9</v>
      </c>
      <c r="K43" s="23" t="s">
        <v>441</v>
      </c>
      <c r="L43" s="17">
        <v>1</v>
      </c>
      <c r="M43" s="17" t="str">
        <f t="shared" si="0"/>
        <v>Jul_2019</v>
      </c>
    </row>
    <row r="44" spans="1:13" ht="15.75" x14ac:dyDescent="0.25">
      <c r="A44" s="16" t="s">
        <v>0</v>
      </c>
      <c r="B44" s="17" t="s">
        <v>69</v>
      </c>
      <c r="C44" s="18">
        <v>43651</v>
      </c>
      <c r="D44" s="19" t="s">
        <v>17</v>
      </c>
      <c r="E44" s="20">
        <v>0.6875</v>
      </c>
      <c r="F44" s="20">
        <v>0.85416666666666663</v>
      </c>
      <c r="G44" s="21">
        <v>8.0000000000000036</v>
      </c>
      <c r="H44" s="21">
        <v>3.9999999999999964</v>
      </c>
      <c r="I44" s="21">
        <v>3.9999999999999964</v>
      </c>
      <c r="J44" s="24" t="s">
        <v>9</v>
      </c>
      <c r="K44" s="23" t="s">
        <v>441</v>
      </c>
      <c r="L44" s="17">
        <v>1</v>
      </c>
      <c r="M44" s="17" t="str">
        <f t="shared" si="0"/>
        <v>Jul_2019</v>
      </c>
    </row>
    <row r="45" spans="1:13" ht="15.75" x14ac:dyDescent="0.25">
      <c r="A45" s="16" t="s">
        <v>0</v>
      </c>
      <c r="B45" s="17" t="s">
        <v>361</v>
      </c>
      <c r="C45" s="18">
        <v>43651</v>
      </c>
      <c r="D45" s="19" t="s">
        <v>17</v>
      </c>
      <c r="E45" s="20">
        <v>0.72916666666666674</v>
      </c>
      <c r="F45" s="20">
        <v>0.91666666666666663</v>
      </c>
      <c r="G45" s="21">
        <v>8.0000000000000036</v>
      </c>
      <c r="H45" s="21">
        <v>4.4999999999999964</v>
      </c>
      <c r="I45" s="21">
        <v>4.4999999999999964</v>
      </c>
      <c r="J45" s="24" t="s">
        <v>9</v>
      </c>
      <c r="K45" s="23" t="s">
        <v>441</v>
      </c>
      <c r="L45" s="17">
        <v>1</v>
      </c>
      <c r="M45" s="17" t="str">
        <f t="shared" si="0"/>
        <v>Jul_2019</v>
      </c>
    </row>
    <row r="46" spans="1:13" ht="15.75" x14ac:dyDescent="0.25">
      <c r="A46" s="16" t="s">
        <v>0</v>
      </c>
      <c r="B46" s="17" t="s">
        <v>367</v>
      </c>
      <c r="C46" s="18">
        <v>43651</v>
      </c>
      <c r="D46" s="19" t="s">
        <v>17</v>
      </c>
      <c r="E46" s="20">
        <v>0.72916666666666674</v>
      </c>
      <c r="F46" s="20">
        <v>0.89583333333333337</v>
      </c>
      <c r="G46" s="21">
        <v>8.0000000000000036</v>
      </c>
      <c r="H46" s="21">
        <v>3.9999999999999982</v>
      </c>
      <c r="I46" s="21">
        <v>3.9999999999999982</v>
      </c>
      <c r="J46" s="24" t="s">
        <v>9</v>
      </c>
      <c r="K46" s="23" t="s">
        <v>441</v>
      </c>
      <c r="L46" s="17">
        <v>1</v>
      </c>
      <c r="M46" s="17" t="str">
        <f t="shared" si="0"/>
        <v>Jul_2019</v>
      </c>
    </row>
    <row r="47" spans="1:13" ht="15.75" x14ac:dyDescent="0.25">
      <c r="A47" s="16" t="s">
        <v>0</v>
      </c>
      <c r="B47" s="17" t="s">
        <v>393</v>
      </c>
      <c r="C47" s="18">
        <v>43651</v>
      </c>
      <c r="D47" s="19" t="s">
        <v>17</v>
      </c>
      <c r="E47" s="20">
        <v>0.72916666666666674</v>
      </c>
      <c r="F47" s="20">
        <v>0.89583333333333337</v>
      </c>
      <c r="G47" s="21">
        <v>8.0000000000000036</v>
      </c>
      <c r="H47" s="21">
        <v>3.9999999999999982</v>
      </c>
      <c r="I47" s="21">
        <v>3.9999999999999982</v>
      </c>
      <c r="J47" s="24" t="s">
        <v>9</v>
      </c>
      <c r="K47" s="23" t="s">
        <v>441</v>
      </c>
      <c r="L47" s="17">
        <v>1</v>
      </c>
      <c r="M47" s="17" t="str">
        <f t="shared" si="0"/>
        <v>Jul_2019</v>
      </c>
    </row>
    <row r="48" spans="1:13" ht="15.75" x14ac:dyDescent="0.25">
      <c r="A48" s="16" t="s">
        <v>0</v>
      </c>
      <c r="B48" s="17" t="s">
        <v>416</v>
      </c>
      <c r="C48" s="18">
        <v>43651</v>
      </c>
      <c r="D48" s="19" t="s">
        <v>17</v>
      </c>
      <c r="E48" s="20">
        <v>0.72916666666666674</v>
      </c>
      <c r="F48" s="20">
        <v>0.91666666666666663</v>
      </c>
      <c r="G48" s="21">
        <v>8.0000000000000036</v>
      </c>
      <c r="H48" s="21">
        <v>4.4999999999999964</v>
      </c>
      <c r="I48" s="21">
        <v>4.4999999999999964</v>
      </c>
      <c r="J48" s="24" t="s">
        <v>9</v>
      </c>
      <c r="K48" s="23" t="s">
        <v>441</v>
      </c>
      <c r="L48" s="17">
        <v>1</v>
      </c>
      <c r="M48" s="17" t="str">
        <f t="shared" si="0"/>
        <v>Jul_2019</v>
      </c>
    </row>
    <row r="49" spans="1:13" ht="15.75" x14ac:dyDescent="0.25">
      <c r="A49" s="16" t="s">
        <v>0</v>
      </c>
      <c r="B49" s="17" t="s">
        <v>417</v>
      </c>
      <c r="C49" s="18">
        <v>43651</v>
      </c>
      <c r="D49" s="19" t="s">
        <v>17</v>
      </c>
      <c r="E49" s="20">
        <v>0.72916666666666674</v>
      </c>
      <c r="F49" s="20">
        <v>0.89583333333333337</v>
      </c>
      <c r="G49" s="21">
        <v>8.0000000000000036</v>
      </c>
      <c r="H49" s="21">
        <v>3.9999999999999982</v>
      </c>
      <c r="I49" s="21">
        <v>3.9999999999999982</v>
      </c>
      <c r="J49" s="24" t="s">
        <v>9</v>
      </c>
      <c r="K49" s="23" t="s">
        <v>441</v>
      </c>
      <c r="L49" s="17">
        <v>1</v>
      </c>
      <c r="M49" s="17" t="str">
        <f t="shared" si="0"/>
        <v>Jul_2019</v>
      </c>
    </row>
    <row r="50" spans="1:13" ht="15.75" x14ac:dyDescent="0.25">
      <c r="A50" s="16" t="s">
        <v>0</v>
      </c>
      <c r="B50" s="17" t="s">
        <v>431</v>
      </c>
      <c r="C50" s="18">
        <v>43675</v>
      </c>
      <c r="D50" s="19" t="s">
        <v>21</v>
      </c>
      <c r="E50" s="20">
        <v>0.72916666666666674</v>
      </c>
      <c r="F50" s="20">
        <v>0.89583333333333337</v>
      </c>
      <c r="G50" s="21">
        <v>8.0000000000000036</v>
      </c>
      <c r="H50" s="21">
        <v>3.9999999999999982</v>
      </c>
      <c r="I50" s="21">
        <v>3.9999999999999982</v>
      </c>
      <c r="J50" s="24" t="s">
        <v>9</v>
      </c>
      <c r="K50" s="23" t="s">
        <v>442</v>
      </c>
      <c r="L50" s="17">
        <v>1</v>
      </c>
      <c r="M50" s="17" t="str">
        <f t="shared" si="0"/>
        <v>Jul_2019</v>
      </c>
    </row>
    <row r="51" spans="1:13" ht="15.75" x14ac:dyDescent="0.25">
      <c r="A51" s="16" t="s">
        <v>0</v>
      </c>
      <c r="B51" s="17" t="s">
        <v>12</v>
      </c>
      <c r="C51" s="18">
        <v>43675</v>
      </c>
      <c r="D51" s="19" t="s">
        <v>21</v>
      </c>
      <c r="E51" s="20">
        <v>0.72916666666666674</v>
      </c>
      <c r="F51" s="20">
        <v>0.89583333333333337</v>
      </c>
      <c r="G51" s="21">
        <v>8.0000000000000036</v>
      </c>
      <c r="H51" s="21">
        <v>3.9999999999999982</v>
      </c>
      <c r="I51" s="21">
        <v>3.9999999999999982</v>
      </c>
      <c r="J51" s="24" t="s">
        <v>9</v>
      </c>
      <c r="K51" s="23" t="s">
        <v>442</v>
      </c>
      <c r="L51" s="17">
        <v>1</v>
      </c>
      <c r="M51" s="17" t="str">
        <f t="shared" si="0"/>
        <v>Jul_2019</v>
      </c>
    </row>
    <row r="52" spans="1:13" ht="15.75" x14ac:dyDescent="0.25">
      <c r="A52" s="16" t="s">
        <v>0</v>
      </c>
      <c r="B52" s="17" t="s">
        <v>68</v>
      </c>
      <c r="C52" s="18">
        <v>43675</v>
      </c>
      <c r="D52" s="19" t="s">
        <v>21</v>
      </c>
      <c r="E52" s="20">
        <v>0.72916666666666674</v>
      </c>
      <c r="F52" s="20">
        <v>0.89583333333333337</v>
      </c>
      <c r="G52" s="21">
        <v>8.0000000000000036</v>
      </c>
      <c r="H52" s="21">
        <v>3.9999999999999982</v>
      </c>
      <c r="I52" s="21">
        <v>3.9999999999999982</v>
      </c>
      <c r="J52" s="24" t="s">
        <v>9</v>
      </c>
      <c r="K52" s="23" t="s">
        <v>442</v>
      </c>
      <c r="L52" s="17">
        <v>1</v>
      </c>
      <c r="M52" s="17" t="str">
        <f t="shared" si="0"/>
        <v>Jul_2019</v>
      </c>
    </row>
    <row r="53" spans="1:13" ht="15.75" x14ac:dyDescent="0.25">
      <c r="A53" s="16" t="s">
        <v>0</v>
      </c>
      <c r="B53" s="17" t="s">
        <v>69</v>
      </c>
      <c r="C53" s="18">
        <v>43675</v>
      </c>
      <c r="D53" s="19" t="s">
        <v>21</v>
      </c>
      <c r="E53" s="20">
        <v>0.6875</v>
      </c>
      <c r="F53" s="20">
        <v>0.85416666666666663</v>
      </c>
      <c r="G53" s="21">
        <v>8.0000000000000036</v>
      </c>
      <c r="H53" s="21">
        <v>3.9999999999999964</v>
      </c>
      <c r="I53" s="21">
        <v>3.9999999999999964</v>
      </c>
      <c r="J53" s="24" t="s">
        <v>9</v>
      </c>
      <c r="K53" s="23" t="s">
        <v>442</v>
      </c>
      <c r="L53" s="17">
        <v>1</v>
      </c>
      <c r="M53" s="17" t="str">
        <f t="shared" si="0"/>
        <v>Jul_2019</v>
      </c>
    </row>
    <row r="54" spans="1:13" ht="15.75" x14ac:dyDescent="0.25">
      <c r="A54" s="16" t="s">
        <v>0</v>
      </c>
      <c r="B54" s="17" t="s">
        <v>361</v>
      </c>
      <c r="C54" s="18">
        <v>43675</v>
      </c>
      <c r="D54" s="19" t="s">
        <v>21</v>
      </c>
      <c r="E54" s="20">
        <v>0.72916666666666674</v>
      </c>
      <c r="F54" s="20">
        <v>0.89583333333333337</v>
      </c>
      <c r="G54" s="21">
        <v>8.0000000000000036</v>
      </c>
      <c r="H54" s="21">
        <v>3.9999999999999982</v>
      </c>
      <c r="I54" s="21">
        <v>3.9999999999999982</v>
      </c>
      <c r="J54" s="24" t="s">
        <v>9</v>
      </c>
      <c r="K54" s="23" t="s">
        <v>442</v>
      </c>
      <c r="L54" s="17">
        <v>1</v>
      </c>
      <c r="M54" s="17" t="str">
        <f t="shared" si="0"/>
        <v>Jul_2019</v>
      </c>
    </row>
    <row r="55" spans="1:13" ht="15.75" x14ac:dyDescent="0.25">
      <c r="A55" s="16" t="s">
        <v>0</v>
      </c>
      <c r="B55" s="17" t="s">
        <v>393</v>
      </c>
      <c r="C55" s="18">
        <v>43675</v>
      </c>
      <c r="D55" s="19" t="s">
        <v>21</v>
      </c>
      <c r="E55" s="20">
        <v>0.72916666666666674</v>
      </c>
      <c r="F55" s="20">
        <v>0.89583333333333337</v>
      </c>
      <c r="G55" s="21">
        <v>8.0000000000000036</v>
      </c>
      <c r="H55" s="21">
        <v>3.9999999999999982</v>
      </c>
      <c r="I55" s="21">
        <v>3.9999999999999982</v>
      </c>
      <c r="J55" s="24" t="s">
        <v>9</v>
      </c>
      <c r="K55" s="23" t="s">
        <v>442</v>
      </c>
      <c r="L55" s="17">
        <v>1</v>
      </c>
      <c r="M55" s="17" t="str">
        <f t="shared" si="0"/>
        <v>Jul_2019</v>
      </c>
    </row>
    <row r="56" spans="1:13" ht="15.75" x14ac:dyDescent="0.25">
      <c r="A56" s="16" t="s">
        <v>0</v>
      </c>
      <c r="B56" s="17" t="s">
        <v>416</v>
      </c>
      <c r="C56" s="18">
        <v>43675</v>
      </c>
      <c r="D56" s="19" t="s">
        <v>21</v>
      </c>
      <c r="E56" s="20">
        <v>0.72916666666666674</v>
      </c>
      <c r="F56" s="20">
        <v>0.89583333333333337</v>
      </c>
      <c r="G56" s="21">
        <v>8.0000000000000036</v>
      </c>
      <c r="H56" s="21">
        <v>3.9999999999999982</v>
      </c>
      <c r="I56" s="21">
        <v>3.9999999999999982</v>
      </c>
      <c r="J56" s="24" t="s">
        <v>9</v>
      </c>
      <c r="K56" s="23" t="s">
        <v>442</v>
      </c>
      <c r="L56" s="17">
        <v>1</v>
      </c>
      <c r="M56" s="17" t="str">
        <f t="shared" si="0"/>
        <v>Jul_2019</v>
      </c>
    </row>
    <row r="57" spans="1:13" ht="15.75" x14ac:dyDescent="0.25">
      <c r="A57" s="16" t="s">
        <v>0</v>
      </c>
      <c r="B57" s="17" t="s">
        <v>417</v>
      </c>
      <c r="C57" s="18">
        <v>43675</v>
      </c>
      <c r="D57" s="19" t="s">
        <v>21</v>
      </c>
      <c r="E57" s="20">
        <v>0.72916666666666674</v>
      </c>
      <c r="F57" s="20">
        <v>0.89583333333333337</v>
      </c>
      <c r="G57" s="21">
        <v>8.0000000000000036</v>
      </c>
      <c r="H57" s="21">
        <v>3.9999999999999982</v>
      </c>
      <c r="I57" s="21">
        <v>3.9999999999999982</v>
      </c>
      <c r="J57" s="24" t="s">
        <v>9</v>
      </c>
      <c r="K57" s="23" t="s">
        <v>442</v>
      </c>
      <c r="L57" s="17">
        <v>1</v>
      </c>
      <c r="M57" s="17" t="str">
        <f t="shared" si="0"/>
        <v>Jul_2019</v>
      </c>
    </row>
    <row r="58" spans="1:13" ht="15.75" x14ac:dyDescent="0.25">
      <c r="A58" s="16" t="s">
        <v>0</v>
      </c>
      <c r="B58" s="17" t="s">
        <v>430</v>
      </c>
      <c r="C58" s="18">
        <v>43675</v>
      </c>
      <c r="D58" s="19" t="s">
        <v>21</v>
      </c>
      <c r="E58" s="20">
        <v>0.72916666666666674</v>
      </c>
      <c r="F58" s="20">
        <v>0.89583333333333337</v>
      </c>
      <c r="G58" s="21">
        <v>8.0000000000000036</v>
      </c>
      <c r="H58" s="21">
        <v>3.9999999999999982</v>
      </c>
      <c r="I58" s="21">
        <v>3.9999999999999982</v>
      </c>
      <c r="J58" s="24" t="s">
        <v>9</v>
      </c>
      <c r="K58" s="23" t="s">
        <v>442</v>
      </c>
      <c r="L58" s="17">
        <v>1</v>
      </c>
      <c r="M58" s="17" t="str">
        <f t="shared" si="0"/>
        <v>Jul_2019</v>
      </c>
    </row>
    <row r="59" spans="1:13" ht="15.75" x14ac:dyDescent="0.25">
      <c r="A59" s="16" t="s">
        <v>0</v>
      </c>
      <c r="B59" s="17" t="s">
        <v>431</v>
      </c>
      <c r="C59" s="18">
        <v>43676</v>
      </c>
      <c r="D59" s="19" t="s">
        <v>16</v>
      </c>
      <c r="E59" s="20">
        <v>0.72916666666666674</v>
      </c>
      <c r="F59" s="20">
        <v>0.89583333333333337</v>
      </c>
      <c r="G59" s="21">
        <v>8.0000000000000036</v>
      </c>
      <c r="H59" s="21">
        <v>3.9999999999999982</v>
      </c>
      <c r="I59" s="21">
        <v>3.9999999999999982</v>
      </c>
      <c r="J59" s="24" t="s">
        <v>9</v>
      </c>
      <c r="K59" s="23" t="s">
        <v>443</v>
      </c>
      <c r="L59" s="17">
        <v>1</v>
      </c>
      <c r="M59" s="17" t="str">
        <f t="shared" si="0"/>
        <v>Jul_2019</v>
      </c>
    </row>
    <row r="60" spans="1:13" ht="15.75" x14ac:dyDescent="0.25">
      <c r="A60" s="16" t="s">
        <v>0</v>
      </c>
      <c r="B60" s="17" t="s">
        <v>12</v>
      </c>
      <c r="C60" s="18">
        <v>43676</v>
      </c>
      <c r="D60" s="19" t="s">
        <v>16</v>
      </c>
      <c r="E60" s="20">
        <v>0.6875</v>
      </c>
      <c r="F60" s="20">
        <v>0.85416666666666663</v>
      </c>
      <c r="G60" s="21">
        <v>8.0000000000000036</v>
      </c>
      <c r="H60" s="21">
        <v>3.9999999999999964</v>
      </c>
      <c r="I60" s="21">
        <v>3.9999999999999964</v>
      </c>
      <c r="J60" s="24" t="s">
        <v>9</v>
      </c>
      <c r="K60" s="23" t="s">
        <v>443</v>
      </c>
      <c r="L60" s="17">
        <v>1</v>
      </c>
      <c r="M60" s="17" t="str">
        <f t="shared" si="0"/>
        <v>Jul_2019</v>
      </c>
    </row>
    <row r="61" spans="1:13" ht="15.75" x14ac:dyDescent="0.25">
      <c r="A61" s="16" t="s">
        <v>0</v>
      </c>
      <c r="B61" s="17" t="s">
        <v>68</v>
      </c>
      <c r="C61" s="18">
        <v>43676</v>
      </c>
      <c r="D61" s="19" t="s">
        <v>16</v>
      </c>
      <c r="E61" s="20">
        <v>0.72916666666666674</v>
      </c>
      <c r="F61" s="20">
        <v>0.89583333333333337</v>
      </c>
      <c r="G61" s="21">
        <v>8.0000000000000036</v>
      </c>
      <c r="H61" s="21">
        <v>3.9999999999999982</v>
      </c>
      <c r="I61" s="21">
        <v>3.9999999999999982</v>
      </c>
      <c r="J61" s="24" t="s">
        <v>9</v>
      </c>
      <c r="K61" s="23" t="s">
        <v>443</v>
      </c>
      <c r="L61" s="17">
        <v>1</v>
      </c>
      <c r="M61" s="17" t="str">
        <f t="shared" si="0"/>
        <v>Jul_2019</v>
      </c>
    </row>
    <row r="62" spans="1:13" ht="15.75" x14ac:dyDescent="0.25">
      <c r="A62" s="16" t="s">
        <v>0</v>
      </c>
      <c r="B62" s="17" t="s">
        <v>69</v>
      </c>
      <c r="C62" s="18">
        <v>43676</v>
      </c>
      <c r="D62" s="19" t="s">
        <v>16</v>
      </c>
      <c r="E62" s="20">
        <v>0.72916666666666674</v>
      </c>
      <c r="F62" s="20">
        <v>0.89583333333333337</v>
      </c>
      <c r="G62" s="21">
        <v>8.0000000000000036</v>
      </c>
      <c r="H62" s="21">
        <v>3.9999999999999982</v>
      </c>
      <c r="I62" s="21">
        <v>3.9999999999999982</v>
      </c>
      <c r="J62" s="24" t="s">
        <v>9</v>
      </c>
      <c r="K62" s="23" t="s">
        <v>443</v>
      </c>
      <c r="L62" s="17">
        <v>1</v>
      </c>
      <c r="M62" s="17" t="str">
        <f t="shared" si="0"/>
        <v>Jul_2019</v>
      </c>
    </row>
    <row r="63" spans="1:13" ht="15.75" x14ac:dyDescent="0.25">
      <c r="A63" s="16" t="s">
        <v>0</v>
      </c>
      <c r="B63" s="17" t="s">
        <v>361</v>
      </c>
      <c r="C63" s="18">
        <v>43676</v>
      </c>
      <c r="D63" s="19" t="s">
        <v>16</v>
      </c>
      <c r="E63" s="20">
        <v>0.72916666666666674</v>
      </c>
      <c r="F63" s="20">
        <v>0.89583333333333337</v>
      </c>
      <c r="G63" s="21">
        <v>8.0000000000000036</v>
      </c>
      <c r="H63" s="21">
        <v>3.9999999999999982</v>
      </c>
      <c r="I63" s="21">
        <v>3.9999999999999982</v>
      </c>
      <c r="J63" s="24" t="s">
        <v>9</v>
      </c>
      <c r="K63" s="23" t="s">
        <v>443</v>
      </c>
      <c r="L63" s="17">
        <v>1</v>
      </c>
      <c r="M63" s="17" t="str">
        <f t="shared" si="0"/>
        <v>Jul_2019</v>
      </c>
    </row>
    <row r="64" spans="1:13" ht="15.75" x14ac:dyDescent="0.25">
      <c r="A64" s="16" t="s">
        <v>0</v>
      </c>
      <c r="B64" s="17" t="s">
        <v>393</v>
      </c>
      <c r="C64" s="18">
        <v>43676</v>
      </c>
      <c r="D64" s="19" t="s">
        <v>16</v>
      </c>
      <c r="E64" s="20">
        <v>0.72916666666666674</v>
      </c>
      <c r="F64" s="20">
        <v>0.89583333333333337</v>
      </c>
      <c r="G64" s="21">
        <v>8.0000000000000036</v>
      </c>
      <c r="H64" s="21">
        <v>3.9999999999999982</v>
      </c>
      <c r="I64" s="21">
        <v>3.9999999999999982</v>
      </c>
      <c r="J64" s="24" t="s">
        <v>9</v>
      </c>
      <c r="K64" s="23" t="s">
        <v>443</v>
      </c>
      <c r="L64" s="17">
        <v>1</v>
      </c>
      <c r="M64" s="17" t="str">
        <f t="shared" si="0"/>
        <v>Jul_2019</v>
      </c>
    </row>
    <row r="65" spans="1:13" ht="15.75" x14ac:dyDescent="0.25">
      <c r="A65" s="16" t="s">
        <v>0</v>
      </c>
      <c r="B65" s="17" t="s">
        <v>416</v>
      </c>
      <c r="C65" s="18">
        <v>43676</v>
      </c>
      <c r="D65" s="19" t="s">
        <v>16</v>
      </c>
      <c r="E65" s="20">
        <v>0.72916666666666674</v>
      </c>
      <c r="F65" s="20">
        <v>0.89583333333333337</v>
      </c>
      <c r="G65" s="21">
        <v>8.0000000000000036</v>
      </c>
      <c r="H65" s="21">
        <v>3.9999999999999982</v>
      </c>
      <c r="I65" s="21">
        <v>3.9999999999999982</v>
      </c>
      <c r="J65" s="24" t="s">
        <v>9</v>
      </c>
      <c r="K65" s="23" t="s">
        <v>443</v>
      </c>
      <c r="L65" s="17">
        <v>1</v>
      </c>
      <c r="M65" s="17" t="str">
        <f t="shared" si="0"/>
        <v>Jul_2019</v>
      </c>
    </row>
    <row r="66" spans="1:13" ht="15.75" x14ac:dyDescent="0.25">
      <c r="A66" s="16" t="s">
        <v>0</v>
      </c>
      <c r="B66" s="17" t="s">
        <v>417</v>
      </c>
      <c r="C66" s="18">
        <v>43676</v>
      </c>
      <c r="D66" s="19" t="s">
        <v>16</v>
      </c>
      <c r="E66" s="20">
        <v>0.72916666666666674</v>
      </c>
      <c r="F66" s="20">
        <v>0.89583333333333337</v>
      </c>
      <c r="G66" s="21">
        <v>8.0000000000000036</v>
      </c>
      <c r="H66" s="21">
        <v>3.9999999999999982</v>
      </c>
      <c r="I66" s="21">
        <v>3.9999999999999982</v>
      </c>
      <c r="J66" s="24" t="s">
        <v>9</v>
      </c>
      <c r="K66" s="23" t="s">
        <v>443</v>
      </c>
      <c r="L66" s="17">
        <v>1</v>
      </c>
      <c r="M66" s="17" t="str">
        <f t="shared" si="0"/>
        <v>Jul_2019</v>
      </c>
    </row>
    <row r="67" spans="1:13" ht="15.75" x14ac:dyDescent="0.25">
      <c r="A67" s="16" t="s">
        <v>0</v>
      </c>
      <c r="B67" s="17" t="s">
        <v>430</v>
      </c>
      <c r="C67" s="18">
        <v>43676</v>
      </c>
      <c r="D67" s="19" t="s">
        <v>16</v>
      </c>
      <c r="E67" s="20">
        <v>0.72916666666666674</v>
      </c>
      <c r="F67" s="20">
        <v>0.89583333333333337</v>
      </c>
      <c r="G67" s="21">
        <v>8.0000000000000036</v>
      </c>
      <c r="H67" s="21">
        <v>3.9999999999999982</v>
      </c>
      <c r="I67" s="21">
        <v>3.9999999999999982</v>
      </c>
      <c r="J67" s="24" t="s">
        <v>9</v>
      </c>
      <c r="K67" s="23" t="s">
        <v>443</v>
      </c>
      <c r="L67" s="17">
        <v>1</v>
      </c>
      <c r="M67" s="17" t="str">
        <f t="shared" ref="M67:M76" si="1">IF($C67="","",TEXT(DATE(YEAR($C67),MONTH($C67),DAY($C67)),"MMM")&amp;"_"&amp;YEAR($C67))</f>
        <v>Jul_2019</v>
      </c>
    </row>
    <row r="68" spans="1:13" ht="15.75" x14ac:dyDescent="0.25">
      <c r="A68" s="16" t="s">
        <v>0</v>
      </c>
      <c r="B68" s="17" t="s">
        <v>431</v>
      </c>
      <c r="C68" s="18">
        <v>43677</v>
      </c>
      <c r="D68" s="19" t="s">
        <v>19</v>
      </c>
      <c r="E68" s="20">
        <v>0.72916666666666674</v>
      </c>
      <c r="F68" s="20">
        <v>0.89583333333333337</v>
      </c>
      <c r="G68" s="21">
        <v>8.0000000000000036</v>
      </c>
      <c r="H68" s="21">
        <v>3.9999999999999982</v>
      </c>
      <c r="I68" s="21">
        <v>3.9999999999999982</v>
      </c>
      <c r="J68" s="24" t="s">
        <v>9</v>
      </c>
      <c r="K68" s="23" t="s">
        <v>444</v>
      </c>
      <c r="L68" s="17">
        <v>1</v>
      </c>
      <c r="M68" s="17" t="str">
        <f t="shared" si="1"/>
        <v>Jul_2019</v>
      </c>
    </row>
    <row r="69" spans="1:13" ht="15.75" x14ac:dyDescent="0.25">
      <c r="A69" s="16" t="s">
        <v>0</v>
      </c>
      <c r="B69" s="17" t="s">
        <v>12</v>
      </c>
      <c r="C69" s="18">
        <v>43677</v>
      </c>
      <c r="D69" s="19" t="s">
        <v>19</v>
      </c>
      <c r="E69" s="20">
        <v>0.72916666666666674</v>
      </c>
      <c r="F69" s="20">
        <v>0.89583333333333337</v>
      </c>
      <c r="G69" s="21">
        <v>8.0000000000000036</v>
      </c>
      <c r="H69" s="21">
        <v>3.9999999999999982</v>
      </c>
      <c r="I69" s="21">
        <v>3.9999999999999982</v>
      </c>
      <c r="J69" s="24" t="s">
        <v>9</v>
      </c>
      <c r="K69" s="23" t="s">
        <v>444</v>
      </c>
      <c r="L69" s="17">
        <v>1</v>
      </c>
      <c r="M69" s="17" t="str">
        <f t="shared" si="1"/>
        <v>Jul_2019</v>
      </c>
    </row>
    <row r="70" spans="1:13" ht="15.75" x14ac:dyDescent="0.25">
      <c r="A70" s="16" t="s">
        <v>0</v>
      </c>
      <c r="B70" s="17" t="s">
        <v>68</v>
      </c>
      <c r="C70" s="18">
        <v>43677</v>
      </c>
      <c r="D70" s="19" t="s">
        <v>19</v>
      </c>
      <c r="E70" s="20">
        <v>0.72916666666666674</v>
      </c>
      <c r="F70" s="20">
        <v>0.89583333333333337</v>
      </c>
      <c r="G70" s="21">
        <v>8.0000000000000036</v>
      </c>
      <c r="H70" s="21">
        <v>3.9999999999999982</v>
      </c>
      <c r="I70" s="21">
        <v>3.9999999999999982</v>
      </c>
      <c r="J70" s="24" t="s">
        <v>9</v>
      </c>
      <c r="K70" s="23" t="s">
        <v>444</v>
      </c>
      <c r="L70" s="17">
        <v>1</v>
      </c>
      <c r="M70" s="17" t="str">
        <f t="shared" si="1"/>
        <v>Jul_2019</v>
      </c>
    </row>
    <row r="71" spans="1:13" ht="15.75" x14ac:dyDescent="0.25">
      <c r="A71" s="16" t="s">
        <v>0</v>
      </c>
      <c r="B71" s="17" t="s">
        <v>69</v>
      </c>
      <c r="C71" s="18">
        <v>43677</v>
      </c>
      <c r="D71" s="19" t="s">
        <v>19</v>
      </c>
      <c r="E71" s="20">
        <v>0.72916666666666674</v>
      </c>
      <c r="F71" s="20">
        <v>0.89583333333333337</v>
      </c>
      <c r="G71" s="21">
        <v>8.0000000000000036</v>
      </c>
      <c r="H71" s="21">
        <v>3.9999999999999982</v>
      </c>
      <c r="I71" s="21">
        <v>3.9999999999999982</v>
      </c>
      <c r="J71" s="24" t="s">
        <v>9</v>
      </c>
      <c r="K71" s="23" t="s">
        <v>444</v>
      </c>
      <c r="L71" s="17">
        <v>1</v>
      </c>
      <c r="M71" s="17" t="str">
        <f t="shared" si="1"/>
        <v>Jul_2019</v>
      </c>
    </row>
    <row r="72" spans="1:13" ht="15.75" x14ac:dyDescent="0.25">
      <c r="A72" s="16" t="s">
        <v>0</v>
      </c>
      <c r="B72" s="17" t="s">
        <v>361</v>
      </c>
      <c r="C72" s="18">
        <v>43677</v>
      </c>
      <c r="D72" s="19" t="s">
        <v>19</v>
      </c>
      <c r="E72" s="20">
        <v>0.72916666666666674</v>
      </c>
      <c r="F72" s="20">
        <v>0.89583333333333337</v>
      </c>
      <c r="G72" s="21">
        <v>8.0000000000000036</v>
      </c>
      <c r="H72" s="21">
        <v>3.9999999999999982</v>
      </c>
      <c r="I72" s="21">
        <v>3.9999999999999982</v>
      </c>
      <c r="J72" s="24" t="s">
        <v>9</v>
      </c>
      <c r="K72" s="23" t="s">
        <v>444</v>
      </c>
      <c r="L72" s="17">
        <v>1</v>
      </c>
      <c r="M72" s="17" t="str">
        <f t="shared" si="1"/>
        <v>Jul_2019</v>
      </c>
    </row>
    <row r="73" spans="1:13" ht="15.75" x14ac:dyDescent="0.25">
      <c r="A73" s="16" t="s">
        <v>0</v>
      </c>
      <c r="B73" s="17" t="s">
        <v>393</v>
      </c>
      <c r="C73" s="18">
        <v>43677</v>
      </c>
      <c r="D73" s="19" t="s">
        <v>19</v>
      </c>
      <c r="E73" s="20">
        <v>0.6875</v>
      </c>
      <c r="F73" s="20">
        <v>0.85416666666666663</v>
      </c>
      <c r="G73" s="21">
        <v>8.0000000000000036</v>
      </c>
      <c r="H73" s="21">
        <v>3.9999999999999964</v>
      </c>
      <c r="I73" s="21">
        <v>3.9999999999999964</v>
      </c>
      <c r="J73" s="24" t="s">
        <v>9</v>
      </c>
      <c r="K73" s="23" t="s">
        <v>444</v>
      </c>
      <c r="L73" s="17">
        <v>1</v>
      </c>
      <c r="M73" s="17" t="str">
        <f t="shared" si="1"/>
        <v>Jul_2019</v>
      </c>
    </row>
    <row r="74" spans="1:13" ht="15.75" x14ac:dyDescent="0.25">
      <c r="A74" s="16" t="s">
        <v>0</v>
      </c>
      <c r="B74" s="17" t="s">
        <v>416</v>
      </c>
      <c r="C74" s="18">
        <v>43677</v>
      </c>
      <c r="D74" s="19" t="s">
        <v>19</v>
      </c>
      <c r="E74" s="20">
        <v>0.72916666666666674</v>
      </c>
      <c r="F74" s="20">
        <v>0.89583333333333337</v>
      </c>
      <c r="G74" s="21">
        <v>8.0000000000000036</v>
      </c>
      <c r="H74" s="21">
        <v>3.9999999999999982</v>
      </c>
      <c r="I74" s="21">
        <v>3.9999999999999982</v>
      </c>
      <c r="J74" s="24" t="s">
        <v>9</v>
      </c>
      <c r="K74" s="23" t="s">
        <v>444</v>
      </c>
      <c r="L74" s="17">
        <v>1</v>
      </c>
      <c r="M74" s="17" t="str">
        <f t="shared" si="1"/>
        <v>Jul_2019</v>
      </c>
    </row>
    <row r="75" spans="1:13" ht="15.75" x14ac:dyDescent="0.25">
      <c r="A75" s="16" t="s">
        <v>0</v>
      </c>
      <c r="B75" s="17" t="s">
        <v>417</v>
      </c>
      <c r="C75" s="18">
        <v>43677</v>
      </c>
      <c r="D75" s="19" t="s">
        <v>19</v>
      </c>
      <c r="E75" s="20">
        <v>0.72916666666666674</v>
      </c>
      <c r="F75" s="20">
        <v>0.89583333333333337</v>
      </c>
      <c r="G75" s="21">
        <v>8.0000000000000036</v>
      </c>
      <c r="H75" s="21">
        <v>3.9999999999999982</v>
      </c>
      <c r="I75" s="21">
        <v>3.9999999999999982</v>
      </c>
      <c r="J75" s="24" t="s">
        <v>9</v>
      </c>
      <c r="K75" s="23" t="s">
        <v>444</v>
      </c>
      <c r="L75" s="17">
        <v>1</v>
      </c>
      <c r="M75" s="17" t="str">
        <f t="shared" si="1"/>
        <v>Jul_2019</v>
      </c>
    </row>
    <row r="76" spans="1:13" ht="15.75" x14ac:dyDescent="0.25">
      <c r="A76" s="16" t="s">
        <v>0</v>
      </c>
      <c r="B76" s="17" t="s">
        <v>430</v>
      </c>
      <c r="C76" s="18">
        <v>43677</v>
      </c>
      <c r="D76" s="19" t="s">
        <v>19</v>
      </c>
      <c r="E76" s="20">
        <v>0.72916666666666674</v>
      </c>
      <c r="F76" s="20">
        <v>0.89583333333333337</v>
      </c>
      <c r="G76" s="21">
        <v>8.0000000000000036</v>
      </c>
      <c r="H76" s="21">
        <v>3.9999999999999982</v>
      </c>
      <c r="I76" s="21">
        <v>3.9999999999999982</v>
      </c>
      <c r="J76" s="24" t="s">
        <v>9</v>
      </c>
      <c r="K76" s="23" t="s">
        <v>444</v>
      </c>
      <c r="L76" s="17">
        <v>1</v>
      </c>
      <c r="M76" s="17" t="str">
        <f t="shared" si="1"/>
        <v>Jul_2019</v>
      </c>
    </row>
  </sheetData>
  <conditionalFormatting sqref="D2:D20">
    <cfRule type="containsText" dxfId="88" priority="85" operator="containsText" text="Fri">
      <formula>NOT(ISERROR(SEARCH("Fri",D2)))</formula>
    </cfRule>
    <cfRule type="containsText" dxfId="87" priority="86" operator="containsText" text="Thu">
      <formula>NOT(ISERROR(SEARCH("Thu",D2)))</formula>
    </cfRule>
    <cfRule type="containsText" dxfId="86" priority="87" operator="containsText" text="Wed">
      <formula>NOT(ISERROR(SEARCH("Wed",D2)))</formula>
    </cfRule>
    <cfRule type="containsText" dxfId="85" priority="88" operator="containsText" text="Tue">
      <formula>NOT(ISERROR(SEARCH("Tue",D2)))</formula>
    </cfRule>
    <cfRule type="containsText" dxfId="84" priority="89" operator="containsText" text="Mon">
      <formula>NOT(ISERROR(SEARCH("Mon",D2)))</formula>
    </cfRule>
  </conditionalFormatting>
  <conditionalFormatting sqref="E2:K76">
    <cfRule type="cellIs" dxfId="83" priority="84" operator="equal">
      <formula>0</formula>
    </cfRule>
  </conditionalFormatting>
  <conditionalFormatting sqref="A2:B11">
    <cfRule type="cellIs" dxfId="82" priority="83" operator="equal">
      <formula>0</formula>
    </cfRule>
  </conditionalFormatting>
  <conditionalFormatting sqref="D21">
    <cfRule type="containsText" dxfId="81" priority="78" operator="containsText" text="Fri">
      <formula>NOT(ISERROR(SEARCH("Fri",D21)))</formula>
    </cfRule>
    <cfRule type="containsText" dxfId="80" priority="79" operator="containsText" text="Thu">
      <formula>NOT(ISERROR(SEARCH("Thu",D21)))</formula>
    </cfRule>
    <cfRule type="containsText" dxfId="79" priority="80" operator="containsText" text="Wed">
      <formula>NOT(ISERROR(SEARCH("Wed",D21)))</formula>
    </cfRule>
    <cfRule type="containsText" dxfId="78" priority="81" operator="containsText" text="Tue">
      <formula>NOT(ISERROR(SEARCH("Tue",D21)))</formula>
    </cfRule>
    <cfRule type="containsText" dxfId="77" priority="82" operator="containsText" text="Mon">
      <formula>NOT(ISERROR(SEARCH("Mon",D21)))</formula>
    </cfRule>
  </conditionalFormatting>
  <conditionalFormatting sqref="A12:B21">
    <cfRule type="cellIs" dxfId="76" priority="77" operator="equal">
      <formula>0</formula>
    </cfRule>
  </conditionalFormatting>
  <conditionalFormatting sqref="D22:D30">
    <cfRule type="containsText" dxfId="75" priority="72" operator="containsText" text="Fri">
      <formula>NOT(ISERROR(SEARCH("Fri",D22)))</formula>
    </cfRule>
    <cfRule type="containsText" dxfId="74" priority="73" operator="containsText" text="Thu">
      <formula>NOT(ISERROR(SEARCH("Thu",D22)))</formula>
    </cfRule>
    <cfRule type="containsText" dxfId="73" priority="74" operator="containsText" text="Wed">
      <formula>NOT(ISERROR(SEARCH("Wed",D22)))</formula>
    </cfRule>
    <cfRule type="containsText" dxfId="72" priority="75" operator="containsText" text="Tue">
      <formula>NOT(ISERROR(SEARCH("Tue",D22)))</formula>
    </cfRule>
    <cfRule type="containsText" dxfId="71" priority="76" operator="containsText" text="Mon">
      <formula>NOT(ISERROR(SEARCH("Mon",D22)))</formula>
    </cfRule>
  </conditionalFormatting>
  <conditionalFormatting sqref="A22:B30">
    <cfRule type="cellIs" dxfId="70" priority="71" operator="equal">
      <formula>0</formula>
    </cfRule>
  </conditionalFormatting>
  <conditionalFormatting sqref="D31:D36 D38:D39">
    <cfRule type="containsText" dxfId="69" priority="66" operator="containsText" text="Fri">
      <formula>NOT(ISERROR(SEARCH("Fri",D31)))</formula>
    </cfRule>
    <cfRule type="containsText" dxfId="68" priority="67" operator="containsText" text="Thu">
      <formula>NOT(ISERROR(SEARCH("Thu",D31)))</formula>
    </cfRule>
    <cfRule type="containsText" dxfId="67" priority="68" operator="containsText" text="Wed">
      <formula>NOT(ISERROR(SEARCH("Wed",D31)))</formula>
    </cfRule>
    <cfRule type="containsText" dxfId="66" priority="69" operator="containsText" text="Tue">
      <formula>NOT(ISERROR(SEARCH("Tue",D31)))</formula>
    </cfRule>
    <cfRule type="containsText" dxfId="65" priority="70" operator="containsText" text="Mon">
      <formula>NOT(ISERROR(SEARCH("Mon",D31)))</formula>
    </cfRule>
  </conditionalFormatting>
  <conditionalFormatting sqref="D37">
    <cfRule type="containsText" dxfId="64" priority="61" operator="containsText" text="Fri">
      <formula>NOT(ISERROR(SEARCH("Fri",D37)))</formula>
    </cfRule>
    <cfRule type="containsText" dxfId="63" priority="62" operator="containsText" text="Thu">
      <formula>NOT(ISERROR(SEARCH("Thu",D37)))</formula>
    </cfRule>
    <cfRule type="containsText" dxfId="62" priority="63" operator="containsText" text="Wed">
      <formula>NOT(ISERROR(SEARCH("Wed",D37)))</formula>
    </cfRule>
    <cfRule type="containsText" dxfId="61" priority="64" operator="containsText" text="Tue">
      <formula>NOT(ISERROR(SEARCH("Tue",D37)))</formula>
    </cfRule>
    <cfRule type="containsText" dxfId="60" priority="65" operator="containsText" text="Mon">
      <formula>NOT(ISERROR(SEARCH("Mon",D37)))</formula>
    </cfRule>
  </conditionalFormatting>
  <conditionalFormatting sqref="D40">
    <cfRule type="containsText" dxfId="59" priority="56" operator="containsText" text="Fri">
      <formula>NOT(ISERROR(SEARCH("Fri",D40)))</formula>
    </cfRule>
    <cfRule type="containsText" dxfId="58" priority="57" operator="containsText" text="Thu">
      <formula>NOT(ISERROR(SEARCH("Thu",D40)))</formula>
    </cfRule>
    <cfRule type="containsText" dxfId="57" priority="58" operator="containsText" text="Wed">
      <formula>NOT(ISERROR(SEARCH("Wed",D40)))</formula>
    </cfRule>
    <cfRule type="containsText" dxfId="56" priority="59" operator="containsText" text="Tue">
      <formula>NOT(ISERROR(SEARCH("Tue",D40)))</formula>
    </cfRule>
    <cfRule type="containsText" dxfId="55" priority="60" operator="containsText" text="Mon">
      <formula>NOT(ISERROR(SEARCH("Mon",D40)))</formula>
    </cfRule>
  </conditionalFormatting>
  <conditionalFormatting sqref="A31:B40">
    <cfRule type="cellIs" dxfId="54" priority="55" operator="equal">
      <formula>0</formula>
    </cfRule>
  </conditionalFormatting>
  <conditionalFormatting sqref="D41:D49">
    <cfRule type="containsText" dxfId="53" priority="50" operator="containsText" text="Fri">
      <formula>NOT(ISERROR(SEARCH("Fri",D41)))</formula>
    </cfRule>
    <cfRule type="containsText" dxfId="52" priority="51" operator="containsText" text="Thu">
      <formula>NOT(ISERROR(SEARCH("Thu",D41)))</formula>
    </cfRule>
    <cfRule type="containsText" dxfId="51" priority="52" operator="containsText" text="Wed">
      <formula>NOT(ISERROR(SEARCH("Wed",D41)))</formula>
    </cfRule>
    <cfRule type="containsText" dxfId="50" priority="53" operator="containsText" text="Tue">
      <formula>NOT(ISERROR(SEARCH("Tue",D41)))</formula>
    </cfRule>
    <cfRule type="containsText" dxfId="49" priority="54" operator="containsText" text="Mon">
      <formula>NOT(ISERROR(SEARCH("Mon",D41)))</formula>
    </cfRule>
  </conditionalFormatting>
  <conditionalFormatting sqref="A41:B49">
    <cfRule type="cellIs" dxfId="48" priority="49" operator="equal">
      <formula>0</formula>
    </cfRule>
  </conditionalFormatting>
  <conditionalFormatting sqref="D56:D57 D50:D54">
    <cfRule type="containsText" dxfId="47" priority="44" operator="containsText" text="Fri">
      <formula>NOT(ISERROR(SEARCH("Fri",D50)))</formula>
    </cfRule>
    <cfRule type="containsText" dxfId="46" priority="45" operator="containsText" text="Thu">
      <formula>NOT(ISERROR(SEARCH("Thu",D50)))</formula>
    </cfRule>
    <cfRule type="containsText" dxfId="45" priority="46" operator="containsText" text="Wed">
      <formula>NOT(ISERROR(SEARCH("Wed",D50)))</formula>
    </cfRule>
    <cfRule type="containsText" dxfId="44" priority="47" operator="containsText" text="Tue">
      <formula>NOT(ISERROR(SEARCH("Tue",D50)))</formula>
    </cfRule>
    <cfRule type="containsText" dxfId="43" priority="48" operator="containsText" text="Mon">
      <formula>NOT(ISERROR(SEARCH("Mon",D50)))</formula>
    </cfRule>
  </conditionalFormatting>
  <conditionalFormatting sqref="A50:B58">
    <cfRule type="cellIs" dxfId="42" priority="43" operator="equal">
      <formula>0</formula>
    </cfRule>
  </conditionalFormatting>
  <conditionalFormatting sqref="D55">
    <cfRule type="containsText" dxfId="41" priority="38" operator="containsText" text="Fri">
      <formula>NOT(ISERROR(SEARCH("Fri",D55)))</formula>
    </cfRule>
    <cfRule type="containsText" dxfId="40" priority="39" operator="containsText" text="Thu">
      <formula>NOT(ISERROR(SEARCH("Thu",D55)))</formula>
    </cfRule>
    <cfRule type="containsText" dxfId="39" priority="40" operator="containsText" text="Wed">
      <formula>NOT(ISERROR(SEARCH("Wed",D55)))</formula>
    </cfRule>
    <cfRule type="containsText" dxfId="38" priority="41" operator="containsText" text="Tue">
      <formula>NOT(ISERROR(SEARCH("Tue",D55)))</formula>
    </cfRule>
    <cfRule type="containsText" dxfId="37" priority="42" operator="containsText" text="Mon">
      <formula>NOT(ISERROR(SEARCH("Mon",D55)))</formula>
    </cfRule>
  </conditionalFormatting>
  <conditionalFormatting sqref="D58">
    <cfRule type="containsText" dxfId="36" priority="33" operator="containsText" text="Fri">
      <formula>NOT(ISERROR(SEARCH("Fri",D58)))</formula>
    </cfRule>
    <cfRule type="containsText" dxfId="35" priority="34" operator="containsText" text="Thu">
      <formula>NOT(ISERROR(SEARCH("Thu",D58)))</formula>
    </cfRule>
    <cfRule type="containsText" dxfId="34" priority="35" operator="containsText" text="Wed">
      <formula>NOT(ISERROR(SEARCH("Wed",D58)))</formula>
    </cfRule>
    <cfRule type="containsText" dxfId="33" priority="36" operator="containsText" text="Tue">
      <formula>NOT(ISERROR(SEARCH("Tue",D58)))</formula>
    </cfRule>
    <cfRule type="containsText" dxfId="32" priority="37" operator="containsText" text="Mon">
      <formula>NOT(ISERROR(SEARCH("Mon",D58)))</formula>
    </cfRule>
  </conditionalFormatting>
  <conditionalFormatting sqref="D65:D66 D59:D63">
    <cfRule type="containsText" dxfId="31" priority="28" operator="containsText" text="Fri">
      <formula>NOT(ISERROR(SEARCH("Fri",D59)))</formula>
    </cfRule>
    <cfRule type="containsText" dxfId="30" priority="29" operator="containsText" text="Thu">
      <formula>NOT(ISERROR(SEARCH("Thu",D59)))</formula>
    </cfRule>
    <cfRule type="containsText" dxfId="29" priority="30" operator="containsText" text="Wed">
      <formula>NOT(ISERROR(SEARCH("Wed",D59)))</formula>
    </cfRule>
    <cfRule type="containsText" dxfId="28" priority="31" operator="containsText" text="Tue">
      <formula>NOT(ISERROR(SEARCH("Tue",D59)))</formula>
    </cfRule>
    <cfRule type="containsText" dxfId="27" priority="32" operator="containsText" text="Mon">
      <formula>NOT(ISERROR(SEARCH("Mon",D59)))</formula>
    </cfRule>
  </conditionalFormatting>
  <conditionalFormatting sqref="A59:B67">
    <cfRule type="cellIs" dxfId="26" priority="27" operator="equal">
      <formula>0</formula>
    </cfRule>
  </conditionalFormatting>
  <conditionalFormatting sqref="D64">
    <cfRule type="containsText" dxfId="25" priority="22" operator="containsText" text="Fri">
      <formula>NOT(ISERROR(SEARCH("Fri",D64)))</formula>
    </cfRule>
    <cfRule type="containsText" dxfId="24" priority="23" operator="containsText" text="Thu">
      <formula>NOT(ISERROR(SEARCH("Thu",D64)))</formula>
    </cfRule>
    <cfRule type="containsText" dxfId="23" priority="24" operator="containsText" text="Wed">
      <formula>NOT(ISERROR(SEARCH("Wed",D64)))</formula>
    </cfRule>
    <cfRule type="containsText" dxfId="22" priority="25" operator="containsText" text="Tue">
      <formula>NOT(ISERROR(SEARCH("Tue",D64)))</formula>
    </cfRule>
    <cfRule type="containsText" dxfId="21" priority="26" operator="containsText" text="Mon">
      <formula>NOT(ISERROR(SEARCH("Mon",D64)))</formula>
    </cfRule>
  </conditionalFormatting>
  <conditionalFormatting sqref="D67">
    <cfRule type="containsText" dxfId="20" priority="17" operator="containsText" text="Fri">
      <formula>NOT(ISERROR(SEARCH("Fri",D67)))</formula>
    </cfRule>
    <cfRule type="containsText" dxfId="19" priority="18" operator="containsText" text="Thu">
      <formula>NOT(ISERROR(SEARCH("Thu",D67)))</formula>
    </cfRule>
    <cfRule type="containsText" dxfId="18" priority="19" operator="containsText" text="Wed">
      <formula>NOT(ISERROR(SEARCH("Wed",D67)))</formula>
    </cfRule>
    <cfRule type="containsText" dxfId="17" priority="20" operator="containsText" text="Tue">
      <formula>NOT(ISERROR(SEARCH("Tue",D67)))</formula>
    </cfRule>
    <cfRule type="containsText" dxfId="16" priority="21" operator="containsText" text="Mon">
      <formula>NOT(ISERROR(SEARCH("Mon",D67)))</formula>
    </cfRule>
  </conditionalFormatting>
  <conditionalFormatting sqref="D74:D75 D68:D72">
    <cfRule type="containsText" dxfId="15" priority="12" operator="containsText" text="Fri">
      <formula>NOT(ISERROR(SEARCH("Fri",D68)))</formula>
    </cfRule>
    <cfRule type="containsText" dxfId="14" priority="13" operator="containsText" text="Thu">
      <formula>NOT(ISERROR(SEARCH("Thu",D68)))</formula>
    </cfRule>
    <cfRule type="containsText" dxfId="13" priority="14" operator="containsText" text="Wed">
      <formula>NOT(ISERROR(SEARCH("Wed",D68)))</formula>
    </cfRule>
    <cfRule type="containsText" dxfId="12" priority="15" operator="containsText" text="Tue">
      <formula>NOT(ISERROR(SEARCH("Tue",D68)))</formula>
    </cfRule>
    <cfRule type="containsText" dxfId="11" priority="16" operator="containsText" text="Mon">
      <formula>NOT(ISERROR(SEARCH("Mon",D68)))</formula>
    </cfRule>
  </conditionalFormatting>
  <conditionalFormatting sqref="A68:B76">
    <cfRule type="cellIs" dxfId="10" priority="11" operator="equal">
      <formula>0</formula>
    </cfRule>
  </conditionalFormatting>
  <conditionalFormatting sqref="D73">
    <cfRule type="containsText" dxfId="9" priority="6" operator="containsText" text="Fri">
      <formula>NOT(ISERROR(SEARCH("Fri",D73)))</formula>
    </cfRule>
    <cfRule type="containsText" dxfId="8" priority="7" operator="containsText" text="Thu">
      <formula>NOT(ISERROR(SEARCH("Thu",D73)))</formula>
    </cfRule>
    <cfRule type="containsText" dxfId="7" priority="8" operator="containsText" text="Wed">
      <formula>NOT(ISERROR(SEARCH("Wed",D73)))</formula>
    </cfRule>
    <cfRule type="containsText" dxfId="6" priority="9" operator="containsText" text="Tue">
      <formula>NOT(ISERROR(SEARCH("Tue",D73)))</formula>
    </cfRule>
    <cfRule type="containsText" dxfId="5" priority="10" operator="containsText" text="Mon">
      <formula>NOT(ISERROR(SEARCH("Mon",D73)))</formula>
    </cfRule>
  </conditionalFormatting>
  <conditionalFormatting sqref="D76">
    <cfRule type="containsText" dxfId="4" priority="1" operator="containsText" text="Fri">
      <formula>NOT(ISERROR(SEARCH("Fri",D76)))</formula>
    </cfRule>
    <cfRule type="containsText" dxfId="3" priority="2" operator="containsText" text="Thu">
      <formula>NOT(ISERROR(SEARCH("Thu",D76)))</formula>
    </cfRule>
    <cfRule type="containsText" dxfId="2" priority="3" operator="containsText" text="Wed">
      <formula>NOT(ISERROR(SEARCH("Wed",D76)))</formula>
    </cfRule>
    <cfRule type="containsText" dxfId="1" priority="4" operator="containsText" text="Tue">
      <formula>NOT(ISERROR(SEARCH("Tue",D76)))</formula>
    </cfRule>
    <cfRule type="containsText" dxfId="0" priority="5" operator="containsText" text="Mon">
      <formula>NOT(ISERROR(SEARCH("Mon",D76)))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AllData</vt:lpstr>
      <vt:lpstr>Config</vt:lpstr>
      <vt:lpstr>Temp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2019-12-12T11:18:01Z</dcterms:modified>
</cp:coreProperties>
</file>